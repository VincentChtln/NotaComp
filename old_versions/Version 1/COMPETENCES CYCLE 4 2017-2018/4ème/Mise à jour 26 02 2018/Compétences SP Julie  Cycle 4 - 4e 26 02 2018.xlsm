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rra\Dropbox\COMPETENCES CYCLE 4\4ème\Mise à jour 26 02 2018\"/>
    </mc:Choice>
  </mc:AlternateContent>
  <bookViews>
    <workbookView xWindow="0" yWindow="0" windowWidth="19200" windowHeight="7110" tabRatio="704" activeTab="2"/>
  </bookViews>
  <sheets>
    <sheet name="Classe (4ème2)" sheetId="9" r:id="rId1"/>
    <sheet name="Elève (4ème2)" sheetId="10" r:id="rId2"/>
    <sheet name="Classe (4ème5)" sheetId="11" r:id="rId3"/>
    <sheet name="Elève (4ème5)" sheetId="12" r:id="rId4"/>
    <sheet name="Liste 4ème" sheetId="17" r:id="rId5"/>
    <sheet name="ref" sheetId="3" r:id="rId6"/>
  </sheets>
  <functionGroups builtInGroupCount="18"/>
  <definedNames>
    <definedName name="_xlnm._FilterDatabase" localSheetId="1" hidden="1">'Elève (4ème2)'!$A$2:$VU$26</definedName>
    <definedName name="_xlnm._FilterDatabase" localSheetId="3" hidden="1">'Elève (4ème5)'!$A$2:$VX$26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" i="10" l="1"/>
  <c r="AJ3" i="10"/>
  <c r="AK3" i="10"/>
  <c r="AK3" i="12" l="1"/>
  <c r="BE3" i="12" s="1"/>
  <c r="BY3" i="12" s="1"/>
  <c r="CS3" i="12" s="1"/>
  <c r="DM3" i="12" s="1"/>
  <c r="EG3" i="12" s="1"/>
  <c r="FA3" i="12" s="1"/>
  <c r="FU3" i="12" s="1"/>
  <c r="GO3" i="12" s="1"/>
  <c r="HI3" i="12" s="1"/>
  <c r="IC3" i="12" s="1"/>
  <c r="IW3" i="12" s="1"/>
  <c r="JQ3" i="12" s="1"/>
  <c r="KK3" i="12" s="1"/>
  <c r="LE3" i="12" s="1"/>
  <c r="LY3" i="12" s="1"/>
  <c r="MS3" i="12" s="1"/>
  <c r="NM3" i="12" s="1"/>
  <c r="OG3" i="12" s="1"/>
  <c r="PA3" i="12" s="1"/>
  <c r="PU3" i="12" s="1"/>
  <c r="QO3" i="12" s="1"/>
  <c r="RI3" i="12" s="1"/>
  <c r="SC3" i="12" s="1"/>
  <c r="SW3" i="12" s="1"/>
  <c r="TQ3" i="12" s="1"/>
  <c r="UK3" i="12" s="1"/>
  <c r="BD3" i="10"/>
  <c r="BX3" i="10" s="1"/>
  <c r="CR3" i="10" s="1"/>
  <c r="DL3" i="10" s="1"/>
  <c r="EF3" i="10" s="1"/>
  <c r="EZ3" i="10" s="1"/>
  <c r="FT3" i="10" s="1"/>
  <c r="GN3" i="10" s="1"/>
  <c r="HH3" i="10" s="1"/>
  <c r="IB3" i="10" s="1"/>
  <c r="IV3" i="10" s="1"/>
  <c r="JP3" i="10" s="1"/>
  <c r="KJ3" i="10" s="1"/>
  <c r="LD3" i="10" s="1"/>
  <c r="LX3" i="10" s="1"/>
  <c r="MR3" i="10" s="1"/>
  <c r="NL3" i="10" s="1"/>
  <c r="OF3" i="10" s="1"/>
  <c r="OZ3" i="10" s="1"/>
  <c r="PT3" i="10" s="1"/>
  <c r="QN3" i="10" s="1"/>
  <c r="RH3" i="10" s="1"/>
  <c r="SB3" i="10" s="1"/>
  <c r="SV3" i="10" s="1"/>
  <c r="TP3" i="10" s="1"/>
  <c r="AJ3" i="12" l="1"/>
  <c r="BD3" i="12" s="1"/>
  <c r="BX3" i="12" s="1"/>
  <c r="CR3" i="12" s="1"/>
  <c r="DL3" i="12" s="1"/>
  <c r="EF3" i="12" s="1"/>
  <c r="EZ3" i="12" s="1"/>
  <c r="FT3" i="12" s="1"/>
  <c r="GN3" i="12" s="1"/>
  <c r="HH3" i="12" s="1"/>
  <c r="IB3" i="12" s="1"/>
  <c r="IV3" i="12" s="1"/>
  <c r="JP3" i="12" s="1"/>
  <c r="KJ3" i="12" s="1"/>
  <c r="LD3" i="12" s="1"/>
  <c r="LX3" i="12" s="1"/>
  <c r="MR3" i="12" s="1"/>
  <c r="NL3" i="12" s="1"/>
  <c r="OF3" i="12" s="1"/>
  <c r="OZ3" i="12" s="1"/>
  <c r="PT3" i="12" s="1"/>
  <c r="QN3" i="12" s="1"/>
  <c r="RH3" i="12" s="1"/>
  <c r="SB3" i="12" s="1"/>
  <c r="SV3" i="12" s="1"/>
  <c r="TP3" i="12" s="1"/>
  <c r="UJ3" i="12" s="1"/>
  <c r="BC3" i="10"/>
  <c r="BW3" i="10" s="1"/>
  <c r="CQ3" i="10" s="1"/>
  <c r="DK3" i="10" s="1"/>
  <c r="EE3" i="10" s="1"/>
  <c r="EY3" i="10" s="1"/>
  <c r="FS3" i="10" s="1"/>
  <c r="GM3" i="10" s="1"/>
  <c r="HG3" i="10" s="1"/>
  <c r="IA3" i="10" s="1"/>
  <c r="IU3" i="10" s="1"/>
  <c r="JO3" i="10" s="1"/>
  <c r="KI3" i="10" s="1"/>
  <c r="LC3" i="10" s="1"/>
  <c r="LW3" i="10" s="1"/>
  <c r="MQ3" i="10" s="1"/>
  <c r="NK3" i="10" s="1"/>
  <c r="OE3" i="10" s="1"/>
  <c r="OY3" i="10" s="1"/>
  <c r="PS3" i="10" s="1"/>
  <c r="QM3" i="10" s="1"/>
  <c r="RG3" i="10" s="1"/>
  <c r="SA3" i="10" s="1"/>
  <c r="SU3" i="10" s="1"/>
  <c r="TO3" i="10" s="1"/>
  <c r="P3" i="3" l="1"/>
  <c r="E3" i="3"/>
  <c r="F3" i="3" s="1"/>
  <c r="F4" i="3" l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G3" i="3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AL3" i="12"/>
  <c r="BF3" i="12" s="1"/>
  <c r="BZ3" i="12" s="1"/>
  <c r="CT3" i="12" s="1"/>
  <c r="DN3" i="12" s="1"/>
  <c r="EH3" i="12" s="1"/>
  <c r="FB3" i="12" s="1"/>
  <c r="FV3" i="12" s="1"/>
  <c r="GP3" i="12" s="1"/>
  <c r="HJ3" i="12" s="1"/>
  <c r="ID3" i="12" s="1"/>
  <c r="IX3" i="12" s="1"/>
  <c r="JR3" i="12" s="1"/>
  <c r="KL3" i="12" s="1"/>
  <c r="LF3" i="12" s="1"/>
  <c r="LZ3" i="12" s="1"/>
  <c r="MT3" i="12" s="1"/>
  <c r="NN3" i="12" s="1"/>
  <c r="OH3" i="12" s="1"/>
  <c r="PB3" i="12" s="1"/>
  <c r="PV3" i="12" s="1"/>
  <c r="QP3" i="12" s="1"/>
  <c r="RJ3" i="12" s="1"/>
  <c r="SD3" i="12" s="1"/>
  <c r="SX3" i="12" s="1"/>
  <c r="TR3" i="12" s="1"/>
  <c r="UL3" i="12" s="1"/>
  <c r="BE3" i="10"/>
  <c r="BY3" i="10" s="1"/>
  <c r="CS3" i="10" s="1"/>
  <c r="DM3" i="10" s="1"/>
  <c r="EG3" i="10" s="1"/>
  <c r="FA3" i="10" s="1"/>
  <c r="FU3" i="10" s="1"/>
  <c r="GO3" i="10" s="1"/>
  <c r="HI3" i="10" s="1"/>
  <c r="IC3" i="10" s="1"/>
  <c r="IW3" i="10" s="1"/>
  <c r="JQ3" i="10" s="1"/>
  <c r="KK3" i="10" s="1"/>
  <c r="LE3" i="10" s="1"/>
  <c r="LY3" i="10" s="1"/>
  <c r="MS3" i="10" s="1"/>
  <c r="NM3" i="10" s="1"/>
  <c r="OG3" i="10" s="1"/>
  <c r="PA3" i="10" s="1"/>
  <c r="PU3" i="10" s="1"/>
  <c r="QO3" i="10" s="1"/>
  <c r="RI3" i="10" s="1"/>
  <c r="SC3" i="10" s="1"/>
  <c r="SW3" i="10" s="1"/>
  <c r="TQ3" i="10" s="1"/>
  <c r="G4" i="3" l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AD3" i="12"/>
  <c r="AX3" i="12" s="1"/>
  <c r="BR3" i="12" s="1"/>
  <c r="CL3" i="12" s="1"/>
  <c r="DF3" i="12" s="1"/>
  <c r="DZ3" i="12" s="1"/>
  <c r="ET3" i="12" s="1"/>
  <c r="FN3" i="12" s="1"/>
  <c r="GH3" i="12" s="1"/>
  <c r="HB3" i="12" s="1"/>
  <c r="HV3" i="12" s="1"/>
  <c r="IP3" i="12" s="1"/>
  <c r="JJ3" i="12" s="1"/>
  <c r="KD3" i="12" s="1"/>
  <c r="KX3" i="12" s="1"/>
  <c r="LR3" i="12" s="1"/>
  <c r="ML3" i="12" s="1"/>
  <c r="NF3" i="12" s="1"/>
  <c r="NZ3" i="12" s="1"/>
  <c r="OT3" i="12" s="1"/>
  <c r="PN3" i="12" s="1"/>
  <c r="QH3" i="12" s="1"/>
  <c r="RB3" i="12" s="1"/>
  <c r="RV3" i="12" s="1"/>
  <c r="SP3" i="12" s="1"/>
  <c r="TJ3" i="12" s="1"/>
  <c r="UD3" i="12" s="1"/>
  <c r="AD3" i="10"/>
  <c r="AX3" i="10" s="1"/>
  <c r="BR3" i="10" s="1"/>
  <c r="CL3" i="10" s="1"/>
  <c r="DF3" i="10" s="1"/>
  <c r="DZ3" i="10" s="1"/>
  <c r="ET3" i="10" s="1"/>
  <c r="FN3" i="10" s="1"/>
  <c r="GH3" i="10" s="1"/>
  <c r="HB3" i="10" s="1"/>
  <c r="HV3" i="10" s="1"/>
  <c r="IP3" i="10" s="1"/>
  <c r="JJ3" i="10" s="1"/>
  <c r="KD3" i="10" s="1"/>
  <c r="KX3" i="10" s="1"/>
  <c r="LR3" i="10" s="1"/>
  <c r="ML3" i="10" s="1"/>
  <c r="NF3" i="10" s="1"/>
  <c r="NZ3" i="10" s="1"/>
  <c r="OT3" i="10" s="1"/>
  <c r="PN3" i="10" s="1"/>
  <c r="QH3" i="10" s="1"/>
  <c r="RB3" i="10" s="1"/>
  <c r="RV3" i="10" s="1"/>
  <c r="SP3" i="10" s="1"/>
  <c r="TJ3" i="10" s="1"/>
  <c r="VU21" i="12" l="1"/>
  <c r="VV21" i="12" s="1"/>
  <c r="VP21" i="12"/>
  <c r="VQ21" i="12" s="1"/>
  <c r="VK21" i="12"/>
  <c r="VK20" i="12" s="1"/>
  <c r="VD21" i="12"/>
  <c r="VE21" i="12" s="1"/>
  <c r="UY21" i="12"/>
  <c r="UZ21" i="12" s="1"/>
  <c r="UT21" i="12"/>
  <c r="UU21" i="12" s="1"/>
  <c r="UM21" i="12"/>
  <c r="UN21" i="12" s="1"/>
  <c r="UF21" i="12"/>
  <c r="UG21" i="12" s="1"/>
  <c r="TZ21" i="12"/>
  <c r="UA21" i="12" s="1"/>
  <c r="TS21" i="12"/>
  <c r="TT21" i="12" s="1"/>
  <c r="TL21" i="12"/>
  <c r="TM21" i="12" s="1"/>
  <c r="TF21" i="12"/>
  <c r="TG21" i="12" s="1"/>
  <c r="SY21" i="12"/>
  <c r="SZ21" i="12" s="1"/>
  <c r="SR21" i="12"/>
  <c r="SS21" i="12" s="1"/>
  <c r="SL21" i="12"/>
  <c r="SM21" i="12" s="1"/>
  <c r="SE21" i="12"/>
  <c r="SF21" i="12" s="1"/>
  <c r="RX21" i="12"/>
  <c r="RR21" i="12"/>
  <c r="RS21" i="12" s="1"/>
  <c r="RK21" i="12"/>
  <c r="RL21" i="12" s="1"/>
  <c r="RD21" i="12"/>
  <c r="RE21" i="12" s="1"/>
  <c r="QX21" i="12"/>
  <c r="QY21" i="12" s="1"/>
  <c r="QQ21" i="12"/>
  <c r="QR21" i="12" s="1"/>
  <c r="QJ21" i="12"/>
  <c r="QK21" i="12" s="1"/>
  <c r="QD21" i="12"/>
  <c r="QE21" i="12" s="1"/>
  <c r="PW21" i="12"/>
  <c r="PX21" i="12" s="1"/>
  <c r="PP21" i="12"/>
  <c r="PQ21" i="12" s="1"/>
  <c r="PJ21" i="12"/>
  <c r="PK21" i="12" s="1"/>
  <c r="PC21" i="12"/>
  <c r="PD21" i="12" s="1"/>
  <c r="OV21" i="12"/>
  <c r="OW21" i="12" s="1"/>
  <c r="OP21" i="12"/>
  <c r="OQ21" i="12" s="1"/>
  <c r="OI21" i="12"/>
  <c r="OB21" i="12"/>
  <c r="OC21" i="12" s="1"/>
  <c r="NV21" i="12"/>
  <c r="NW21" i="12" s="1"/>
  <c r="NO21" i="12"/>
  <c r="NP21" i="12" s="1"/>
  <c r="NH21" i="12"/>
  <c r="NI21" i="12" s="1"/>
  <c r="NB21" i="12"/>
  <c r="NC21" i="12" s="1"/>
  <c r="MU21" i="12"/>
  <c r="MV21" i="12" s="1"/>
  <c r="MN21" i="12"/>
  <c r="MO21" i="12" s="1"/>
  <c r="MH21" i="12"/>
  <c r="MI21" i="12" s="1"/>
  <c r="MA21" i="12"/>
  <c r="MB21" i="12" s="1"/>
  <c r="LT21" i="12"/>
  <c r="LN21" i="12"/>
  <c r="LO21" i="12" s="1"/>
  <c r="LG21" i="12"/>
  <c r="LH21" i="12" s="1"/>
  <c r="KZ21" i="12"/>
  <c r="LA21" i="12" s="1"/>
  <c r="KT21" i="12"/>
  <c r="KU21" i="12" s="1"/>
  <c r="KM21" i="12"/>
  <c r="KN21" i="12" s="1"/>
  <c r="KF21" i="12"/>
  <c r="KG21" i="12" s="1"/>
  <c r="JZ21" i="12"/>
  <c r="KA21" i="12" s="1"/>
  <c r="JS21" i="12"/>
  <c r="JT21" i="12" s="1"/>
  <c r="JL21" i="12"/>
  <c r="JM21" i="12" s="1"/>
  <c r="JF21" i="12"/>
  <c r="JG21" i="12" s="1"/>
  <c r="IY21" i="12"/>
  <c r="IZ21" i="12" s="1"/>
  <c r="IR21" i="12"/>
  <c r="IS21" i="12" s="1"/>
  <c r="IL21" i="12"/>
  <c r="IM21" i="12" s="1"/>
  <c r="IE21" i="12"/>
  <c r="HX21" i="12"/>
  <c r="HY21" i="12" s="1"/>
  <c r="HR21" i="12"/>
  <c r="HS21" i="12" s="1"/>
  <c r="HK21" i="12"/>
  <c r="HL21" i="12" s="1"/>
  <c r="HD21" i="12"/>
  <c r="HE21" i="12" s="1"/>
  <c r="GX21" i="12"/>
  <c r="GY21" i="12" s="1"/>
  <c r="GQ21" i="12"/>
  <c r="GR21" i="12" s="1"/>
  <c r="GJ21" i="12"/>
  <c r="GK21" i="12" s="1"/>
  <c r="GD21" i="12"/>
  <c r="GD20" i="12" s="1"/>
  <c r="GE20" i="12" s="1"/>
  <c r="FW21" i="12"/>
  <c r="FX21" i="12" s="1"/>
  <c r="FP21" i="12"/>
  <c r="FQ21" i="12" s="1"/>
  <c r="FJ21" i="12"/>
  <c r="FK21" i="12" s="1"/>
  <c r="FC21" i="12"/>
  <c r="FD21" i="12" s="1"/>
  <c r="EV21" i="12"/>
  <c r="EW21" i="12" s="1"/>
  <c r="EP21" i="12"/>
  <c r="EI21" i="12"/>
  <c r="EJ21" i="12" s="1"/>
  <c r="EB21" i="12"/>
  <c r="EC21" i="12" s="1"/>
  <c r="DV21" i="12"/>
  <c r="DW21" i="12" s="1"/>
  <c r="DO21" i="12"/>
  <c r="DP21" i="12" s="1"/>
  <c r="DH21" i="12"/>
  <c r="DI21" i="12" s="1"/>
  <c r="DB21" i="12"/>
  <c r="CU21" i="12"/>
  <c r="CV21" i="12" s="1"/>
  <c r="CN21" i="12"/>
  <c r="CO21" i="12" s="1"/>
  <c r="CH21" i="12"/>
  <c r="CA21" i="12"/>
  <c r="BT21" i="12"/>
  <c r="BU21" i="12" s="1"/>
  <c r="BN21" i="12"/>
  <c r="BG21" i="12"/>
  <c r="BH21" i="12" s="1"/>
  <c r="AZ21" i="12"/>
  <c r="BA21" i="12" s="1"/>
  <c r="AT21" i="12"/>
  <c r="AT20" i="12" s="1"/>
  <c r="AU20" i="12" s="1"/>
  <c r="AM21" i="12"/>
  <c r="AF21" i="12"/>
  <c r="AG21" i="12" s="1"/>
  <c r="Z21" i="12"/>
  <c r="AA21" i="12" s="1"/>
  <c r="S21" i="12"/>
  <c r="T21" i="12" s="1"/>
  <c r="L21" i="12"/>
  <c r="M21" i="12" s="1"/>
  <c r="F21" i="12"/>
  <c r="VU19" i="12"/>
  <c r="VV19" i="12" s="1"/>
  <c r="VP19" i="12"/>
  <c r="VQ19" i="12" s="1"/>
  <c r="VK19" i="12"/>
  <c r="VD19" i="12"/>
  <c r="VE19" i="12" s="1"/>
  <c r="UY19" i="12"/>
  <c r="UZ19" i="12" s="1"/>
  <c r="UT19" i="12"/>
  <c r="UM19" i="12"/>
  <c r="UN19" i="12" s="1"/>
  <c r="UF19" i="12"/>
  <c r="UG19" i="12" s="1"/>
  <c r="TZ19" i="12"/>
  <c r="UA19" i="12" s="1"/>
  <c r="TS19" i="12"/>
  <c r="TT19" i="12" s="1"/>
  <c r="TL19" i="12"/>
  <c r="TM19" i="12" s="1"/>
  <c r="TF19" i="12"/>
  <c r="TG19" i="12" s="1"/>
  <c r="SY19" i="12"/>
  <c r="SZ19" i="12" s="1"/>
  <c r="SR19" i="12"/>
  <c r="SS19" i="12" s="1"/>
  <c r="SL19" i="12"/>
  <c r="SM19" i="12" s="1"/>
  <c r="SE19" i="12"/>
  <c r="SF19" i="12" s="1"/>
  <c r="RX19" i="12"/>
  <c r="RY19" i="12" s="1"/>
  <c r="RR19" i="12"/>
  <c r="RS19" i="12" s="1"/>
  <c r="RK19" i="12"/>
  <c r="RL19" i="12" s="1"/>
  <c r="RD19" i="12"/>
  <c r="RE19" i="12" s="1"/>
  <c r="QX19" i="12"/>
  <c r="QY19" i="12" s="1"/>
  <c r="QQ19" i="12"/>
  <c r="QR19" i="12" s="1"/>
  <c r="QJ19" i="12"/>
  <c r="QK19" i="12" s="1"/>
  <c r="QD19" i="12"/>
  <c r="QE19" i="12" s="1"/>
  <c r="PW19" i="12"/>
  <c r="PX19" i="12" s="1"/>
  <c r="PP19" i="12"/>
  <c r="PQ19" i="12" s="1"/>
  <c r="PJ19" i="12"/>
  <c r="PK19" i="12" s="1"/>
  <c r="PC19" i="12"/>
  <c r="PD19" i="12" s="1"/>
  <c r="OV19" i="12"/>
  <c r="OW19" i="12" s="1"/>
  <c r="OP19" i="12"/>
  <c r="OQ19" i="12" s="1"/>
  <c r="OI19" i="12"/>
  <c r="OJ19" i="12" s="1"/>
  <c r="OB19" i="12"/>
  <c r="OC19" i="12" s="1"/>
  <c r="NV19" i="12"/>
  <c r="NW19" i="12" s="1"/>
  <c r="NO19" i="12"/>
  <c r="NP19" i="12" s="1"/>
  <c r="NH19" i="12"/>
  <c r="NI19" i="12" s="1"/>
  <c r="NB19" i="12"/>
  <c r="NC19" i="12" s="1"/>
  <c r="MU19" i="12"/>
  <c r="MV19" i="12" s="1"/>
  <c r="MN19" i="12"/>
  <c r="MO19" i="12" s="1"/>
  <c r="MH19" i="12"/>
  <c r="MI19" i="12" s="1"/>
  <c r="MA19" i="12"/>
  <c r="LT19" i="12"/>
  <c r="LU19" i="12" s="1"/>
  <c r="LN19" i="12"/>
  <c r="LO19" i="12" s="1"/>
  <c r="LG19" i="12"/>
  <c r="LH19" i="12" s="1"/>
  <c r="KZ19" i="12"/>
  <c r="LA19" i="12" s="1"/>
  <c r="KT19" i="12"/>
  <c r="KU19" i="12" s="1"/>
  <c r="KM19" i="12"/>
  <c r="KN19" i="12" s="1"/>
  <c r="KF19" i="12"/>
  <c r="KG19" i="12" s="1"/>
  <c r="JZ19" i="12"/>
  <c r="KA19" i="12" s="1"/>
  <c r="JS19" i="12"/>
  <c r="JT19" i="12" s="1"/>
  <c r="JL19" i="12"/>
  <c r="JF19" i="12"/>
  <c r="JG19" i="12" s="1"/>
  <c r="IY19" i="12"/>
  <c r="IZ19" i="12" s="1"/>
  <c r="IR19" i="12"/>
  <c r="IS19" i="12" s="1"/>
  <c r="IL19" i="12"/>
  <c r="IM19" i="12" s="1"/>
  <c r="IE19" i="12"/>
  <c r="IF19" i="12" s="1"/>
  <c r="HX19" i="12"/>
  <c r="HY19" i="12" s="1"/>
  <c r="HR19" i="12"/>
  <c r="HS19" i="12" s="1"/>
  <c r="HK19" i="12"/>
  <c r="HL19" i="12" s="1"/>
  <c r="HD19" i="12"/>
  <c r="HE19" i="12" s="1"/>
  <c r="GX19" i="12"/>
  <c r="GY19" i="12" s="1"/>
  <c r="GQ19" i="12"/>
  <c r="GR19" i="12" s="1"/>
  <c r="GJ19" i="12"/>
  <c r="GK19" i="12" s="1"/>
  <c r="GD19" i="12"/>
  <c r="GE19" i="12" s="1"/>
  <c r="FW19" i="12"/>
  <c r="FP19" i="12"/>
  <c r="FQ19" i="12" s="1"/>
  <c r="FJ19" i="12"/>
  <c r="FK19" i="12" s="1"/>
  <c r="FC19" i="12"/>
  <c r="FD19" i="12" s="1"/>
  <c r="EV19" i="12"/>
  <c r="EW19" i="12" s="1"/>
  <c r="EP19" i="12"/>
  <c r="EQ19" i="12" s="1"/>
  <c r="EI19" i="12"/>
  <c r="EJ19" i="12" s="1"/>
  <c r="EB19" i="12"/>
  <c r="EC19" i="12" s="1"/>
  <c r="DV19" i="12"/>
  <c r="DW19" i="12" s="1"/>
  <c r="DO19" i="12"/>
  <c r="DP19" i="12" s="1"/>
  <c r="DH19" i="12"/>
  <c r="DB19" i="12"/>
  <c r="DC19" i="12" s="1"/>
  <c r="CU19" i="12"/>
  <c r="CV19" i="12" s="1"/>
  <c r="CN19" i="12"/>
  <c r="CO19" i="12" s="1"/>
  <c r="CH19" i="12"/>
  <c r="CI19" i="12" s="1"/>
  <c r="CA19" i="12"/>
  <c r="CB19" i="12" s="1"/>
  <c r="BT19" i="12"/>
  <c r="BU19" i="12" s="1"/>
  <c r="BN19" i="12"/>
  <c r="BO19" i="12" s="1"/>
  <c r="BG19" i="12"/>
  <c r="BH19" i="12" s="1"/>
  <c r="AZ19" i="12"/>
  <c r="BA19" i="12" s="1"/>
  <c r="AT19" i="12"/>
  <c r="AU19" i="12" s="1"/>
  <c r="AM19" i="12"/>
  <c r="AN19" i="12" s="1"/>
  <c r="AF19" i="12"/>
  <c r="AG19" i="12" s="1"/>
  <c r="Z19" i="12"/>
  <c r="AA19" i="12" s="1"/>
  <c r="S19" i="12"/>
  <c r="T19" i="12" s="1"/>
  <c r="L19" i="12"/>
  <c r="M19" i="12" s="1"/>
  <c r="F19" i="12"/>
  <c r="G19" i="12" s="1"/>
  <c r="VU18" i="12"/>
  <c r="VV18" i="12" s="1"/>
  <c r="VP18" i="12"/>
  <c r="VQ18" i="12" s="1"/>
  <c r="VK18" i="12"/>
  <c r="VL18" i="12" s="1"/>
  <c r="VD18" i="12"/>
  <c r="VE18" i="12" s="1"/>
  <c r="UY18" i="12"/>
  <c r="UZ18" i="12" s="1"/>
  <c r="UT18" i="12"/>
  <c r="UU18" i="12" s="1"/>
  <c r="UM18" i="12"/>
  <c r="UN18" i="12" s="1"/>
  <c r="UF18" i="12"/>
  <c r="UG18" i="12" s="1"/>
  <c r="TZ18" i="12"/>
  <c r="UA18" i="12" s="1"/>
  <c r="TS18" i="12"/>
  <c r="TT18" i="12" s="1"/>
  <c r="TL18" i="12"/>
  <c r="TM18" i="12" s="1"/>
  <c r="TF18" i="12"/>
  <c r="TG18" i="12" s="1"/>
  <c r="SY18" i="12"/>
  <c r="SZ18" i="12" s="1"/>
  <c r="SR18" i="12"/>
  <c r="SS18" i="12" s="1"/>
  <c r="SL18" i="12"/>
  <c r="SM18" i="12" s="1"/>
  <c r="SE18" i="12"/>
  <c r="SF18" i="12" s="1"/>
  <c r="RX18" i="12"/>
  <c r="RY18" i="12" s="1"/>
  <c r="RR18" i="12"/>
  <c r="RS18" i="12" s="1"/>
  <c r="RK18" i="12"/>
  <c r="RL18" i="12" s="1"/>
  <c r="RD18" i="12"/>
  <c r="RE18" i="12" s="1"/>
  <c r="QX18" i="12"/>
  <c r="QY18" i="12" s="1"/>
  <c r="QQ18" i="12"/>
  <c r="QJ18" i="12"/>
  <c r="QK18" i="12" s="1"/>
  <c r="QD18" i="12"/>
  <c r="QE18" i="12" s="1"/>
  <c r="PW18" i="12"/>
  <c r="PX18" i="12" s="1"/>
  <c r="PP18" i="12"/>
  <c r="PQ18" i="12" s="1"/>
  <c r="PJ18" i="12"/>
  <c r="PK18" i="12" s="1"/>
  <c r="PC18" i="12"/>
  <c r="PD18" i="12" s="1"/>
  <c r="OV18" i="12"/>
  <c r="OW18" i="12" s="1"/>
  <c r="OP18" i="12"/>
  <c r="OQ18" i="12" s="1"/>
  <c r="OI18" i="12"/>
  <c r="OJ18" i="12" s="1"/>
  <c r="OB18" i="12"/>
  <c r="NV18" i="12"/>
  <c r="NW18" i="12" s="1"/>
  <c r="NO18" i="12"/>
  <c r="NP18" i="12" s="1"/>
  <c r="NH18" i="12"/>
  <c r="NI18" i="12" s="1"/>
  <c r="NB18" i="12"/>
  <c r="NC18" i="12" s="1"/>
  <c r="MU18" i="12"/>
  <c r="MV18" i="12" s="1"/>
  <c r="MN18" i="12"/>
  <c r="MO18" i="12" s="1"/>
  <c r="MH18" i="12"/>
  <c r="MI18" i="12" s="1"/>
  <c r="MA18" i="12"/>
  <c r="MB18" i="12" s="1"/>
  <c r="LT18" i="12"/>
  <c r="LU18" i="12" s="1"/>
  <c r="LN18" i="12"/>
  <c r="LO18" i="12" s="1"/>
  <c r="LG18" i="12"/>
  <c r="LH18" i="12" s="1"/>
  <c r="KZ18" i="12"/>
  <c r="LA18" i="12" s="1"/>
  <c r="KT18" i="12"/>
  <c r="KU18" i="12" s="1"/>
  <c r="KM18" i="12"/>
  <c r="KN18" i="12" s="1"/>
  <c r="KF18" i="12"/>
  <c r="KG18" i="12" s="1"/>
  <c r="JZ18" i="12"/>
  <c r="KA18" i="12" s="1"/>
  <c r="JS18" i="12"/>
  <c r="JT18" i="12" s="1"/>
  <c r="JL18" i="12"/>
  <c r="JM18" i="12" s="1"/>
  <c r="JF18" i="12"/>
  <c r="JG18" i="12" s="1"/>
  <c r="IY18" i="12"/>
  <c r="IZ18" i="12" s="1"/>
  <c r="IR18" i="12"/>
  <c r="IS18" i="12" s="1"/>
  <c r="IL18" i="12"/>
  <c r="IM18" i="12" s="1"/>
  <c r="IE18" i="12"/>
  <c r="IF18" i="12" s="1"/>
  <c r="HX18" i="12"/>
  <c r="HY18" i="12" s="1"/>
  <c r="HR18" i="12"/>
  <c r="HS18" i="12" s="1"/>
  <c r="HK18" i="12"/>
  <c r="HL18" i="12" s="1"/>
  <c r="HD18" i="12"/>
  <c r="HE18" i="12" s="1"/>
  <c r="GX18" i="12"/>
  <c r="GY18" i="12" s="1"/>
  <c r="GQ18" i="12"/>
  <c r="GR18" i="12" s="1"/>
  <c r="GJ18" i="12"/>
  <c r="GK18" i="12" s="1"/>
  <c r="GD18" i="12"/>
  <c r="GE18" i="12" s="1"/>
  <c r="FW18" i="12"/>
  <c r="FX18" i="12" s="1"/>
  <c r="FP18" i="12"/>
  <c r="FQ18" i="12" s="1"/>
  <c r="FJ18" i="12"/>
  <c r="FK18" i="12" s="1"/>
  <c r="FC18" i="12"/>
  <c r="FD18" i="12" s="1"/>
  <c r="EV18" i="12"/>
  <c r="EW18" i="12" s="1"/>
  <c r="EP18" i="12"/>
  <c r="EQ18" i="12" s="1"/>
  <c r="EI18" i="12"/>
  <c r="EJ18" i="12" s="1"/>
  <c r="EB18" i="12"/>
  <c r="EC18" i="12" s="1"/>
  <c r="DV18" i="12"/>
  <c r="DW18" i="12" s="1"/>
  <c r="DO18" i="12"/>
  <c r="DP18" i="12" s="1"/>
  <c r="DH18" i="12"/>
  <c r="DI18" i="12" s="1"/>
  <c r="DB18" i="12"/>
  <c r="DC18" i="12" s="1"/>
  <c r="CU18" i="12"/>
  <c r="CV18" i="12" s="1"/>
  <c r="CN18" i="12"/>
  <c r="CO18" i="12" s="1"/>
  <c r="CH18" i="12"/>
  <c r="CI18" i="12" s="1"/>
  <c r="CA18" i="12"/>
  <c r="CB18" i="12" s="1"/>
  <c r="BT18" i="12"/>
  <c r="BU18" i="12" s="1"/>
  <c r="BN18" i="12"/>
  <c r="BO18" i="12" s="1"/>
  <c r="BG18" i="12"/>
  <c r="BH18" i="12" s="1"/>
  <c r="AZ18" i="12"/>
  <c r="BA18" i="12" s="1"/>
  <c r="AT18" i="12"/>
  <c r="AU18" i="12" s="1"/>
  <c r="AM18" i="12"/>
  <c r="AN18" i="12" s="1"/>
  <c r="AF18" i="12"/>
  <c r="AG18" i="12" s="1"/>
  <c r="Z18" i="12"/>
  <c r="AA18" i="12" s="1"/>
  <c r="S18" i="12"/>
  <c r="T18" i="12" s="1"/>
  <c r="L18" i="12"/>
  <c r="M18" i="12" s="1"/>
  <c r="F18" i="12"/>
  <c r="G18" i="12" s="1"/>
  <c r="VU17" i="12"/>
  <c r="VV17" i="12" s="1"/>
  <c r="VP17" i="12"/>
  <c r="VQ17" i="12" s="1"/>
  <c r="VK17" i="12"/>
  <c r="VL17" i="12" s="1"/>
  <c r="VD17" i="12"/>
  <c r="VE17" i="12" s="1"/>
  <c r="UY17" i="12"/>
  <c r="UZ17" i="12" s="1"/>
  <c r="UT17" i="12"/>
  <c r="UU17" i="12" s="1"/>
  <c r="UM17" i="12"/>
  <c r="UN17" i="12" s="1"/>
  <c r="UF17" i="12"/>
  <c r="UG17" i="12" s="1"/>
  <c r="TZ17" i="12"/>
  <c r="UA17" i="12" s="1"/>
  <c r="TS17" i="12"/>
  <c r="TT17" i="12" s="1"/>
  <c r="TL17" i="12"/>
  <c r="TM17" i="12" s="1"/>
  <c r="TF17" i="12"/>
  <c r="TG17" i="12" s="1"/>
  <c r="SY17" i="12"/>
  <c r="SZ17" i="12" s="1"/>
  <c r="SR17" i="12"/>
  <c r="SS17" i="12" s="1"/>
  <c r="SL17" i="12"/>
  <c r="SM17" i="12" s="1"/>
  <c r="SE17" i="12"/>
  <c r="SF17" i="12" s="1"/>
  <c r="RX17" i="12"/>
  <c r="RY17" i="12" s="1"/>
  <c r="RR17" i="12"/>
  <c r="RS17" i="12" s="1"/>
  <c r="RK17" i="12"/>
  <c r="RL17" i="12" s="1"/>
  <c r="RD17" i="12"/>
  <c r="RE17" i="12" s="1"/>
  <c r="QX17" i="12"/>
  <c r="QY17" i="12" s="1"/>
  <c r="QQ17" i="12"/>
  <c r="QR17" i="12" s="1"/>
  <c r="QJ17" i="12"/>
  <c r="QK17" i="12" s="1"/>
  <c r="QD17" i="12"/>
  <c r="QE17" i="12" s="1"/>
  <c r="PW17" i="12"/>
  <c r="PX17" i="12" s="1"/>
  <c r="PP17" i="12"/>
  <c r="PQ17" i="12" s="1"/>
  <c r="PJ17" i="12"/>
  <c r="PK17" i="12" s="1"/>
  <c r="PC17" i="12"/>
  <c r="PD17" i="12" s="1"/>
  <c r="OV17" i="12"/>
  <c r="OW17" i="12" s="1"/>
  <c r="OP17" i="12"/>
  <c r="OQ17" i="12" s="1"/>
  <c r="OI17" i="12"/>
  <c r="OJ17" i="12" s="1"/>
  <c r="OB17" i="12"/>
  <c r="OC17" i="12" s="1"/>
  <c r="NV17" i="12"/>
  <c r="NO17" i="12"/>
  <c r="NP17" i="12" s="1"/>
  <c r="NH17" i="12"/>
  <c r="NI17" i="12" s="1"/>
  <c r="NB17" i="12"/>
  <c r="NC17" i="12" s="1"/>
  <c r="MU17" i="12"/>
  <c r="MN17" i="12"/>
  <c r="MO17" i="12" s="1"/>
  <c r="MH17" i="12"/>
  <c r="MI17" i="12" s="1"/>
  <c r="MA17" i="12"/>
  <c r="MB17" i="12" s="1"/>
  <c r="LT17" i="12"/>
  <c r="LU17" i="12" s="1"/>
  <c r="LN17" i="12"/>
  <c r="LG17" i="12"/>
  <c r="LH17" i="12" s="1"/>
  <c r="KZ17" i="12"/>
  <c r="LA17" i="12" s="1"/>
  <c r="KT17" i="12"/>
  <c r="KM17" i="12"/>
  <c r="KN17" i="12" s="1"/>
  <c r="KF17" i="12"/>
  <c r="KG17" i="12" s="1"/>
  <c r="JZ17" i="12"/>
  <c r="JS17" i="12"/>
  <c r="JT17" i="12" s="1"/>
  <c r="JL17" i="12"/>
  <c r="JM17" i="12" s="1"/>
  <c r="JF17" i="12"/>
  <c r="IY17" i="12"/>
  <c r="IZ17" i="12" s="1"/>
  <c r="IR17" i="12"/>
  <c r="IS17" i="12" s="1"/>
  <c r="IL17" i="12"/>
  <c r="IM17" i="12" s="1"/>
  <c r="IE17" i="12"/>
  <c r="IF17" i="12" s="1"/>
  <c r="HX17" i="12"/>
  <c r="HY17" i="12" s="1"/>
  <c r="HR17" i="12"/>
  <c r="HK17" i="12"/>
  <c r="HL17" i="12" s="1"/>
  <c r="HD17" i="12"/>
  <c r="HE17" i="12" s="1"/>
  <c r="GX17" i="12"/>
  <c r="GY17" i="12" s="1"/>
  <c r="GQ17" i="12"/>
  <c r="GR17" i="12" s="1"/>
  <c r="GJ17" i="12"/>
  <c r="GK17" i="12" s="1"/>
  <c r="GD17" i="12"/>
  <c r="FW17" i="12"/>
  <c r="FX17" i="12" s="1"/>
  <c r="FP17" i="12"/>
  <c r="FQ17" i="12" s="1"/>
  <c r="FJ17" i="12"/>
  <c r="FC17" i="12"/>
  <c r="FD17" i="12" s="1"/>
  <c r="EV17" i="12"/>
  <c r="EW17" i="12" s="1"/>
  <c r="EP17" i="12"/>
  <c r="EI17" i="12"/>
  <c r="EJ17" i="12" s="1"/>
  <c r="EB17" i="12"/>
  <c r="EC17" i="12" s="1"/>
  <c r="DV17" i="12"/>
  <c r="DO17" i="12"/>
  <c r="DP17" i="12" s="1"/>
  <c r="DH17" i="12"/>
  <c r="DI17" i="12" s="1"/>
  <c r="DB17" i="12"/>
  <c r="CU17" i="12"/>
  <c r="CV17" i="12" s="1"/>
  <c r="CN17" i="12"/>
  <c r="CO17" i="12" s="1"/>
  <c r="CH17" i="12"/>
  <c r="CA17" i="12"/>
  <c r="BT17" i="12"/>
  <c r="BU17" i="12" s="1"/>
  <c r="BN17" i="12"/>
  <c r="BG17" i="12"/>
  <c r="BH17" i="12" s="1"/>
  <c r="AZ17" i="12"/>
  <c r="BA17" i="12" s="1"/>
  <c r="AT17" i="12"/>
  <c r="AU17" i="12" s="1"/>
  <c r="AM17" i="12"/>
  <c r="AF17" i="12"/>
  <c r="AG17" i="12" s="1"/>
  <c r="Z17" i="12"/>
  <c r="S17" i="12"/>
  <c r="T17" i="12" s="1"/>
  <c r="L17" i="12"/>
  <c r="M17" i="12" s="1"/>
  <c r="F17" i="12"/>
  <c r="G17" i="12" s="1"/>
  <c r="VU15" i="12"/>
  <c r="VV15" i="12" s="1"/>
  <c r="VP15" i="12"/>
  <c r="VQ15" i="12" s="1"/>
  <c r="VK15" i="12"/>
  <c r="VD15" i="12"/>
  <c r="VE15" i="12" s="1"/>
  <c r="UY15" i="12"/>
  <c r="UZ15" i="12" s="1"/>
  <c r="UT15" i="12"/>
  <c r="UU15" i="12" s="1"/>
  <c r="UM15" i="12"/>
  <c r="UN15" i="12" s="1"/>
  <c r="UF15" i="12"/>
  <c r="UG15" i="12" s="1"/>
  <c r="TZ15" i="12"/>
  <c r="TS15" i="12"/>
  <c r="TT15" i="12" s="1"/>
  <c r="TL15" i="12"/>
  <c r="TM15" i="12" s="1"/>
  <c r="TF15" i="12"/>
  <c r="TG15" i="12" s="1"/>
  <c r="SY15" i="12"/>
  <c r="SZ15" i="12" s="1"/>
  <c r="SR15" i="12"/>
  <c r="SS15" i="12" s="1"/>
  <c r="SL15" i="12"/>
  <c r="SE15" i="12"/>
  <c r="SF15" i="12" s="1"/>
  <c r="RX15" i="12"/>
  <c r="RY15" i="12" s="1"/>
  <c r="RR15" i="12"/>
  <c r="RS15" i="12" s="1"/>
  <c r="RK15" i="12"/>
  <c r="RL15" i="12" s="1"/>
  <c r="RD15" i="12"/>
  <c r="RE15" i="12" s="1"/>
  <c r="QX15" i="12"/>
  <c r="QQ15" i="12"/>
  <c r="QR15" i="12" s="1"/>
  <c r="QJ15" i="12"/>
  <c r="QK15" i="12" s="1"/>
  <c r="QD15" i="12"/>
  <c r="QE15" i="12" s="1"/>
  <c r="PW15" i="12"/>
  <c r="PX15" i="12" s="1"/>
  <c r="PP15" i="12"/>
  <c r="PQ15" i="12" s="1"/>
  <c r="PJ15" i="12"/>
  <c r="PC15" i="12"/>
  <c r="PD15" i="12" s="1"/>
  <c r="OV15" i="12"/>
  <c r="OW15" i="12" s="1"/>
  <c r="OP15" i="12"/>
  <c r="OQ15" i="12" s="1"/>
  <c r="OI15" i="12"/>
  <c r="OJ15" i="12" s="1"/>
  <c r="OB15" i="12"/>
  <c r="OC15" i="12" s="1"/>
  <c r="NV15" i="12"/>
  <c r="NO15" i="12"/>
  <c r="NP15" i="12" s="1"/>
  <c r="NH15" i="12"/>
  <c r="NI15" i="12" s="1"/>
  <c r="NB15" i="12"/>
  <c r="NC15" i="12" s="1"/>
  <c r="MU15" i="12"/>
  <c r="MV15" i="12" s="1"/>
  <c r="MN15" i="12"/>
  <c r="MO15" i="12" s="1"/>
  <c r="MH15" i="12"/>
  <c r="MA15" i="12"/>
  <c r="MB15" i="12" s="1"/>
  <c r="LT15" i="12"/>
  <c r="LU15" i="12" s="1"/>
  <c r="LN15" i="12"/>
  <c r="LO15" i="12" s="1"/>
  <c r="LG15" i="12"/>
  <c r="LH15" i="12" s="1"/>
  <c r="KZ15" i="12"/>
  <c r="LA15" i="12" s="1"/>
  <c r="KT15" i="12"/>
  <c r="KM15" i="12"/>
  <c r="KN15" i="12" s="1"/>
  <c r="KF15" i="12"/>
  <c r="KG15" i="12" s="1"/>
  <c r="JZ15" i="12"/>
  <c r="JS15" i="12"/>
  <c r="JT15" i="12" s="1"/>
  <c r="JL15" i="12"/>
  <c r="JM15" i="12" s="1"/>
  <c r="JF15" i="12"/>
  <c r="IY15" i="12"/>
  <c r="IZ15" i="12" s="1"/>
  <c r="IR15" i="12"/>
  <c r="IS15" i="12" s="1"/>
  <c r="IL15" i="12"/>
  <c r="IE15" i="12"/>
  <c r="IF15" i="12" s="1"/>
  <c r="HX15" i="12"/>
  <c r="HY15" i="12" s="1"/>
  <c r="HR15" i="12"/>
  <c r="HS15" i="12" s="1"/>
  <c r="HK15" i="12"/>
  <c r="HL15" i="12" s="1"/>
  <c r="HD15" i="12"/>
  <c r="HE15" i="12" s="1"/>
  <c r="GX15" i="12"/>
  <c r="GQ15" i="12"/>
  <c r="GR15" i="12" s="1"/>
  <c r="GJ15" i="12"/>
  <c r="GK15" i="12" s="1"/>
  <c r="GD15" i="12"/>
  <c r="FW15" i="12"/>
  <c r="FX15" i="12" s="1"/>
  <c r="FP15" i="12"/>
  <c r="FQ15" i="12" s="1"/>
  <c r="FJ15" i="12"/>
  <c r="FC15" i="12"/>
  <c r="EV15" i="12"/>
  <c r="EW15" i="12" s="1"/>
  <c r="EP15" i="12"/>
  <c r="EI15" i="12"/>
  <c r="EJ15" i="12" s="1"/>
  <c r="EB15" i="12"/>
  <c r="DV15" i="12"/>
  <c r="DO15" i="12"/>
  <c r="DP15" i="12" s="1"/>
  <c r="DH15" i="12"/>
  <c r="DI15" i="12" s="1"/>
  <c r="DB15" i="12"/>
  <c r="CU15" i="12"/>
  <c r="CV15" i="12" s="1"/>
  <c r="CN15" i="12"/>
  <c r="CO15" i="12" s="1"/>
  <c r="CH15" i="12"/>
  <c r="CA15" i="12"/>
  <c r="CB15" i="12" s="1"/>
  <c r="BT15" i="12"/>
  <c r="BU15" i="12" s="1"/>
  <c r="BN15" i="12"/>
  <c r="BG15" i="12"/>
  <c r="BH15" i="12" s="1"/>
  <c r="AZ15" i="12"/>
  <c r="BA15" i="12" s="1"/>
  <c r="AT15" i="12"/>
  <c r="AM15" i="12"/>
  <c r="AN15" i="12" s="1"/>
  <c r="AF15" i="12"/>
  <c r="AG15" i="12" s="1"/>
  <c r="Z15" i="12"/>
  <c r="S15" i="12"/>
  <c r="T15" i="12" s="1"/>
  <c r="L15" i="12"/>
  <c r="M15" i="12" s="1"/>
  <c r="F15" i="12"/>
  <c r="VU14" i="12"/>
  <c r="VV14" i="12" s="1"/>
  <c r="VP14" i="12"/>
  <c r="VQ14" i="12" s="1"/>
  <c r="VK14" i="12"/>
  <c r="VD14" i="12"/>
  <c r="VE14" i="12" s="1"/>
  <c r="UY14" i="12"/>
  <c r="UZ14" i="12" s="1"/>
  <c r="UT14" i="12"/>
  <c r="UM14" i="12"/>
  <c r="UN14" i="12" s="1"/>
  <c r="UF14" i="12"/>
  <c r="UG14" i="12" s="1"/>
  <c r="TZ14" i="12"/>
  <c r="TS14" i="12"/>
  <c r="TT14" i="12" s="1"/>
  <c r="TL14" i="12"/>
  <c r="TM14" i="12" s="1"/>
  <c r="TF14" i="12"/>
  <c r="SY14" i="12"/>
  <c r="SZ14" i="12" s="1"/>
  <c r="SR14" i="12"/>
  <c r="SS14" i="12" s="1"/>
  <c r="SL14" i="12"/>
  <c r="SE14" i="12"/>
  <c r="RX14" i="12"/>
  <c r="RR14" i="12"/>
  <c r="RK14" i="12"/>
  <c r="RD14" i="12"/>
  <c r="RE14" i="12" s="1"/>
  <c r="QX14" i="12"/>
  <c r="QY14" i="12" s="1"/>
  <c r="QQ14" i="12"/>
  <c r="QJ14" i="12"/>
  <c r="QK14" i="12" s="1"/>
  <c r="QD14" i="12"/>
  <c r="PW14" i="12"/>
  <c r="PX14" i="12" s="1"/>
  <c r="PP14" i="12"/>
  <c r="PQ14" i="12" s="1"/>
  <c r="PJ14" i="12"/>
  <c r="PC14" i="12"/>
  <c r="PD14" i="12" s="1"/>
  <c r="OV14" i="12"/>
  <c r="OW14" i="12" s="1"/>
  <c r="OP14" i="12"/>
  <c r="OI14" i="12"/>
  <c r="OJ14" i="12" s="1"/>
  <c r="OB14" i="12"/>
  <c r="OC14" i="12" s="1"/>
  <c r="NV14" i="12"/>
  <c r="NO14" i="12"/>
  <c r="NP14" i="12" s="1"/>
  <c r="NH14" i="12"/>
  <c r="NI14" i="12" s="1"/>
  <c r="NB14" i="12"/>
  <c r="MU14" i="12"/>
  <c r="MN14" i="12"/>
  <c r="MO14" i="12" s="1"/>
  <c r="MH14" i="12"/>
  <c r="MA14" i="12"/>
  <c r="LT14" i="12"/>
  <c r="LN14" i="12"/>
  <c r="LG14" i="12"/>
  <c r="KZ14" i="12"/>
  <c r="LA14" i="12" s="1"/>
  <c r="KT14" i="12"/>
  <c r="KU14" i="12" s="1"/>
  <c r="KM14" i="12"/>
  <c r="KF14" i="12"/>
  <c r="KG14" i="12" s="1"/>
  <c r="JZ14" i="12"/>
  <c r="JS14" i="12"/>
  <c r="JL14" i="12"/>
  <c r="JM14" i="12" s="1"/>
  <c r="JF14" i="12"/>
  <c r="IY14" i="12"/>
  <c r="IZ14" i="12" s="1"/>
  <c r="IR14" i="12"/>
  <c r="IS14" i="12" s="1"/>
  <c r="IL14" i="12"/>
  <c r="IE14" i="12"/>
  <c r="IF14" i="12" s="1"/>
  <c r="HX14" i="12"/>
  <c r="HY14" i="12" s="1"/>
  <c r="HR14" i="12"/>
  <c r="HS14" i="12" s="1"/>
  <c r="HK14" i="12"/>
  <c r="HL14" i="12" s="1"/>
  <c r="HD14" i="12"/>
  <c r="GX14" i="12"/>
  <c r="GQ14" i="12"/>
  <c r="GR14" i="12" s="1"/>
  <c r="GJ14" i="12"/>
  <c r="GK14" i="12" s="1"/>
  <c r="GD14" i="12"/>
  <c r="FW14" i="12"/>
  <c r="FP14" i="12"/>
  <c r="FQ14" i="12" s="1"/>
  <c r="FJ14" i="12"/>
  <c r="FC14" i="12"/>
  <c r="FD14" i="12" s="1"/>
  <c r="EV14" i="12"/>
  <c r="EW14" i="12" s="1"/>
  <c r="EP14" i="12"/>
  <c r="EI14" i="12"/>
  <c r="EB14" i="12"/>
  <c r="EC14" i="12" s="1"/>
  <c r="DV14" i="12"/>
  <c r="DO14" i="12"/>
  <c r="DP14" i="12" s="1"/>
  <c r="DH14" i="12"/>
  <c r="DI14" i="12" s="1"/>
  <c r="DB14" i="12"/>
  <c r="CU14" i="12"/>
  <c r="CV14" i="12" s="1"/>
  <c r="CN14" i="12"/>
  <c r="CO14" i="12" s="1"/>
  <c r="CH14" i="12"/>
  <c r="CA14" i="12"/>
  <c r="CB14" i="12" s="1"/>
  <c r="BT14" i="12"/>
  <c r="BU14" i="12" s="1"/>
  <c r="BN14" i="12"/>
  <c r="BG14" i="12"/>
  <c r="BH14" i="12" s="1"/>
  <c r="AZ14" i="12"/>
  <c r="AT14" i="12"/>
  <c r="AM14" i="12"/>
  <c r="AN14" i="12" s="1"/>
  <c r="AF14" i="12"/>
  <c r="AG14" i="12" s="1"/>
  <c r="Z14" i="12"/>
  <c r="S14" i="12"/>
  <c r="L14" i="12"/>
  <c r="F14" i="12"/>
  <c r="VU12" i="12"/>
  <c r="VV12" i="12" s="1"/>
  <c r="VP12" i="12"/>
  <c r="VQ12" i="12" s="1"/>
  <c r="VK12" i="12"/>
  <c r="VD12" i="12"/>
  <c r="VE12" i="12" s="1"/>
  <c r="UY12" i="12"/>
  <c r="UZ12" i="12" s="1"/>
  <c r="UT12" i="12"/>
  <c r="UM12" i="12"/>
  <c r="UN12" i="12" s="1"/>
  <c r="UF12" i="12"/>
  <c r="UG12" i="12" s="1"/>
  <c r="TZ12" i="12"/>
  <c r="TS12" i="12"/>
  <c r="TT12" i="12" s="1"/>
  <c r="TL12" i="12"/>
  <c r="TM12" i="12" s="1"/>
  <c r="TF12" i="12"/>
  <c r="SY12" i="12"/>
  <c r="SZ12" i="12" s="1"/>
  <c r="SR12" i="12"/>
  <c r="SS12" i="12" s="1"/>
  <c r="SL12" i="12"/>
  <c r="SE12" i="12"/>
  <c r="SF12" i="12" s="1"/>
  <c r="RX12" i="12"/>
  <c r="RY12" i="12" s="1"/>
  <c r="RR12" i="12"/>
  <c r="RK12" i="12"/>
  <c r="RD12" i="12"/>
  <c r="RE12" i="12" s="1"/>
  <c r="QX12" i="12"/>
  <c r="QY12" i="12" s="1"/>
  <c r="QQ12" i="12"/>
  <c r="QR12" i="12" s="1"/>
  <c r="QJ12" i="12"/>
  <c r="QK12" i="12" s="1"/>
  <c r="QD12" i="12"/>
  <c r="PW12" i="12"/>
  <c r="PX12" i="12" s="1"/>
  <c r="PP12" i="12"/>
  <c r="PQ12" i="12" s="1"/>
  <c r="PJ12" i="12"/>
  <c r="PC12" i="12"/>
  <c r="PD12" i="12" s="1"/>
  <c r="OV12" i="12"/>
  <c r="OW12" i="12" s="1"/>
  <c r="OP12" i="12"/>
  <c r="OI12" i="12"/>
  <c r="OJ12" i="12" s="1"/>
  <c r="OB12" i="12"/>
  <c r="OC12" i="12" s="1"/>
  <c r="NV12" i="12"/>
  <c r="NO12" i="12"/>
  <c r="NP12" i="12" s="1"/>
  <c r="NH12" i="12"/>
  <c r="NI12" i="12" s="1"/>
  <c r="NB12" i="12"/>
  <c r="MU12" i="12"/>
  <c r="MV12" i="12" s="1"/>
  <c r="MN12" i="12"/>
  <c r="MO12" i="12" s="1"/>
  <c r="MH12" i="12"/>
  <c r="MA12" i="12"/>
  <c r="MB12" i="12" s="1"/>
  <c r="LT12" i="12"/>
  <c r="LU12" i="12" s="1"/>
  <c r="LN12" i="12"/>
  <c r="LG12" i="12"/>
  <c r="KZ12" i="12"/>
  <c r="LA12" i="12" s="1"/>
  <c r="KT12" i="12"/>
  <c r="KU12" i="12" s="1"/>
  <c r="KM12" i="12"/>
  <c r="KN12" i="12" s="1"/>
  <c r="KF12" i="12"/>
  <c r="KG12" i="12" s="1"/>
  <c r="JZ12" i="12"/>
  <c r="JS12" i="12"/>
  <c r="JT12" i="12" s="1"/>
  <c r="JL12" i="12"/>
  <c r="JM12" i="12" s="1"/>
  <c r="JF12" i="12"/>
  <c r="IY12" i="12"/>
  <c r="IZ12" i="12" s="1"/>
  <c r="IR12" i="12"/>
  <c r="IL12" i="12"/>
  <c r="IE12" i="12"/>
  <c r="IF12" i="12" s="1"/>
  <c r="HX12" i="12"/>
  <c r="HY12" i="12" s="1"/>
  <c r="HR12" i="12"/>
  <c r="HK12" i="12"/>
  <c r="HL12" i="12" s="1"/>
  <c r="HD12" i="12"/>
  <c r="GX12" i="12"/>
  <c r="GQ12" i="12"/>
  <c r="GR12" i="12" s="1"/>
  <c r="GJ12" i="12"/>
  <c r="GK12" i="12" s="1"/>
  <c r="GD12" i="12"/>
  <c r="FW12" i="12"/>
  <c r="FX12" i="12" s="1"/>
  <c r="FP12" i="12"/>
  <c r="FJ12" i="12"/>
  <c r="FC12" i="12"/>
  <c r="FD12" i="12" s="1"/>
  <c r="EV12" i="12"/>
  <c r="EP12" i="12"/>
  <c r="EQ12" i="12" s="1"/>
  <c r="EI12" i="12"/>
  <c r="EJ12" i="12" s="1"/>
  <c r="EB12" i="12"/>
  <c r="DV12" i="12"/>
  <c r="DO12" i="12"/>
  <c r="DP12" i="12" s="1"/>
  <c r="DH12" i="12"/>
  <c r="DI12" i="12" s="1"/>
  <c r="DB12" i="12"/>
  <c r="CU12" i="12"/>
  <c r="CV12" i="12" s="1"/>
  <c r="CN12" i="12"/>
  <c r="CH12" i="12"/>
  <c r="CA12" i="12"/>
  <c r="CB12" i="12" s="1"/>
  <c r="BT12" i="12"/>
  <c r="BN12" i="12"/>
  <c r="BO12" i="12" s="1"/>
  <c r="BG12" i="12"/>
  <c r="BH12" i="12" s="1"/>
  <c r="AZ12" i="12"/>
  <c r="AT12" i="12"/>
  <c r="AM12" i="12"/>
  <c r="AN12" i="12" s="1"/>
  <c r="AF12" i="12"/>
  <c r="AG12" i="12" s="1"/>
  <c r="Z12" i="12"/>
  <c r="S12" i="12"/>
  <c r="T12" i="12" s="1"/>
  <c r="L12" i="12"/>
  <c r="F12" i="12"/>
  <c r="VU11" i="12"/>
  <c r="VV11" i="12" s="1"/>
  <c r="VP11" i="12"/>
  <c r="VQ11" i="12" s="1"/>
  <c r="VK11" i="12"/>
  <c r="VD11" i="12"/>
  <c r="UY11" i="12"/>
  <c r="UT11" i="12"/>
  <c r="UM11" i="12"/>
  <c r="UN11" i="12" s="1"/>
  <c r="UF11" i="12"/>
  <c r="UG11" i="12" s="1"/>
  <c r="TZ11" i="12"/>
  <c r="TS11" i="12"/>
  <c r="TT11" i="12" s="1"/>
  <c r="TL11" i="12"/>
  <c r="TF11" i="12"/>
  <c r="SY11" i="12"/>
  <c r="SZ11" i="12" s="1"/>
  <c r="SR11" i="12"/>
  <c r="SS11" i="12" s="1"/>
  <c r="SL11" i="12"/>
  <c r="SE11" i="12"/>
  <c r="SF11" i="12" s="1"/>
  <c r="RX11" i="12"/>
  <c r="RR11" i="12"/>
  <c r="RK11" i="12"/>
  <c r="RD11" i="12"/>
  <c r="RE11" i="12" s="1"/>
  <c r="QX11" i="12"/>
  <c r="QQ11" i="12"/>
  <c r="QR11" i="12" s="1"/>
  <c r="QJ11" i="12"/>
  <c r="QD11" i="12"/>
  <c r="PW11" i="12"/>
  <c r="PP11" i="12"/>
  <c r="PQ11" i="12" s="1"/>
  <c r="PJ11" i="12"/>
  <c r="PC11" i="12"/>
  <c r="PD11" i="12" s="1"/>
  <c r="OV11" i="12"/>
  <c r="OP11" i="12"/>
  <c r="OI11" i="12"/>
  <c r="OJ11" i="12" s="1"/>
  <c r="OB11" i="12"/>
  <c r="OC11" i="12" s="1"/>
  <c r="NV11" i="12"/>
  <c r="NO11" i="12"/>
  <c r="NP11" i="12" s="1"/>
  <c r="NH11" i="12"/>
  <c r="NB11" i="12"/>
  <c r="MU11" i="12"/>
  <c r="MV11" i="12" s="1"/>
  <c r="MN11" i="12"/>
  <c r="MO11" i="12" s="1"/>
  <c r="MH11" i="12"/>
  <c r="MA11" i="12"/>
  <c r="MB11" i="12" s="1"/>
  <c r="LT11" i="12"/>
  <c r="LN11" i="12"/>
  <c r="LG11" i="12"/>
  <c r="LH11" i="12" s="1"/>
  <c r="KZ11" i="12"/>
  <c r="LA11" i="12" s="1"/>
  <c r="KT11" i="12"/>
  <c r="KM11" i="12"/>
  <c r="KN11" i="12" s="1"/>
  <c r="KF11" i="12"/>
  <c r="JZ11" i="12"/>
  <c r="JS11" i="12"/>
  <c r="JT11" i="12" s="1"/>
  <c r="JL11" i="12"/>
  <c r="JM11" i="12" s="1"/>
  <c r="JF11" i="12"/>
  <c r="IY11" i="12"/>
  <c r="IR11" i="12"/>
  <c r="IS11" i="12" s="1"/>
  <c r="IL11" i="12"/>
  <c r="IE11" i="12"/>
  <c r="IF11" i="12" s="1"/>
  <c r="HX11" i="12"/>
  <c r="HY11" i="12" s="1"/>
  <c r="HR11" i="12"/>
  <c r="HK11" i="12"/>
  <c r="HL11" i="12" s="1"/>
  <c r="HD11" i="12"/>
  <c r="HE11" i="12" s="1"/>
  <c r="GX11" i="12"/>
  <c r="GQ11" i="12"/>
  <c r="GR11" i="12" s="1"/>
  <c r="GJ11" i="12"/>
  <c r="GK11" i="12" s="1"/>
  <c r="GD11" i="12"/>
  <c r="FW11" i="12"/>
  <c r="FX11" i="12" s="1"/>
  <c r="FP11" i="12"/>
  <c r="FQ11" i="12" s="1"/>
  <c r="FJ11" i="12"/>
  <c r="FC11" i="12"/>
  <c r="FD11" i="12" s="1"/>
  <c r="EV11" i="12"/>
  <c r="EW11" i="12" s="1"/>
  <c r="EP11" i="12"/>
  <c r="EI11" i="12"/>
  <c r="EJ11" i="12" s="1"/>
  <c r="EB11" i="12"/>
  <c r="EC11" i="12" s="1"/>
  <c r="DV11" i="12"/>
  <c r="DO11" i="12"/>
  <c r="DP11" i="12" s="1"/>
  <c r="DH11" i="12"/>
  <c r="DI11" i="12" s="1"/>
  <c r="DB11" i="12"/>
  <c r="CU11" i="12"/>
  <c r="CN11" i="12"/>
  <c r="CO11" i="12" s="1"/>
  <c r="CH11" i="12"/>
  <c r="CA11" i="12"/>
  <c r="CB11" i="12" s="1"/>
  <c r="BT11" i="12"/>
  <c r="BU11" i="12" s="1"/>
  <c r="BN11" i="12"/>
  <c r="BG11" i="12"/>
  <c r="BH11" i="12" s="1"/>
  <c r="AZ11" i="12"/>
  <c r="BA11" i="12" s="1"/>
  <c r="AT11" i="12"/>
  <c r="AM11" i="12"/>
  <c r="AN11" i="12" s="1"/>
  <c r="AF11" i="12"/>
  <c r="AG11" i="12" s="1"/>
  <c r="Z11" i="12"/>
  <c r="S11" i="12"/>
  <c r="T11" i="12" s="1"/>
  <c r="L11" i="12"/>
  <c r="M11" i="12" s="1"/>
  <c r="F11" i="12"/>
  <c r="VU9" i="12"/>
  <c r="VV9" i="12" s="1"/>
  <c r="VP9" i="12"/>
  <c r="VQ9" i="12" s="1"/>
  <c r="VK9" i="12"/>
  <c r="VD9" i="12"/>
  <c r="VE9" i="12" s="1"/>
  <c r="UY9" i="12"/>
  <c r="UZ9" i="12" s="1"/>
  <c r="UT9" i="12"/>
  <c r="UM9" i="12"/>
  <c r="UN9" i="12" s="1"/>
  <c r="UF9" i="12"/>
  <c r="UG9" i="12" s="1"/>
  <c r="TZ9" i="12"/>
  <c r="TS9" i="12"/>
  <c r="TL9" i="12"/>
  <c r="TM9" i="12" s="1"/>
  <c r="TF9" i="12"/>
  <c r="SY9" i="12"/>
  <c r="SZ9" i="12" s="1"/>
  <c r="SR9" i="12"/>
  <c r="SS9" i="12" s="1"/>
  <c r="SL9" i="12"/>
  <c r="SE9" i="12"/>
  <c r="SF9" i="12" s="1"/>
  <c r="RX9" i="12"/>
  <c r="RY9" i="12" s="1"/>
  <c r="RR9" i="12"/>
  <c r="RK9" i="12"/>
  <c r="RL9" i="12" s="1"/>
  <c r="RD9" i="12"/>
  <c r="RE9" i="12" s="1"/>
  <c r="QX9" i="12"/>
  <c r="QQ9" i="12"/>
  <c r="QR9" i="12" s="1"/>
  <c r="QJ9" i="12"/>
  <c r="QK9" i="12" s="1"/>
  <c r="QD9" i="12"/>
  <c r="PW9" i="12"/>
  <c r="PX9" i="12" s="1"/>
  <c r="PP9" i="12"/>
  <c r="PQ9" i="12" s="1"/>
  <c r="PJ9" i="12"/>
  <c r="PC9" i="12"/>
  <c r="PD9" i="12" s="1"/>
  <c r="OV9" i="12"/>
  <c r="OW9" i="12" s="1"/>
  <c r="OP9" i="12"/>
  <c r="OI9" i="12"/>
  <c r="OJ9" i="12" s="1"/>
  <c r="OB9" i="12"/>
  <c r="OC9" i="12" s="1"/>
  <c r="NV9" i="12"/>
  <c r="NO9" i="12"/>
  <c r="NH9" i="12"/>
  <c r="NI9" i="12" s="1"/>
  <c r="NB9" i="12"/>
  <c r="MU9" i="12"/>
  <c r="MV9" i="12" s="1"/>
  <c r="MN9" i="12"/>
  <c r="MO9" i="12" s="1"/>
  <c r="MH9" i="12"/>
  <c r="MA9" i="12"/>
  <c r="MB9" i="12" s="1"/>
  <c r="LT9" i="12"/>
  <c r="LU9" i="12" s="1"/>
  <c r="LN9" i="12"/>
  <c r="LG9" i="12"/>
  <c r="LH9" i="12" s="1"/>
  <c r="KZ9" i="12"/>
  <c r="LA9" i="12" s="1"/>
  <c r="KT9" i="12"/>
  <c r="KM9" i="12"/>
  <c r="KN9" i="12" s="1"/>
  <c r="KF9" i="12"/>
  <c r="KG9" i="12" s="1"/>
  <c r="JZ9" i="12"/>
  <c r="JS9" i="12"/>
  <c r="JT9" i="12" s="1"/>
  <c r="JL9" i="12"/>
  <c r="JM9" i="12" s="1"/>
  <c r="JF9" i="12"/>
  <c r="IY9" i="12"/>
  <c r="IZ9" i="12" s="1"/>
  <c r="IR9" i="12"/>
  <c r="IS9" i="12" s="1"/>
  <c r="IL9" i="12"/>
  <c r="IE9" i="12"/>
  <c r="IF9" i="12" s="1"/>
  <c r="HX9" i="12"/>
  <c r="HY9" i="12" s="1"/>
  <c r="HR9" i="12"/>
  <c r="HK9" i="12"/>
  <c r="HD9" i="12"/>
  <c r="HE9" i="12" s="1"/>
  <c r="GX9" i="12"/>
  <c r="GQ9" i="12"/>
  <c r="GR9" i="12" s="1"/>
  <c r="GJ9" i="12"/>
  <c r="GK9" i="12" s="1"/>
  <c r="GD9" i="12"/>
  <c r="FW9" i="12"/>
  <c r="FX9" i="12" s="1"/>
  <c r="FP9" i="12"/>
  <c r="FQ9" i="12" s="1"/>
  <c r="FJ9" i="12"/>
  <c r="FC9" i="12"/>
  <c r="FD9" i="12" s="1"/>
  <c r="EV9" i="12"/>
  <c r="EW9" i="12" s="1"/>
  <c r="EP9" i="12"/>
  <c r="EI9" i="12"/>
  <c r="EJ9" i="12" s="1"/>
  <c r="EB9" i="12"/>
  <c r="EC9" i="12" s="1"/>
  <c r="DV9" i="12"/>
  <c r="DO9" i="12"/>
  <c r="DP9" i="12" s="1"/>
  <c r="DH9" i="12"/>
  <c r="DI9" i="12" s="1"/>
  <c r="DB9" i="12"/>
  <c r="CU9" i="12"/>
  <c r="CV9" i="12" s="1"/>
  <c r="CN9" i="12"/>
  <c r="CO9" i="12" s="1"/>
  <c r="CH9" i="12"/>
  <c r="CA9" i="12"/>
  <c r="CB9" i="12" s="1"/>
  <c r="BT9" i="12"/>
  <c r="BU9" i="12" s="1"/>
  <c r="BN9" i="12"/>
  <c r="BG9" i="12"/>
  <c r="AZ9" i="12"/>
  <c r="BA9" i="12" s="1"/>
  <c r="AT9" i="12"/>
  <c r="AM9" i="12"/>
  <c r="AN9" i="12" s="1"/>
  <c r="AF9" i="12"/>
  <c r="AG9" i="12" s="1"/>
  <c r="Z9" i="12"/>
  <c r="S9" i="12"/>
  <c r="T9" i="12" s="1"/>
  <c r="L9" i="12"/>
  <c r="M9" i="12" s="1"/>
  <c r="F9" i="12"/>
  <c r="VU8" i="12"/>
  <c r="VV8" i="12" s="1"/>
  <c r="VP8" i="12"/>
  <c r="VQ8" i="12" s="1"/>
  <c r="VK8" i="12"/>
  <c r="VD8" i="12"/>
  <c r="VE8" i="12" s="1"/>
  <c r="UY8" i="12"/>
  <c r="UZ8" i="12" s="1"/>
  <c r="UT8" i="12"/>
  <c r="UM8" i="12"/>
  <c r="UN8" i="12" s="1"/>
  <c r="UF8" i="12"/>
  <c r="UG8" i="12" s="1"/>
  <c r="TZ8" i="12"/>
  <c r="TS8" i="12"/>
  <c r="TT8" i="12" s="1"/>
  <c r="TL8" i="12"/>
  <c r="TM8" i="12" s="1"/>
  <c r="TF8" i="12"/>
  <c r="SY8" i="12"/>
  <c r="SZ8" i="12" s="1"/>
  <c r="SR8" i="12"/>
  <c r="SS8" i="12" s="1"/>
  <c r="SL8" i="12"/>
  <c r="SE8" i="12"/>
  <c r="RX8" i="12"/>
  <c r="RY8" i="12" s="1"/>
  <c r="RR8" i="12"/>
  <c r="RK8" i="12"/>
  <c r="RL8" i="12" s="1"/>
  <c r="RD8" i="12"/>
  <c r="QX8" i="12"/>
  <c r="QQ8" i="12"/>
  <c r="QR8" i="12" s="1"/>
  <c r="QJ8" i="12"/>
  <c r="QK8" i="12" s="1"/>
  <c r="QD8" i="12"/>
  <c r="PW8" i="12"/>
  <c r="PX8" i="12" s="1"/>
  <c r="PP8" i="12"/>
  <c r="PQ8" i="12" s="1"/>
  <c r="PJ8" i="12"/>
  <c r="PC8" i="12"/>
  <c r="PD8" i="12" s="1"/>
  <c r="OV8" i="12"/>
  <c r="OW8" i="12" s="1"/>
  <c r="OP8" i="12"/>
  <c r="OI8" i="12"/>
  <c r="OJ8" i="12" s="1"/>
  <c r="OB8" i="12"/>
  <c r="OC8" i="12" s="1"/>
  <c r="NV8" i="12"/>
  <c r="NO8" i="12"/>
  <c r="NP8" i="12" s="1"/>
  <c r="NH8" i="12"/>
  <c r="NI8" i="12" s="1"/>
  <c r="NB8" i="12"/>
  <c r="MU8" i="12"/>
  <c r="MV8" i="12" s="1"/>
  <c r="MN8" i="12"/>
  <c r="MO8" i="12" s="1"/>
  <c r="MH8" i="12"/>
  <c r="MA8" i="12"/>
  <c r="LT8" i="12"/>
  <c r="LU8" i="12" s="1"/>
  <c r="LN8" i="12"/>
  <c r="LG8" i="12"/>
  <c r="LH8" i="12" s="1"/>
  <c r="KZ8" i="12"/>
  <c r="LA8" i="12" s="1"/>
  <c r="KT8" i="12"/>
  <c r="KM8" i="12"/>
  <c r="KN8" i="12" s="1"/>
  <c r="KF8" i="12"/>
  <c r="KG8" i="12" s="1"/>
  <c r="JZ8" i="12"/>
  <c r="KA8" i="12" s="1"/>
  <c r="JS8" i="12"/>
  <c r="JT8" i="12" s="1"/>
  <c r="JL8" i="12"/>
  <c r="JM8" i="12" s="1"/>
  <c r="JF8" i="12"/>
  <c r="JG8" i="12" s="1"/>
  <c r="IY8" i="12"/>
  <c r="IZ8" i="12" s="1"/>
  <c r="IR8" i="12"/>
  <c r="IS8" i="12" s="1"/>
  <c r="IL8" i="12"/>
  <c r="IM8" i="12" s="1"/>
  <c r="IE8" i="12"/>
  <c r="IF8" i="12" s="1"/>
  <c r="HX8" i="12"/>
  <c r="HY8" i="12" s="1"/>
  <c r="HR8" i="12"/>
  <c r="HS8" i="12" s="1"/>
  <c r="HK8" i="12"/>
  <c r="HL8" i="12" s="1"/>
  <c r="HD8" i="12"/>
  <c r="HE8" i="12" s="1"/>
  <c r="GX8" i="12"/>
  <c r="GY8" i="12" s="1"/>
  <c r="GQ8" i="12"/>
  <c r="GR8" i="12" s="1"/>
  <c r="GJ8" i="12"/>
  <c r="GK8" i="12" s="1"/>
  <c r="GD8" i="12"/>
  <c r="GE8" i="12" s="1"/>
  <c r="FW8" i="12"/>
  <c r="FX8" i="12" s="1"/>
  <c r="FP8" i="12"/>
  <c r="FQ8" i="12" s="1"/>
  <c r="FJ8" i="12"/>
  <c r="FK8" i="12" s="1"/>
  <c r="FC8" i="12"/>
  <c r="FD8" i="12" s="1"/>
  <c r="EV8" i="12"/>
  <c r="EW8" i="12" s="1"/>
  <c r="EP8" i="12"/>
  <c r="EQ8" i="12" s="1"/>
  <c r="EI8" i="12"/>
  <c r="EJ8" i="12" s="1"/>
  <c r="EB8" i="12"/>
  <c r="EC8" i="12" s="1"/>
  <c r="DV8" i="12"/>
  <c r="DW8" i="12" s="1"/>
  <c r="DO8" i="12"/>
  <c r="DP8" i="12" s="1"/>
  <c r="DH8" i="12"/>
  <c r="DI8" i="12" s="1"/>
  <c r="DB8" i="12"/>
  <c r="DC8" i="12" s="1"/>
  <c r="CU8" i="12"/>
  <c r="CV8" i="12" s="1"/>
  <c r="CN8" i="12"/>
  <c r="CO8" i="12" s="1"/>
  <c r="CH8" i="12"/>
  <c r="CI8" i="12" s="1"/>
  <c r="CA8" i="12"/>
  <c r="CB8" i="12" s="1"/>
  <c r="BT8" i="12"/>
  <c r="BU8" i="12" s="1"/>
  <c r="BN8" i="12"/>
  <c r="BO8" i="12" s="1"/>
  <c r="BG8" i="12"/>
  <c r="BH8" i="12" s="1"/>
  <c r="AZ8" i="12"/>
  <c r="BA8" i="12" s="1"/>
  <c r="AT8" i="12"/>
  <c r="AU8" i="12" s="1"/>
  <c r="AM8" i="12"/>
  <c r="AN8" i="12" s="1"/>
  <c r="AF8" i="12"/>
  <c r="AG8" i="12" s="1"/>
  <c r="Z8" i="12"/>
  <c r="AA8" i="12" s="1"/>
  <c r="S8" i="12"/>
  <c r="T8" i="12" s="1"/>
  <c r="L8" i="12"/>
  <c r="M8" i="12" s="1"/>
  <c r="F8" i="12"/>
  <c r="G8" i="12" s="1"/>
  <c r="VU7" i="12"/>
  <c r="VV7" i="12" s="1"/>
  <c r="VP7" i="12"/>
  <c r="VQ7" i="12" s="1"/>
  <c r="VK7" i="12"/>
  <c r="VL7" i="12" s="1"/>
  <c r="VD7" i="12"/>
  <c r="VE7" i="12" s="1"/>
  <c r="UY7" i="12"/>
  <c r="UZ7" i="12" s="1"/>
  <c r="UT7" i="12"/>
  <c r="UU7" i="12" s="1"/>
  <c r="UM7" i="12"/>
  <c r="UN7" i="12" s="1"/>
  <c r="UF7" i="12"/>
  <c r="UG7" i="12" s="1"/>
  <c r="TZ7" i="12"/>
  <c r="UA7" i="12" s="1"/>
  <c r="TS7" i="12"/>
  <c r="TT7" i="12" s="1"/>
  <c r="TL7" i="12"/>
  <c r="TM7" i="12" s="1"/>
  <c r="TF7" i="12"/>
  <c r="TG7" i="12" s="1"/>
  <c r="SY7" i="12"/>
  <c r="SZ7" i="12" s="1"/>
  <c r="SR7" i="12"/>
  <c r="SS7" i="12" s="1"/>
  <c r="SL7" i="12"/>
  <c r="SM7" i="12" s="1"/>
  <c r="SE7" i="12"/>
  <c r="SF7" i="12" s="1"/>
  <c r="RX7" i="12"/>
  <c r="RY7" i="12" s="1"/>
  <c r="RR7" i="12"/>
  <c r="RS7" i="12" s="1"/>
  <c r="RK7" i="12"/>
  <c r="RL7" i="12" s="1"/>
  <c r="RD7" i="12"/>
  <c r="RE7" i="12" s="1"/>
  <c r="QX7" i="12"/>
  <c r="QY7" i="12" s="1"/>
  <c r="QQ7" i="12"/>
  <c r="QR7" i="12" s="1"/>
  <c r="QJ7" i="12"/>
  <c r="QK7" i="12" s="1"/>
  <c r="QD7" i="12"/>
  <c r="QE7" i="12" s="1"/>
  <c r="PW7" i="12"/>
  <c r="PX7" i="12" s="1"/>
  <c r="PP7" i="12"/>
  <c r="PQ7" i="12" s="1"/>
  <c r="PJ7" i="12"/>
  <c r="PK7" i="12" s="1"/>
  <c r="PC7" i="12"/>
  <c r="PD7" i="12" s="1"/>
  <c r="OV7" i="12"/>
  <c r="OW7" i="12" s="1"/>
  <c r="OP7" i="12"/>
  <c r="OI7" i="12"/>
  <c r="OJ7" i="12" s="1"/>
  <c r="OB7" i="12"/>
  <c r="OC7" i="12" s="1"/>
  <c r="NV7" i="12"/>
  <c r="NW7" i="12" s="1"/>
  <c r="NO7" i="12"/>
  <c r="NP7" i="12" s="1"/>
  <c r="NH7" i="12"/>
  <c r="NI7" i="12" s="1"/>
  <c r="NB7" i="12"/>
  <c r="NC7" i="12" s="1"/>
  <c r="MU7" i="12"/>
  <c r="MV7" i="12" s="1"/>
  <c r="MN7" i="12"/>
  <c r="MO7" i="12" s="1"/>
  <c r="MH7" i="12"/>
  <c r="MI7" i="12" s="1"/>
  <c r="MA7" i="12"/>
  <c r="MB7" i="12" s="1"/>
  <c r="LT7" i="12"/>
  <c r="LU7" i="12" s="1"/>
  <c r="LN7" i="12"/>
  <c r="LO7" i="12" s="1"/>
  <c r="LG7" i="12"/>
  <c r="LH7" i="12" s="1"/>
  <c r="KZ7" i="12"/>
  <c r="LA7" i="12" s="1"/>
  <c r="KT7" i="12"/>
  <c r="KU7" i="12" s="1"/>
  <c r="KM7" i="12"/>
  <c r="KN7" i="12" s="1"/>
  <c r="KF7" i="12"/>
  <c r="KG7" i="12" s="1"/>
  <c r="JZ7" i="12"/>
  <c r="KA7" i="12" s="1"/>
  <c r="JS7" i="12"/>
  <c r="JT7" i="12" s="1"/>
  <c r="JL7" i="12"/>
  <c r="JM7" i="12" s="1"/>
  <c r="JF7" i="12"/>
  <c r="JG7" i="12" s="1"/>
  <c r="IY7" i="12"/>
  <c r="IZ7" i="12" s="1"/>
  <c r="IR7" i="12"/>
  <c r="IS7" i="12" s="1"/>
  <c r="IL7" i="12"/>
  <c r="IM7" i="12" s="1"/>
  <c r="IE7" i="12"/>
  <c r="IF7" i="12" s="1"/>
  <c r="HX7" i="12"/>
  <c r="HY7" i="12" s="1"/>
  <c r="HR7" i="12"/>
  <c r="HS7" i="12" s="1"/>
  <c r="HK7" i="12"/>
  <c r="HL7" i="12" s="1"/>
  <c r="HD7" i="12"/>
  <c r="HE7" i="12" s="1"/>
  <c r="GX7" i="12"/>
  <c r="GY7" i="12" s="1"/>
  <c r="GQ7" i="12"/>
  <c r="GR7" i="12" s="1"/>
  <c r="GJ7" i="12"/>
  <c r="GK7" i="12" s="1"/>
  <c r="GD7" i="12"/>
  <c r="GE7" i="12" s="1"/>
  <c r="FW7" i="12"/>
  <c r="FX7" i="12" s="1"/>
  <c r="FP7" i="12"/>
  <c r="FQ7" i="12" s="1"/>
  <c r="FJ7" i="12"/>
  <c r="FK7" i="12" s="1"/>
  <c r="FC7" i="12"/>
  <c r="FD7" i="12" s="1"/>
  <c r="EV7" i="12"/>
  <c r="EW7" i="12" s="1"/>
  <c r="EP7" i="12"/>
  <c r="EQ7" i="12" s="1"/>
  <c r="EI7" i="12"/>
  <c r="EJ7" i="12" s="1"/>
  <c r="EB7" i="12"/>
  <c r="EC7" i="12" s="1"/>
  <c r="DV7" i="12"/>
  <c r="DW7" i="12" s="1"/>
  <c r="DO7" i="12"/>
  <c r="DP7" i="12" s="1"/>
  <c r="DH7" i="12"/>
  <c r="DI7" i="12" s="1"/>
  <c r="DB7" i="12"/>
  <c r="DC7" i="12" s="1"/>
  <c r="CU7" i="12"/>
  <c r="CV7" i="12" s="1"/>
  <c r="CN7" i="12"/>
  <c r="CO7" i="12" s="1"/>
  <c r="CH7" i="12"/>
  <c r="CI7" i="12" s="1"/>
  <c r="CA7" i="12"/>
  <c r="CB7" i="12" s="1"/>
  <c r="BT7" i="12"/>
  <c r="BU7" i="12" s="1"/>
  <c r="BN7" i="12"/>
  <c r="BO7" i="12" s="1"/>
  <c r="BG7" i="12"/>
  <c r="BH7" i="12" s="1"/>
  <c r="AZ7" i="12"/>
  <c r="BA7" i="12" s="1"/>
  <c r="AT7" i="12"/>
  <c r="AU7" i="12" s="1"/>
  <c r="AM7" i="12"/>
  <c r="AN7" i="12" s="1"/>
  <c r="AF7" i="12"/>
  <c r="Z7" i="12"/>
  <c r="AA7" i="12" s="1"/>
  <c r="S7" i="12"/>
  <c r="T7" i="12" s="1"/>
  <c r="L7" i="12"/>
  <c r="M7" i="12" s="1"/>
  <c r="F7" i="12"/>
  <c r="VU6" i="12"/>
  <c r="VV6" i="12" s="1"/>
  <c r="VP6" i="12"/>
  <c r="VK6" i="12"/>
  <c r="VL6" i="12" s="1"/>
  <c r="VD6" i="12"/>
  <c r="VE6" i="12" s="1"/>
  <c r="UY6" i="12"/>
  <c r="UZ6" i="12" s="1"/>
  <c r="UT6" i="12"/>
  <c r="UM6" i="12"/>
  <c r="UN6" i="12" s="1"/>
  <c r="UF6" i="12"/>
  <c r="UG6" i="12" s="1"/>
  <c r="TZ6" i="12"/>
  <c r="TS6" i="12"/>
  <c r="TT6" i="12" s="1"/>
  <c r="TL6" i="12"/>
  <c r="TM6" i="12" s="1"/>
  <c r="TF6" i="12"/>
  <c r="SY6" i="12"/>
  <c r="SZ6" i="12" s="1"/>
  <c r="SR6" i="12"/>
  <c r="SS6" i="12" s="1"/>
  <c r="SL6" i="12"/>
  <c r="SE6" i="12"/>
  <c r="SF6" i="12" s="1"/>
  <c r="RX6" i="12"/>
  <c r="RY6" i="12" s="1"/>
  <c r="RR6" i="12"/>
  <c r="RK6" i="12"/>
  <c r="RL6" i="12" s="1"/>
  <c r="RD6" i="12"/>
  <c r="RE6" i="12" s="1"/>
  <c r="QX6" i="12"/>
  <c r="QQ6" i="12"/>
  <c r="QR6" i="12" s="1"/>
  <c r="QJ6" i="12"/>
  <c r="QK6" i="12" s="1"/>
  <c r="QD6" i="12"/>
  <c r="PW6" i="12"/>
  <c r="PX6" i="12" s="1"/>
  <c r="PP6" i="12"/>
  <c r="PQ6" i="12" s="1"/>
  <c r="PJ6" i="12"/>
  <c r="PC6" i="12"/>
  <c r="PD6" i="12" s="1"/>
  <c r="OV6" i="12"/>
  <c r="OW6" i="12" s="1"/>
  <c r="OP6" i="12"/>
  <c r="OI6" i="12"/>
  <c r="OJ6" i="12" s="1"/>
  <c r="OB6" i="12"/>
  <c r="OC6" i="12" s="1"/>
  <c r="NV6" i="12"/>
  <c r="NO6" i="12"/>
  <c r="NP6" i="12" s="1"/>
  <c r="NH6" i="12"/>
  <c r="NI6" i="12" s="1"/>
  <c r="NB6" i="12"/>
  <c r="MU6" i="12"/>
  <c r="MV6" i="12" s="1"/>
  <c r="MN6" i="12"/>
  <c r="MO6" i="12" s="1"/>
  <c r="MH6" i="12"/>
  <c r="MA6" i="12"/>
  <c r="MB6" i="12" s="1"/>
  <c r="LT6" i="12"/>
  <c r="LU6" i="12" s="1"/>
  <c r="LN6" i="12"/>
  <c r="LG6" i="12"/>
  <c r="LH6" i="12" s="1"/>
  <c r="KZ6" i="12"/>
  <c r="LA6" i="12" s="1"/>
  <c r="KT6" i="12"/>
  <c r="KM6" i="12"/>
  <c r="KN6" i="12" s="1"/>
  <c r="KF6" i="12"/>
  <c r="KG6" i="12" s="1"/>
  <c r="JZ6" i="12"/>
  <c r="JS6" i="12"/>
  <c r="JT6" i="12" s="1"/>
  <c r="JL6" i="12"/>
  <c r="JM6" i="12" s="1"/>
  <c r="JF6" i="12"/>
  <c r="IY6" i="12"/>
  <c r="IZ6" i="12" s="1"/>
  <c r="IR6" i="12"/>
  <c r="IS6" i="12" s="1"/>
  <c r="IL6" i="12"/>
  <c r="IE6" i="12"/>
  <c r="IF6" i="12" s="1"/>
  <c r="HX6" i="12"/>
  <c r="HY6" i="12" s="1"/>
  <c r="HR6" i="12"/>
  <c r="HK6" i="12"/>
  <c r="HL6" i="12" s="1"/>
  <c r="HD6" i="12"/>
  <c r="HE6" i="12" s="1"/>
  <c r="GX6" i="12"/>
  <c r="GQ6" i="12"/>
  <c r="GR6" i="12" s="1"/>
  <c r="GJ6" i="12"/>
  <c r="GK6" i="12" s="1"/>
  <c r="GD6" i="12"/>
  <c r="FW6" i="12"/>
  <c r="FX6" i="12" s="1"/>
  <c r="FP6" i="12"/>
  <c r="FQ6" i="12" s="1"/>
  <c r="FJ6" i="12"/>
  <c r="FC6" i="12"/>
  <c r="FD6" i="12" s="1"/>
  <c r="EV6" i="12"/>
  <c r="EW6" i="12" s="1"/>
  <c r="EP6" i="12"/>
  <c r="EI6" i="12"/>
  <c r="EJ6" i="12" s="1"/>
  <c r="EB6" i="12"/>
  <c r="EC6" i="12" s="1"/>
  <c r="DV6" i="12"/>
  <c r="DO6" i="12"/>
  <c r="DP6" i="12" s="1"/>
  <c r="DH6" i="12"/>
  <c r="DI6" i="12" s="1"/>
  <c r="DB6" i="12"/>
  <c r="CU6" i="12"/>
  <c r="CV6" i="12" s="1"/>
  <c r="CN6" i="12"/>
  <c r="CO6" i="12" s="1"/>
  <c r="CH6" i="12"/>
  <c r="CA6" i="12"/>
  <c r="CB6" i="12" s="1"/>
  <c r="BT6" i="12"/>
  <c r="BU6" i="12" s="1"/>
  <c r="BN6" i="12"/>
  <c r="BG6" i="12"/>
  <c r="BH6" i="12" s="1"/>
  <c r="AZ6" i="12"/>
  <c r="BA6" i="12" s="1"/>
  <c r="AT6" i="12"/>
  <c r="AM6" i="12"/>
  <c r="AN6" i="12" s="1"/>
  <c r="AF6" i="12"/>
  <c r="AG6" i="12" s="1"/>
  <c r="Z6" i="12"/>
  <c r="S6" i="12"/>
  <c r="T6" i="12" s="1"/>
  <c r="L6" i="12"/>
  <c r="M6" i="12" s="1"/>
  <c r="F6" i="12"/>
  <c r="VU5" i="12"/>
  <c r="VV5" i="12" s="1"/>
  <c r="VP5" i="12"/>
  <c r="VQ5" i="12" s="1"/>
  <c r="VK5" i="12"/>
  <c r="VD5" i="12"/>
  <c r="VE5" i="12" s="1"/>
  <c r="UY5" i="12"/>
  <c r="UZ5" i="12" s="1"/>
  <c r="UT5" i="12"/>
  <c r="UM5" i="12"/>
  <c r="UN5" i="12" s="1"/>
  <c r="UF5" i="12"/>
  <c r="UG5" i="12" s="1"/>
  <c r="TZ5" i="12"/>
  <c r="TS5" i="12"/>
  <c r="TT5" i="12" s="1"/>
  <c r="TL5" i="12"/>
  <c r="TM5" i="12" s="1"/>
  <c r="TF5" i="12"/>
  <c r="SY5" i="12"/>
  <c r="SZ5" i="12" s="1"/>
  <c r="SR5" i="12"/>
  <c r="SS5" i="12" s="1"/>
  <c r="SL5" i="12"/>
  <c r="SE5" i="12"/>
  <c r="SF5" i="12" s="1"/>
  <c r="RX5" i="12"/>
  <c r="RY5" i="12" s="1"/>
  <c r="RR5" i="12"/>
  <c r="RK5" i="12"/>
  <c r="RL5" i="12" s="1"/>
  <c r="RD5" i="12"/>
  <c r="RE5" i="12" s="1"/>
  <c r="QX5" i="12"/>
  <c r="QQ5" i="12"/>
  <c r="QR5" i="12" s="1"/>
  <c r="QJ5" i="12"/>
  <c r="QK5" i="12" s="1"/>
  <c r="QD5" i="12"/>
  <c r="PW5" i="12"/>
  <c r="PX5" i="12" s="1"/>
  <c r="PP5" i="12"/>
  <c r="PQ5" i="12" s="1"/>
  <c r="PJ5" i="12"/>
  <c r="PC5" i="12"/>
  <c r="PD5" i="12" s="1"/>
  <c r="OV5" i="12"/>
  <c r="OW5" i="12" s="1"/>
  <c r="OP5" i="12"/>
  <c r="OI5" i="12"/>
  <c r="OJ5" i="12" s="1"/>
  <c r="OB5" i="12"/>
  <c r="OC5" i="12" s="1"/>
  <c r="NV5" i="12"/>
  <c r="NO5" i="12"/>
  <c r="NP5" i="12" s="1"/>
  <c r="NH5" i="12"/>
  <c r="NI5" i="12" s="1"/>
  <c r="NB5" i="12"/>
  <c r="MU5" i="12"/>
  <c r="MV5" i="12" s="1"/>
  <c r="MN5" i="12"/>
  <c r="MO5" i="12" s="1"/>
  <c r="MH5" i="12"/>
  <c r="MA5" i="12"/>
  <c r="MB5" i="12" s="1"/>
  <c r="LT5" i="12"/>
  <c r="LU5" i="12" s="1"/>
  <c r="LN5" i="12"/>
  <c r="LG5" i="12"/>
  <c r="LH5" i="12" s="1"/>
  <c r="KZ5" i="12"/>
  <c r="LA5" i="12" s="1"/>
  <c r="KT5" i="12"/>
  <c r="KM5" i="12"/>
  <c r="KN5" i="12" s="1"/>
  <c r="KF5" i="12"/>
  <c r="KG5" i="12" s="1"/>
  <c r="JZ5" i="12"/>
  <c r="JS5" i="12"/>
  <c r="JT5" i="12" s="1"/>
  <c r="JL5" i="12"/>
  <c r="JM5" i="12" s="1"/>
  <c r="JF5" i="12"/>
  <c r="IY5" i="12"/>
  <c r="IZ5" i="12" s="1"/>
  <c r="IR5" i="12"/>
  <c r="IS5" i="12" s="1"/>
  <c r="IL5" i="12"/>
  <c r="IE5" i="12"/>
  <c r="IF5" i="12" s="1"/>
  <c r="HX5" i="12"/>
  <c r="HY5" i="12" s="1"/>
  <c r="HR5" i="12"/>
  <c r="HK5" i="12"/>
  <c r="HL5" i="12" s="1"/>
  <c r="HD5" i="12"/>
  <c r="HE5" i="12" s="1"/>
  <c r="GX5" i="12"/>
  <c r="GQ5" i="12"/>
  <c r="GR5" i="12" s="1"/>
  <c r="GJ5" i="12"/>
  <c r="GK5" i="12" s="1"/>
  <c r="GD5" i="12"/>
  <c r="FW5" i="12"/>
  <c r="FP5" i="12"/>
  <c r="FQ5" i="12" s="1"/>
  <c r="FJ5" i="12"/>
  <c r="FC5" i="12"/>
  <c r="FD5" i="12" s="1"/>
  <c r="EV5" i="12"/>
  <c r="EW5" i="12" s="1"/>
  <c r="EP5" i="12"/>
  <c r="EI5" i="12"/>
  <c r="EJ5" i="12" s="1"/>
  <c r="EB5" i="12"/>
  <c r="EC5" i="12" s="1"/>
  <c r="DV5" i="12"/>
  <c r="DO5" i="12"/>
  <c r="DP5" i="12" s="1"/>
  <c r="DH5" i="12"/>
  <c r="DI5" i="12" s="1"/>
  <c r="DB5" i="12"/>
  <c r="CU5" i="12"/>
  <c r="CV5" i="12" s="1"/>
  <c r="CN5" i="12"/>
  <c r="CO5" i="12" s="1"/>
  <c r="CH5" i="12"/>
  <c r="CA5" i="12"/>
  <c r="CB5" i="12" s="1"/>
  <c r="BT5" i="12"/>
  <c r="BU5" i="12" s="1"/>
  <c r="BN5" i="12"/>
  <c r="BG5" i="12"/>
  <c r="BH5" i="12" s="1"/>
  <c r="AZ5" i="12"/>
  <c r="BA5" i="12" s="1"/>
  <c r="AT5" i="12"/>
  <c r="AM5" i="12"/>
  <c r="AN5" i="12" s="1"/>
  <c r="AF5" i="12"/>
  <c r="AG5" i="12" s="1"/>
  <c r="Z5" i="12"/>
  <c r="S5" i="12"/>
  <c r="T5" i="12" s="1"/>
  <c r="L5" i="12"/>
  <c r="M5" i="12" s="1"/>
  <c r="F5" i="12"/>
  <c r="G5" i="12" s="1"/>
  <c r="VC3" i="12"/>
  <c r="VT3" i="12" s="1"/>
  <c r="AI3" i="12"/>
  <c r="BC3" i="12" s="1"/>
  <c r="BW3" i="12" s="1"/>
  <c r="CQ3" i="12" s="1"/>
  <c r="DK3" i="12" s="1"/>
  <c r="EE3" i="12" s="1"/>
  <c r="EY3" i="12" s="1"/>
  <c r="FS3" i="12" s="1"/>
  <c r="GM3" i="12" s="1"/>
  <c r="HG3" i="12" s="1"/>
  <c r="IA3" i="12" s="1"/>
  <c r="IU3" i="12" s="1"/>
  <c r="JO3" i="12" s="1"/>
  <c r="KI3" i="12" s="1"/>
  <c r="LC3" i="12" s="1"/>
  <c r="LW3" i="12" s="1"/>
  <c r="MQ3" i="12" s="1"/>
  <c r="NK3" i="12" s="1"/>
  <c r="OE3" i="12" s="1"/>
  <c r="OY3" i="12" s="1"/>
  <c r="PS3" i="12" s="1"/>
  <c r="QM3" i="12" s="1"/>
  <c r="RG3" i="12" s="1"/>
  <c r="SA3" i="12" s="1"/>
  <c r="SU3" i="12" s="1"/>
  <c r="TO3" i="12" s="1"/>
  <c r="UI3" i="12" s="1"/>
  <c r="VB3" i="12" s="1"/>
  <c r="VS3" i="12" s="1"/>
  <c r="AH3" i="12"/>
  <c r="BB3" i="12" s="1"/>
  <c r="BV3" i="12" s="1"/>
  <c r="CP3" i="12" s="1"/>
  <c r="DJ3" i="12" s="1"/>
  <c r="ED3" i="12" s="1"/>
  <c r="EX3" i="12" s="1"/>
  <c r="FR3" i="12" s="1"/>
  <c r="GL3" i="12" s="1"/>
  <c r="HF3" i="12" s="1"/>
  <c r="HZ3" i="12" s="1"/>
  <c r="IT3" i="12" s="1"/>
  <c r="JN3" i="12" s="1"/>
  <c r="KH3" i="12" s="1"/>
  <c r="LB3" i="12" s="1"/>
  <c r="LV3" i="12" s="1"/>
  <c r="MP3" i="12" s="1"/>
  <c r="NJ3" i="12" s="1"/>
  <c r="OD3" i="12" s="1"/>
  <c r="OX3" i="12" s="1"/>
  <c r="PR3" i="12" s="1"/>
  <c r="QL3" i="12" s="1"/>
  <c r="RF3" i="12" s="1"/>
  <c r="RZ3" i="12" s="1"/>
  <c r="ST3" i="12" s="1"/>
  <c r="TN3" i="12" s="1"/>
  <c r="UH3" i="12" s="1"/>
  <c r="VA3" i="12" s="1"/>
  <c r="VR3" i="12" s="1"/>
  <c r="AE3" i="12"/>
  <c r="AY3" i="12" s="1"/>
  <c r="BS3" i="12" s="1"/>
  <c r="CM3" i="12" s="1"/>
  <c r="DG3" i="12" s="1"/>
  <c r="EA3" i="12" s="1"/>
  <c r="EU3" i="12" s="1"/>
  <c r="FO3" i="12" s="1"/>
  <c r="GI3" i="12" s="1"/>
  <c r="HC3" i="12" s="1"/>
  <c r="HW3" i="12" s="1"/>
  <c r="IQ3" i="12" s="1"/>
  <c r="JK3" i="12" s="1"/>
  <c r="KE3" i="12" s="1"/>
  <c r="KY3" i="12" s="1"/>
  <c r="LS3" i="12" s="1"/>
  <c r="MM3" i="12" s="1"/>
  <c r="NG3" i="12" s="1"/>
  <c r="OA3" i="12" s="1"/>
  <c r="OU3" i="12" s="1"/>
  <c r="PO3" i="12" s="1"/>
  <c r="QI3" i="12" s="1"/>
  <c r="RC3" i="12" s="1"/>
  <c r="RW3" i="12" s="1"/>
  <c r="SQ3" i="12" s="1"/>
  <c r="TK3" i="12" s="1"/>
  <c r="UE3" i="12" s="1"/>
  <c r="UX3" i="12" s="1"/>
  <c r="VO3" i="12" s="1"/>
  <c r="AC3" i="12"/>
  <c r="AW3" i="12" s="1"/>
  <c r="BQ3" i="12" s="1"/>
  <c r="CK3" i="12" s="1"/>
  <c r="DE3" i="12" s="1"/>
  <c r="DY3" i="12" s="1"/>
  <c r="ES3" i="12" s="1"/>
  <c r="FM3" i="12" s="1"/>
  <c r="GG3" i="12" s="1"/>
  <c r="HA3" i="12" s="1"/>
  <c r="HU3" i="12" s="1"/>
  <c r="IO3" i="12" s="1"/>
  <c r="JI3" i="12" s="1"/>
  <c r="KC3" i="12" s="1"/>
  <c r="KW3" i="12" s="1"/>
  <c r="LQ3" i="12" s="1"/>
  <c r="MK3" i="12" s="1"/>
  <c r="NE3" i="12" s="1"/>
  <c r="NY3" i="12" s="1"/>
  <c r="OS3" i="12" s="1"/>
  <c r="PM3" i="12" s="1"/>
  <c r="QG3" i="12" s="1"/>
  <c r="RA3" i="12" s="1"/>
  <c r="RU3" i="12" s="1"/>
  <c r="SO3" i="12" s="1"/>
  <c r="TI3" i="12" s="1"/>
  <c r="UC3" i="12" s="1"/>
  <c r="UW3" i="12" s="1"/>
  <c r="VN3" i="12" s="1"/>
  <c r="AB3" i="12"/>
  <c r="AV3" i="12" s="1"/>
  <c r="BP3" i="12" s="1"/>
  <c r="CJ3" i="12" s="1"/>
  <c r="DD3" i="12" s="1"/>
  <c r="DX3" i="12" s="1"/>
  <c r="ER3" i="12" s="1"/>
  <c r="FL3" i="12" s="1"/>
  <c r="GF3" i="12" s="1"/>
  <c r="GZ3" i="12" s="1"/>
  <c r="HT3" i="12" s="1"/>
  <c r="IN3" i="12" s="1"/>
  <c r="JH3" i="12" s="1"/>
  <c r="KB3" i="12" s="1"/>
  <c r="KV3" i="12" s="1"/>
  <c r="LP3" i="12" s="1"/>
  <c r="MJ3" i="12" s="1"/>
  <c r="ND3" i="12" s="1"/>
  <c r="NX3" i="12" s="1"/>
  <c r="OR3" i="12" s="1"/>
  <c r="PL3" i="12" s="1"/>
  <c r="QF3" i="12" s="1"/>
  <c r="QZ3" i="12" s="1"/>
  <c r="RT3" i="12" s="1"/>
  <c r="SN3" i="12" s="1"/>
  <c r="TH3" i="12" s="1"/>
  <c r="UB3" i="12" s="1"/>
  <c r="UV3" i="12" s="1"/>
  <c r="VM3" i="12" s="1"/>
  <c r="Y3" i="12"/>
  <c r="AS3" i="12" s="1"/>
  <c r="BM3" i="12" s="1"/>
  <c r="CG3" i="12" s="1"/>
  <c r="DA3" i="12" s="1"/>
  <c r="DU3" i="12" s="1"/>
  <c r="EO3" i="12" s="1"/>
  <c r="FI3" i="12" s="1"/>
  <c r="GC3" i="12" s="1"/>
  <c r="GW3" i="12" s="1"/>
  <c r="HQ3" i="12" s="1"/>
  <c r="IK3" i="12" s="1"/>
  <c r="JE3" i="12" s="1"/>
  <c r="JY3" i="12" s="1"/>
  <c r="KS3" i="12" s="1"/>
  <c r="LM3" i="12" s="1"/>
  <c r="MG3" i="12" s="1"/>
  <c r="NA3" i="12" s="1"/>
  <c r="NU3" i="12" s="1"/>
  <c r="OO3" i="12" s="1"/>
  <c r="PI3" i="12" s="1"/>
  <c r="QC3" i="12" s="1"/>
  <c r="QW3" i="12" s="1"/>
  <c r="RQ3" i="12" s="1"/>
  <c r="SK3" i="12" s="1"/>
  <c r="TE3" i="12" s="1"/>
  <c r="TY3" i="12" s="1"/>
  <c r="US3" i="12" s="1"/>
  <c r="VJ3" i="12" s="1"/>
  <c r="X3" i="12"/>
  <c r="AR3" i="12" s="1"/>
  <c r="BL3" i="12" s="1"/>
  <c r="CF3" i="12" s="1"/>
  <c r="CZ3" i="12" s="1"/>
  <c r="DT3" i="12" s="1"/>
  <c r="EN3" i="12" s="1"/>
  <c r="FH3" i="12" s="1"/>
  <c r="GB3" i="12" s="1"/>
  <c r="GV3" i="12" s="1"/>
  <c r="HP3" i="12" s="1"/>
  <c r="IJ3" i="12" s="1"/>
  <c r="JD3" i="12" s="1"/>
  <c r="JX3" i="12" s="1"/>
  <c r="KR3" i="12" s="1"/>
  <c r="LL3" i="12" s="1"/>
  <c r="MF3" i="12" s="1"/>
  <c r="MZ3" i="12" s="1"/>
  <c r="NT3" i="12" s="1"/>
  <c r="ON3" i="12" s="1"/>
  <c r="PH3" i="12" s="1"/>
  <c r="QB3" i="12" s="1"/>
  <c r="QV3" i="12" s="1"/>
  <c r="RP3" i="12" s="1"/>
  <c r="SJ3" i="12" s="1"/>
  <c r="TD3" i="12" s="1"/>
  <c r="TX3" i="12" s="1"/>
  <c r="UR3" i="12" s="1"/>
  <c r="VI3" i="12" s="1"/>
  <c r="W3" i="12"/>
  <c r="AQ3" i="12" s="1"/>
  <c r="BK3" i="12" s="1"/>
  <c r="CE3" i="12" s="1"/>
  <c r="CY3" i="12" s="1"/>
  <c r="DS3" i="12" s="1"/>
  <c r="EM3" i="12" s="1"/>
  <c r="FG3" i="12" s="1"/>
  <c r="GA3" i="12" s="1"/>
  <c r="GU3" i="12" s="1"/>
  <c r="HO3" i="12" s="1"/>
  <c r="II3" i="12" s="1"/>
  <c r="JC3" i="12" s="1"/>
  <c r="JW3" i="12" s="1"/>
  <c r="KQ3" i="12" s="1"/>
  <c r="LK3" i="12" s="1"/>
  <c r="ME3" i="12" s="1"/>
  <c r="MY3" i="12" s="1"/>
  <c r="NS3" i="12" s="1"/>
  <c r="OM3" i="12" s="1"/>
  <c r="PG3" i="12" s="1"/>
  <c r="QA3" i="12" s="1"/>
  <c r="QU3" i="12" s="1"/>
  <c r="RO3" i="12" s="1"/>
  <c r="SI3" i="12" s="1"/>
  <c r="TC3" i="12" s="1"/>
  <c r="TW3" i="12" s="1"/>
  <c r="UQ3" i="12" s="1"/>
  <c r="VH3" i="12" s="1"/>
  <c r="W1" i="12"/>
  <c r="AQ1" i="12" s="1"/>
  <c r="A9" i="11"/>
  <c r="A7" i="11"/>
  <c r="A17" i="11"/>
  <c r="A20" i="11"/>
  <c r="A5" i="9"/>
  <c r="A29" i="9"/>
  <c r="A26" i="9"/>
  <c r="A25" i="9"/>
  <c r="A21" i="9"/>
  <c r="A28" i="11"/>
  <c r="A28" i="9"/>
  <c r="A11" i="11"/>
  <c r="A23" i="9"/>
  <c r="A8" i="11"/>
  <c r="A27" i="11"/>
  <c r="A23" i="11"/>
  <c r="A30" i="11"/>
  <c r="A15" i="9"/>
  <c r="A12" i="9"/>
  <c r="A13" i="9"/>
  <c r="A16" i="9"/>
  <c r="A19" i="11"/>
  <c r="A22" i="9"/>
  <c r="A18" i="11"/>
  <c r="A25" i="11"/>
  <c r="A30" i="9"/>
  <c r="A13" i="11"/>
  <c r="A18" i="9"/>
  <c r="A7" i="9"/>
  <c r="A4" i="11"/>
  <c r="A22" i="11"/>
  <c r="A20" i="9"/>
  <c r="A5" i="11"/>
  <c r="A26" i="11"/>
  <c r="A9" i="9"/>
  <c r="A24" i="9"/>
  <c r="A19" i="9"/>
  <c r="A24" i="11"/>
  <c r="A12" i="11"/>
  <c r="A6" i="9"/>
  <c r="A21" i="11"/>
  <c r="A14" i="9"/>
  <c r="A4" i="9"/>
  <c r="A27" i="9"/>
  <c r="A8" i="9"/>
  <c r="A29" i="11"/>
  <c r="A6" i="11"/>
  <c r="A16" i="11"/>
  <c r="A17" i="9"/>
  <c r="A11" i="9"/>
  <c r="A31" i="11"/>
  <c r="A10" i="11"/>
  <c r="A10" i="9"/>
  <c r="A15" i="11"/>
  <c r="A14" i="11"/>
  <c r="UY20" i="12" l="1"/>
  <c r="UZ20" i="12" s="1"/>
  <c r="UT20" i="12"/>
  <c r="QX20" i="12"/>
  <c r="VU20" i="12"/>
  <c r="VV20" i="12" s="1"/>
  <c r="SY20" i="12"/>
  <c r="SZ20" i="12" s="1"/>
  <c r="UF20" i="12"/>
  <c r="UG20" i="12" s="1"/>
  <c r="TF20" i="12"/>
  <c r="TG20" i="12" s="1"/>
  <c r="SE20" i="12"/>
  <c r="SF20" i="12" s="1"/>
  <c r="RD20" i="12"/>
  <c r="RE20" i="12" s="1"/>
  <c r="QD20" i="12"/>
  <c r="PC20" i="12"/>
  <c r="PD20" i="12" s="1"/>
  <c r="OB20" i="12"/>
  <c r="OC20" i="12" s="1"/>
  <c r="MA20" i="12"/>
  <c r="MB20" i="12" s="1"/>
  <c r="JZ20" i="12"/>
  <c r="IY20" i="12"/>
  <c r="IZ20" i="12" s="1"/>
  <c r="FW20" i="12"/>
  <c r="FX20" i="12" s="1"/>
  <c r="EV20" i="12"/>
  <c r="EW20" i="12" s="1"/>
  <c r="GX20" i="12"/>
  <c r="CW21" i="12"/>
  <c r="CX21" i="12" s="1"/>
  <c r="DV20" i="12"/>
  <c r="DW20" i="12" s="1"/>
  <c r="KT20" i="12"/>
  <c r="KU20" i="12" s="1"/>
  <c r="OV20" i="12"/>
  <c r="HR20" i="12"/>
  <c r="IR20" i="12"/>
  <c r="IS20" i="12" s="1"/>
  <c r="KZ20" i="12"/>
  <c r="LA20" i="12" s="1"/>
  <c r="QQ20" i="12"/>
  <c r="QR20" i="12" s="1"/>
  <c r="GQ20" i="12"/>
  <c r="GR20" i="12" s="1"/>
  <c r="PW20" i="12"/>
  <c r="PX20" i="12" s="1"/>
  <c r="TZ20" i="12"/>
  <c r="UA20" i="12" s="1"/>
  <c r="VP20" i="12"/>
  <c r="VQ20" i="12" s="1"/>
  <c r="PC13" i="12"/>
  <c r="PD13" i="12" s="1"/>
  <c r="OB13" i="12"/>
  <c r="OC13" i="12" s="1"/>
  <c r="MU20" i="12"/>
  <c r="MV20" i="12" s="1"/>
  <c r="VP13" i="12"/>
  <c r="VQ13" i="12" s="1"/>
  <c r="JL20" i="12"/>
  <c r="JM20" i="12" s="1"/>
  <c r="UM10" i="12"/>
  <c r="UN10" i="12" s="1"/>
  <c r="Z10" i="12"/>
  <c r="AA10" i="12" s="1"/>
  <c r="GD10" i="12"/>
  <c r="GE10" i="12" s="1"/>
  <c r="RK10" i="12"/>
  <c r="RL10" i="12" s="1"/>
  <c r="IL13" i="12"/>
  <c r="IM13" i="12" s="1"/>
  <c r="EI16" i="12"/>
  <c r="EJ16" i="12" s="1"/>
  <c r="BT20" i="12"/>
  <c r="BU20" i="12" s="1"/>
  <c r="F10" i="12"/>
  <c r="G10" i="12" s="1"/>
  <c r="CH10" i="12"/>
  <c r="CI10" i="12" s="1"/>
  <c r="HX13" i="12"/>
  <c r="HY13" i="12" s="1"/>
  <c r="RD13" i="12"/>
  <c r="RE13" i="12" s="1"/>
  <c r="VW15" i="12"/>
  <c r="VX15" i="12" s="1"/>
  <c r="VU16" i="12"/>
  <c r="VV16" i="12" s="1"/>
  <c r="GJ20" i="12"/>
  <c r="GK20" i="12" s="1"/>
  <c r="IL20" i="12"/>
  <c r="IM20" i="12" s="1"/>
  <c r="MN20" i="12"/>
  <c r="MO20" i="12" s="1"/>
  <c r="FY5" i="12"/>
  <c r="FZ5" i="12" s="1"/>
  <c r="UT4" i="12"/>
  <c r="UU4" i="12" s="1"/>
  <c r="PW10" i="12"/>
  <c r="PX10" i="12" s="1"/>
  <c r="KZ13" i="12"/>
  <c r="LA13" i="12" s="1"/>
  <c r="VD13" i="12"/>
  <c r="VE13" i="12" s="1"/>
  <c r="UT10" i="12"/>
  <c r="UU10" i="12" s="1"/>
  <c r="TL13" i="12"/>
  <c r="TM13" i="12" s="1"/>
  <c r="UT13" i="12"/>
  <c r="UU13" i="12" s="1"/>
  <c r="PW16" i="12"/>
  <c r="PX16" i="12" s="1"/>
  <c r="VD20" i="12"/>
  <c r="VE20" i="12" s="1"/>
  <c r="UM13" i="12"/>
  <c r="UN13" i="12" s="1"/>
  <c r="JS13" i="12"/>
  <c r="JT13" i="12" s="1"/>
  <c r="MU13" i="12"/>
  <c r="MV13" i="12" s="1"/>
  <c r="QJ16" i="12"/>
  <c r="QK16" i="12" s="1"/>
  <c r="MU16" i="12"/>
  <c r="MV16" i="12" s="1"/>
  <c r="PP20" i="12"/>
  <c r="PQ20" i="12" s="1"/>
  <c r="UM20" i="12"/>
  <c r="UN20" i="12" s="1"/>
  <c r="AM4" i="12"/>
  <c r="AN4" i="12" s="1"/>
  <c r="MA10" i="12"/>
  <c r="MB10" i="12" s="1"/>
  <c r="IE13" i="12"/>
  <c r="IF13" i="12" s="1"/>
  <c r="PP13" i="12"/>
  <c r="PQ13" i="12" s="1"/>
  <c r="AT13" i="12"/>
  <c r="AU13" i="12" s="1"/>
  <c r="QD13" i="12"/>
  <c r="QE13" i="12" s="1"/>
  <c r="DO16" i="12"/>
  <c r="DP16" i="12" s="1"/>
  <c r="VK16" i="12"/>
  <c r="VL16" i="12" s="1"/>
  <c r="FJ20" i="12"/>
  <c r="FK20" i="12" s="1"/>
  <c r="TS20" i="12"/>
  <c r="TT20" i="12" s="1"/>
  <c r="JS10" i="12"/>
  <c r="JT10" i="12" s="1"/>
  <c r="LN10" i="12"/>
  <c r="LO10" i="12" s="1"/>
  <c r="MV14" i="12"/>
  <c r="OK14" i="12"/>
  <c r="OL14" i="12" s="1"/>
  <c r="Z20" i="12"/>
  <c r="AA20" i="12" s="1"/>
  <c r="PX11" i="12"/>
  <c r="TU12" i="12"/>
  <c r="TV12" i="12" s="1"/>
  <c r="AF13" i="12"/>
  <c r="AG13" i="12" s="1"/>
  <c r="NW14" i="12"/>
  <c r="UO14" i="12"/>
  <c r="UP14" i="12" s="1"/>
  <c r="EB20" i="12"/>
  <c r="EC20" i="12" s="1"/>
  <c r="EI20" i="12"/>
  <c r="EJ20" i="12" s="1"/>
  <c r="HK20" i="12"/>
  <c r="HL20" i="12" s="1"/>
  <c r="GQ4" i="12"/>
  <c r="GR4" i="12" s="1"/>
  <c r="HR4" i="12"/>
  <c r="HS4" i="12" s="1"/>
  <c r="PC10" i="12"/>
  <c r="PD10" i="12" s="1"/>
  <c r="VU10" i="12"/>
  <c r="VV10" i="12" s="1"/>
  <c r="PY11" i="12"/>
  <c r="PZ11" i="12" s="1"/>
  <c r="AM13" i="12"/>
  <c r="AN13" i="12" s="1"/>
  <c r="SR13" i="12"/>
  <c r="SS13" i="12" s="1"/>
  <c r="VU13" i="12"/>
  <c r="VV13" i="12" s="1"/>
  <c r="JT14" i="12"/>
  <c r="LN13" i="12"/>
  <c r="LO13" i="12" s="1"/>
  <c r="KZ16" i="12"/>
  <c r="LA16" i="12" s="1"/>
  <c r="UY16" i="12"/>
  <c r="UZ16" i="12" s="1"/>
  <c r="GD16" i="12"/>
  <c r="GE16" i="12" s="1"/>
  <c r="S20" i="12"/>
  <c r="T20" i="12" s="1"/>
  <c r="AF20" i="12"/>
  <c r="AG20" i="12" s="1"/>
  <c r="DH20" i="12"/>
  <c r="DI20" i="12" s="1"/>
  <c r="NH20" i="12"/>
  <c r="NI20" i="12" s="1"/>
  <c r="L4" i="12"/>
  <c r="M4" i="12" s="1"/>
  <c r="S10" i="12"/>
  <c r="T10" i="12" s="1"/>
  <c r="FJ10" i="12"/>
  <c r="FK10" i="12" s="1"/>
  <c r="IL10" i="12"/>
  <c r="IM10" i="12" s="1"/>
  <c r="VW11" i="12"/>
  <c r="VX11" i="12" s="1"/>
  <c r="HM12" i="12"/>
  <c r="HN12" i="12" s="1"/>
  <c r="GJ13" i="12"/>
  <c r="GK13" i="12" s="1"/>
  <c r="SY13" i="12"/>
  <c r="SZ13" i="12" s="1"/>
  <c r="UY13" i="12"/>
  <c r="UZ13" i="12" s="1"/>
  <c r="GS14" i="12"/>
  <c r="GT14" i="12" s="1"/>
  <c r="TA14" i="12"/>
  <c r="TB14" i="12" s="1"/>
  <c r="VL15" i="12"/>
  <c r="LN16" i="12"/>
  <c r="LO16" i="12" s="1"/>
  <c r="SE16" i="12"/>
  <c r="SF16" i="12" s="1"/>
  <c r="VD16" i="12"/>
  <c r="VE16" i="12" s="1"/>
  <c r="S4" i="12"/>
  <c r="T4" i="12" s="1"/>
  <c r="VK4" i="12"/>
  <c r="VL4" i="12" s="1"/>
  <c r="GD4" i="12"/>
  <c r="GE4" i="12" s="1"/>
  <c r="PJ4" i="12"/>
  <c r="PK4" i="12" s="1"/>
  <c r="MW12" i="12"/>
  <c r="MX12" i="12" s="1"/>
  <c r="NQ12" i="12"/>
  <c r="NR12" i="12" s="1"/>
  <c r="CH13" i="12"/>
  <c r="CI13" i="12" s="1"/>
  <c r="NO16" i="12"/>
  <c r="NP16" i="12" s="1"/>
  <c r="UT16" i="12"/>
  <c r="UU16" i="12" s="1"/>
  <c r="UA14" i="12"/>
  <c r="UM16" i="12"/>
  <c r="UN16" i="12" s="1"/>
  <c r="TZ13" i="12"/>
  <c r="UA13" i="12" s="1"/>
  <c r="UF13" i="12"/>
  <c r="UG13" i="12" s="1"/>
  <c r="TS16" i="12"/>
  <c r="TT16" i="12" s="1"/>
  <c r="TL20" i="12"/>
  <c r="SY16" i="12"/>
  <c r="SZ16" i="12" s="1"/>
  <c r="SL20" i="12"/>
  <c r="SM20" i="12" s="1"/>
  <c r="SY4" i="12"/>
  <c r="SZ4" i="12" s="1"/>
  <c r="SY10" i="12"/>
  <c r="SZ10" i="12" s="1"/>
  <c r="SL10" i="12"/>
  <c r="SM10" i="12" s="1"/>
  <c r="SR20" i="12"/>
  <c r="SS20" i="12" s="1"/>
  <c r="RR16" i="12"/>
  <c r="RS16" i="12" s="1"/>
  <c r="SE10" i="12"/>
  <c r="SF10" i="12" s="1"/>
  <c r="RR20" i="12"/>
  <c r="RS20" i="12" s="1"/>
  <c r="RL11" i="12"/>
  <c r="RK20" i="12"/>
  <c r="RL20" i="12" s="1"/>
  <c r="RK4" i="12"/>
  <c r="RL4" i="12" s="1"/>
  <c r="RK16" i="12"/>
  <c r="RL16" i="12" s="1"/>
  <c r="QQ10" i="12"/>
  <c r="QR10" i="12" s="1"/>
  <c r="QJ20" i="12"/>
  <c r="QK20" i="12" s="1"/>
  <c r="QQ4" i="12"/>
  <c r="QR4" i="12" s="1"/>
  <c r="QJ13" i="12"/>
  <c r="QK13" i="12" s="1"/>
  <c r="PK11" i="12"/>
  <c r="PW13" i="12"/>
  <c r="PX13" i="12" s="1"/>
  <c r="PW4" i="12"/>
  <c r="PX4" i="12" s="1"/>
  <c r="PY15" i="12"/>
  <c r="PZ15" i="12" s="1"/>
  <c r="PJ20" i="12"/>
  <c r="PK20" i="12" s="1"/>
  <c r="PC4" i="12"/>
  <c r="PD4" i="12" s="1"/>
  <c r="OP10" i="12"/>
  <c r="OQ10" i="12" s="1"/>
  <c r="PC16" i="12"/>
  <c r="PD16" i="12" s="1"/>
  <c r="OV13" i="12"/>
  <c r="OW13" i="12" s="1"/>
  <c r="OP20" i="12"/>
  <c r="OQ20" i="12" s="1"/>
  <c r="OK15" i="12"/>
  <c r="OL15" i="12" s="1"/>
  <c r="OI16" i="12"/>
  <c r="OJ16" i="12" s="1"/>
  <c r="OK17" i="12"/>
  <c r="OL17" i="12" s="1"/>
  <c r="OI4" i="12"/>
  <c r="OJ4" i="12" s="1"/>
  <c r="OI10" i="12"/>
  <c r="OJ10" i="12" s="1"/>
  <c r="NV20" i="12"/>
  <c r="NW20" i="12" s="1"/>
  <c r="OI13" i="12"/>
  <c r="OJ13" i="12" s="1"/>
  <c r="NO20" i="12"/>
  <c r="NP20" i="12" s="1"/>
  <c r="NH13" i="12"/>
  <c r="NI13" i="12" s="1"/>
  <c r="NB20" i="12"/>
  <c r="NC20" i="12" s="1"/>
  <c r="MU10" i="12"/>
  <c r="MV10" i="12" s="1"/>
  <c r="MH10" i="12"/>
  <c r="MI10" i="12" s="1"/>
  <c r="MN16" i="12"/>
  <c r="MO16" i="12" s="1"/>
  <c r="MH20" i="12"/>
  <c r="MI20" i="12" s="1"/>
  <c r="MC17" i="12"/>
  <c r="MD17" i="12" s="1"/>
  <c r="LN20" i="12"/>
  <c r="LO20" i="12" s="1"/>
  <c r="LT16" i="12"/>
  <c r="LU16" i="12" s="1"/>
  <c r="LO17" i="12"/>
  <c r="KT16" i="12"/>
  <c r="KU16" i="12" s="1"/>
  <c r="LG4" i="12"/>
  <c r="LH4" i="12" s="1"/>
  <c r="KT10" i="12"/>
  <c r="KU10" i="12" s="1"/>
  <c r="LG20" i="12"/>
  <c r="LH20" i="12" s="1"/>
  <c r="KM16" i="12"/>
  <c r="KN16" i="12" s="1"/>
  <c r="KF20" i="12"/>
  <c r="KG20" i="12" s="1"/>
  <c r="KM4" i="12"/>
  <c r="KN4" i="12" s="1"/>
  <c r="JZ4" i="12"/>
  <c r="KA4" i="12" s="1"/>
  <c r="KM10" i="12"/>
  <c r="KN10" i="12" s="1"/>
  <c r="JZ10" i="12"/>
  <c r="KA10" i="12" s="1"/>
  <c r="KF13" i="12"/>
  <c r="KG13" i="12" s="1"/>
  <c r="JZ16" i="12"/>
  <c r="KA16" i="12" s="1"/>
  <c r="KM20" i="12"/>
  <c r="KN20" i="12" s="1"/>
  <c r="JL4" i="12"/>
  <c r="JM4" i="12" s="1"/>
  <c r="JF16" i="12"/>
  <c r="JG16" i="12" s="1"/>
  <c r="JF20" i="12"/>
  <c r="JG20" i="12" s="1"/>
  <c r="JS4" i="12"/>
  <c r="JT4" i="12" s="1"/>
  <c r="JS16" i="12"/>
  <c r="JT16" i="12" s="1"/>
  <c r="JL13" i="12"/>
  <c r="JM13" i="12" s="1"/>
  <c r="JS20" i="12"/>
  <c r="JT20" i="12" s="1"/>
  <c r="IY4" i="12"/>
  <c r="IZ4" i="12" s="1"/>
  <c r="IY16" i="12"/>
  <c r="IZ16" i="12" s="1"/>
  <c r="IR16" i="12"/>
  <c r="IS16" i="12" s="1"/>
  <c r="IG14" i="12"/>
  <c r="IH14" i="12" s="1"/>
  <c r="IE4" i="12"/>
  <c r="IF4" i="12" s="1"/>
  <c r="HX20" i="12"/>
  <c r="HY20" i="12" s="1"/>
  <c r="HR16" i="12"/>
  <c r="HS16" i="12" s="1"/>
  <c r="HD20" i="12"/>
  <c r="HE20" i="12" s="1"/>
  <c r="HK16" i="12"/>
  <c r="HL16" i="12" s="1"/>
  <c r="GS12" i="12"/>
  <c r="GT12" i="12" s="1"/>
  <c r="GQ10" i="12"/>
  <c r="GR10" i="12" s="1"/>
  <c r="GS21" i="12"/>
  <c r="GS20" i="12" s="1"/>
  <c r="GT20" i="12" s="1"/>
  <c r="FW10" i="12"/>
  <c r="FX10" i="12" s="1"/>
  <c r="FW4" i="12"/>
  <c r="FX4" i="12" s="1"/>
  <c r="FJ16" i="12"/>
  <c r="FK16" i="12" s="1"/>
  <c r="FE21" i="12"/>
  <c r="FF21" i="12" s="1"/>
  <c r="EV13" i="12"/>
  <c r="EW13" i="12" s="1"/>
  <c r="EP16" i="12"/>
  <c r="EQ16" i="12" s="1"/>
  <c r="EI4" i="12"/>
  <c r="EJ4" i="12" s="1"/>
  <c r="DV16" i="12"/>
  <c r="DW16" i="12" s="1"/>
  <c r="DO13" i="12"/>
  <c r="DP13" i="12" s="1"/>
  <c r="DB16" i="12"/>
  <c r="DC16" i="12" s="1"/>
  <c r="DO20" i="12"/>
  <c r="DP20" i="12" s="1"/>
  <c r="DO10" i="12"/>
  <c r="DP10" i="12" s="1"/>
  <c r="CU16" i="12"/>
  <c r="CV16" i="12" s="1"/>
  <c r="CH20" i="12"/>
  <c r="CI20" i="12" s="1"/>
  <c r="CU20" i="12"/>
  <c r="CV20" i="12" s="1"/>
  <c r="CI21" i="12"/>
  <c r="CU4" i="12"/>
  <c r="CV4" i="12" s="1"/>
  <c r="CH16" i="12"/>
  <c r="CI16" i="12" s="1"/>
  <c r="CN20" i="12"/>
  <c r="CO20" i="12" s="1"/>
  <c r="CW20" i="12"/>
  <c r="CX20" i="12" s="1"/>
  <c r="BN16" i="12"/>
  <c r="BO16" i="12" s="1"/>
  <c r="BN4" i="12"/>
  <c r="BO4" i="12" s="1"/>
  <c r="CA13" i="12"/>
  <c r="CB13" i="12" s="1"/>
  <c r="BN13" i="12"/>
  <c r="BO13" i="12" s="1"/>
  <c r="BI7" i="12"/>
  <c r="BJ7" i="12" s="1"/>
  <c r="BG20" i="12"/>
  <c r="BH20" i="12" s="1"/>
  <c r="QX10" i="12"/>
  <c r="QY10" i="12" s="1"/>
  <c r="RM11" i="12"/>
  <c r="RN11" i="12" s="1"/>
  <c r="QY11" i="12"/>
  <c r="EW12" i="12"/>
  <c r="FE12" i="12"/>
  <c r="FF12" i="12" s="1"/>
  <c r="LI12" i="12"/>
  <c r="LJ12" i="12" s="1"/>
  <c r="LH12" i="12"/>
  <c r="QR14" i="12"/>
  <c r="QQ13" i="12"/>
  <c r="QR13" i="12" s="1"/>
  <c r="RM14" i="12"/>
  <c r="RN14" i="12" s="1"/>
  <c r="RL14" i="12"/>
  <c r="RK13" i="12"/>
  <c r="RL13" i="12" s="1"/>
  <c r="EC15" i="12"/>
  <c r="EB13" i="12"/>
  <c r="EC13" i="12" s="1"/>
  <c r="FD15" i="12"/>
  <c r="FC13" i="12"/>
  <c r="FD13" i="12" s="1"/>
  <c r="Z4" i="12"/>
  <c r="AA4" i="12" s="1"/>
  <c r="AT4" i="12"/>
  <c r="AU4" i="12" s="1"/>
  <c r="MH4" i="12"/>
  <c r="MI4" i="12" s="1"/>
  <c r="MN13" i="12"/>
  <c r="MO13" i="12" s="1"/>
  <c r="DB13" i="12"/>
  <c r="DC13" i="12" s="1"/>
  <c r="DQ14" i="12"/>
  <c r="DR14" i="12" s="1"/>
  <c r="DC14" i="12"/>
  <c r="JU14" i="12"/>
  <c r="JV14" i="12" s="1"/>
  <c r="JG14" i="12"/>
  <c r="LU14" i="12"/>
  <c r="LT13" i="12"/>
  <c r="LU13" i="12" s="1"/>
  <c r="DO4" i="12"/>
  <c r="DP4" i="12" s="1"/>
  <c r="FC4" i="12"/>
  <c r="FD4" i="12" s="1"/>
  <c r="LT4" i="12"/>
  <c r="LU4" i="12" s="1"/>
  <c r="TL4" i="12"/>
  <c r="TM4" i="12" s="1"/>
  <c r="UY4" i="12"/>
  <c r="UZ4" i="12" s="1"/>
  <c r="VP4" i="12"/>
  <c r="VQ4" i="12" s="1"/>
  <c r="FX5" i="12"/>
  <c r="RD4" i="12"/>
  <c r="RE4" i="12" s="1"/>
  <c r="AM10" i="12"/>
  <c r="AN10" i="12" s="1"/>
  <c r="EI10" i="12"/>
  <c r="EJ10" i="12" s="1"/>
  <c r="HK10" i="12"/>
  <c r="HL10" i="12" s="1"/>
  <c r="LG10" i="12"/>
  <c r="LH10" i="12" s="1"/>
  <c r="MC11" i="12"/>
  <c r="MD11" i="12" s="1"/>
  <c r="VL11" i="12"/>
  <c r="AO12" i="12"/>
  <c r="AP12" i="12" s="1"/>
  <c r="AA12" i="12"/>
  <c r="FY12" i="12"/>
  <c r="FZ12" i="12" s="1"/>
  <c r="M14" i="12"/>
  <c r="L13" i="12"/>
  <c r="M13" i="12" s="1"/>
  <c r="PY14" i="12"/>
  <c r="PZ14" i="12" s="1"/>
  <c r="PK14" i="12"/>
  <c r="PJ13" i="12"/>
  <c r="PK13" i="12" s="1"/>
  <c r="RY14" i="12"/>
  <c r="RX13" i="12"/>
  <c r="RY13" i="12" s="1"/>
  <c r="CA4" i="12"/>
  <c r="CB4" i="12" s="1"/>
  <c r="EB4" i="12"/>
  <c r="EC4" i="12" s="1"/>
  <c r="MU4" i="12"/>
  <c r="MV4" i="12" s="1"/>
  <c r="UM4" i="12"/>
  <c r="UN4" i="12" s="1"/>
  <c r="VD4" i="12"/>
  <c r="VE4" i="12" s="1"/>
  <c r="VU4" i="12"/>
  <c r="VV4" i="12" s="1"/>
  <c r="CW5" i="12"/>
  <c r="CX5" i="12" s="1"/>
  <c r="DB4" i="12"/>
  <c r="DC4" i="12" s="1"/>
  <c r="EK5" i="12"/>
  <c r="EL5" i="12" s="1"/>
  <c r="FK5" i="12"/>
  <c r="GS6" i="12"/>
  <c r="GT6" i="12" s="1"/>
  <c r="LN4" i="12"/>
  <c r="LO4" i="12" s="1"/>
  <c r="MW6" i="12"/>
  <c r="MX6" i="12" s="1"/>
  <c r="TA6" i="12"/>
  <c r="TB6" i="12" s="1"/>
  <c r="BG10" i="12"/>
  <c r="BH10" i="12" s="1"/>
  <c r="IE10" i="12"/>
  <c r="IF10" i="12" s="1"/>
  <c r="BU12" i="12"/>
  <c r="CC12" i="12"/>
  <c r="CD12" i="12" s="1"/>
  <c r="RM12" i="12"/>
  <c r="RN12" i="12" s="1"/>
  <c r="RL12" i="12"/>
  <c r="TA12" i="12"/>
  <c r="TB12" i="12" s="1"/>
  <c r="EJ14" i="12"/>
  <c r="EI13" i="12"/>
  <c r="EJ13" i="12" s="1"/>
  <c r="KN14" i="12"/>
  <c r="KM13" i="12"/>
  <c r="KN13" i="12" s="1"/>
  <c r="LG13" i="12"/>
  <c r="LH13" i="12" s="1"/>
  <c r="LI14" i="12"/>
  <c r="LJ14" i="12" s="1"/>
  <c r="LH14" i="12"/>
  <c r="MW14" i="12"/>
  <c r="MX14" i="12" s="1"/>
  <c r="VK13" i="12"/>
  <c r="VL13" i="12" s="1"/>
  <c r="VW14" i="12"/>
  <c r="VX14" i="12" s="1"/>
  <c r="VL14" i="12"/>
  <c r="NB10" i="12"/>
  <c r="NC10" i="12" s="1"/>
  <c r="QS11" i="12"/>
  <c r="QT11" i="12" s="1"/>
  <c r="TF10" i="12"/>
  <c r="TG10" i="12" s="1"/>
  <c r="GQ13" i="12"/>
  <c r="GR13" i="12" s="1"/>
  <c r="CC14" i="12"/>
  <c r="CD14" i="12" s="1"/>
  <c r="CW14" i="12"/>
  <c r="CX14" i="12" s="1"/>
  <c r="JA14" i="12"/>
  <c r="JB14" i="12" s="1"/>
  <c r="PE14" i="12"/>
  <c r="PF14" i="12" s="1"/>
  <c r="VF14" i="12"/>
  <c r="VG14" i="12" s="1"/>
  <c r="AO15" i="12"/>
  <c r="AP15" i="12" s="1"/>
  <c r="GS15" i="12"/>
  <c r="GT15" i="12" s="1"/>
  <c r="GX13" i="12"/>
  <c r="GY13" i="12" s="1"/>
  <c r="IG15" i="12"/>
  <c r="IH15" i="12" s="1"/>
  <c r="JF13" i="12"/>
  <c r="JG13" i="12" s="1"/>
  <c r="KO15" i="12"/>
  <c r="KP15" i="12" s="1"/>
  <c r="MW15" i="12"/>
  <c r="MX15" i="12" s="1"/>
  <c r="QX13" i="12"/>
  <c r="QY13" i="12" s="1"/>
  <c r="BI12" i="12"/>
  <c r="BJ12" i="12" s="1"/>
  <c r="JU12" i="12"/>
  <c r="JV12" i="12" s="1"/>
  <c r="PY12" i="12"/>
  <c r="PZ12" i="12" s="1"/>
  <c r="VW12" i="12"/>
  <c r="VX12" i="12" s="1"/>
  <c r="AO14" i="12"/>
  <c r="EK14" i="12"/>
  <c r="EL14" i="12" s="1"/>
  <c r="KO14" i="12"/>
  <c r="KP14" i="12" s="1"/>
  <c r="QS14" i="12"/>
  <c r="QT14" i="12" s="1"/>
  <c r="U15" i="12"/>
  <c r="V15" i="12" s="1"/>
  <c r="FE15" i="12"/>
  <c r="FF15" i="12" s="1"/>
  <c r="FY15" i="12"/>
  <c r="FZ15" i="12" s="1"/>
  <c r="QY15" i="12"/>
  <c r="RM15" i="12"/>
  <c r="RN15" i="12" s="1"/>
  <c r="L16" i="12"/>
  <c r="M16" i="12" s="1"/>
  <c r="EB16" i="12"/>
  <c r="EC16" i="12" s="1"/>
  <c r="LG16" i="12"/>
  <c r="LH16" i="12" s="1"/>
  <c r="NW17" i="12"/>
  <c r="AZ20" i="12"/>
  <c r="BA20" i="12" s="1"/>
  <c r="EP20" i="12"/>
  <c r="EQ20" i="12" s="1"/>
  <c r="FC20" i="12"/>
  <c r="FD20" i="12" s="1"/>
  <c r="FP20" i="12"/>
  <c r="FQ20" i="12" s="1"/>
  <c r="EQ21" i="12"/>
  <c r="GE21" i="12"/>
  <c r="GE12" i="12"/>
  <c r="IG12" i="12"/>
  <c r="IH12" i="12" s="1"/>
  <c r="MC12" i="12"/>
  <c r="MD12" i="12" s="1"/>
  <c r="MI12" i="12"/>
  <c r="SG12" i="12"/>
  <c r="SH12" i="12" s="1"/>
  <c r="SM12" i="12"/>
  <c r="BT13" i="12"/>
  <c r="BU13" i="12" s="1"/>
  <c r="DH13" i="12"/>
  <c r="DI13" i="12" s="1"/>
  <c r="FP13" i="12"/>
  <c r="FQ13" i="12" s="1"/>
  <c r="IR13" i="12"/>
  <c r="IS13" i="12" s="1"/>
  <c r="JZ13" i="12"/>
  <c r="KA13" i="12" s="1"/>
  <c r="MH13" i="12"/>
  <c r="MI13" i="12" s="1"/>
  <c r="MI14" i="12"/>
  <c r="SM14" i="12"/>
  <c r="DQ15" i="12"/>
  <c r="DR15" i="12" s="1"/>
  <c r="EK15" i="12"/>
  <c r="EL15" i="12" s="1"/>
  <c r="SL13" i="12"/>
  <c r="SM13" i="12" s="1"/>
  <c r="UO15" i="12"/>
  <c r="AZ16" i="12"/>
  <c r="BA16" i="12" s="1"/>
  <c r="KF16" i="12"/>
  <c r="KG16" i="12" s="1"/>
  <c r="EK21" i="12"/>
  <c r="FY21" i="12"/>
  <c r="HR13" i="12"/>
  <c r="HS13" i="12" s="1"/>
  <c r="KT13" i="12"/>
  <c r="KU13" i="12" s="1"/>
  <c r="VW19" i="12"/>
  <c r="VX19" i="12" s="1"/>
  <c r="L20" i="12"/>
  <c r="M20" i="12" s="1"/>
  <c r="BI21" i="12"/>
  <c r="TL16" i="12"/>
  <c r="TM16" i="12" s="1"/>
  <c r="SR4" i="12"/>
  <c r="SS4" i="12" s="1"/>
  <c r="RX16" i="12"/>
  <c r="RY16" i="12" s="1"/>
  <c r="SG11" i="12"/>
  <c r="SH11" i="12" s="1"/>
  <c r="RX4" i="12"/>
  <c r="RY4" i="12" s="1"/>
  <c r="RE8" i="12"/>
  <c r="QJ4" i="12"/>
  <c r="QK4" i="12" s="1"/>
  <c r="PP4" i="12"/>
  <c r="PQ4" i="12" s="1"/>
  <c r="OV16" i="12"/>
  <c r="OW16" i="12" s="1"/>
  <c r="OV4" i="12"/>
  <c r="OW4" i="12" s="1"/>
  <c r="OB4" i="12"/>
  <c r="OC4" i="12" s="1"/>
  <c r="NH16" i="12"/>
  <c r="NI16" i="12" s="1"/>
  <c r="NH4" i="12"/>
  <c r="NI4" i="12" s="1"/>
  <c r="MN4" i="12"/>
  <c r="MO4" i="12" s="1"/>
  <c r="KZ4" i="12"/>
  <c r="LA4" i="12" s="1"/>
  <c r="KF4" i="12"/>
  <c r="KG4" i="12" s="1"/>
  <c r="JU11" i="12"/>
  <c r="JV11" i="12" s="1"/>
  <c r="JA5" i="12"/>
  <c r="JB5" i="12" s="1"/>
  <c r="HX16" i="12"/>
  <c r="HY16" i="12" s="1"/>
  <c r="HD16" i="12"/>
  <c r="HE16" i="12" s="1"/>
  <c r="HD4" i="12"/>
  <c r="HE4" i="12" s="1"/>
  <c r="HM5" i="12"/>
  <c r="HN5" i="12" s="1"/>
  <c r="GJ16" i="12"/>
  <c r="GK16" i="12" s="1"/>
  <c r="GJ4" i="12"/>
  <c r="GK4" i="12" s="1"/>
  <c r="FP16" i="12"/>
  <c r="FQ16" i="12" s="1"/>
  <c r="FP4" i="12"/>
  <c r="FQ4" i="12" s="1"/>
  <c r="EV16" i="12"/>
  <c r="EW16" i="12" s="1"/>
  <c r="DH4" i="12"/>
  <c r="DI4" i="12" s="1"/>
  <c r="CN16" i="12"/>
  <c r="CO16" i="12" s="1"/>
  <c r="CN4" i="12"/>
  <c r="CO4" i="12" s="1"/>
  <c r="BT16" i="12"/>
  <c r="BU16" i="12" s="1"/>
  <c r="BI5" i="12"/>
  <c r="BJ5" i="12" s="1"/>
  <c r="AZ4" i="12"/>
  <c r="BA4" i="12" s="1"/>
  <c r="AF16" i="12"/>
  <c r="AG16" i="12" s="1"/>
  <c r="TZ4" i="12"/>
  <c r="UA4" i="12" s="1"/>
  <c r="TF4" i="12"/>
  <c r="TG4" i="12" s="1"/>
  <c r="SL4" i="12"/>
  <c r="SM4" i="12" s="1"/>
  <c r="RR10" i="12"/>
  <c r="RS10" i="12" s="1"/>
  <c r="QD16" i="12"/>
  <c r="QE16" i="12" s="1"/>
  <c r="QD10" i="12"/>
  <c r="QE10" i="12" s="1"/>
  <c r="QD4" i="12"/>
  <c r="QE4" i="12" s="1"/>
  <c r="OP16" i="12"/>
  <c r="OQ16" i="12" s="1"/>
  <c r="OP4" i="12"/>
  <c r="OQ4" i="12" s="1"/>
  <c r="NV4" i="12"/>
  <c r="NW4" i="12" s="1"/>
  <c r="MI11" i="12"/>
  <c r="MW11" i="12"/>
  <c r="MX11" i="12" s="1"/>
  <c r="KU11" i="12"/>
  <c r="LI11" i="12"/>
  <c r="LI10" i="12" s="1"/>
  <c r="LJ10" i="12" s="1"/>
  <c r="KT4" i="12"/>
  <c r="KU4" i="12" s="1"/>
  <c r="JG11" i="12"/>
  <c r="JF4" i="12"/>
  <c r="JG4" i="12" s="1"/>
  <c r="IL4" i="12"/>
  <c r="IM4" i="12" s="1"/>
  <c r="IM5" i="12"/>
  <c r="GX4" i="12"/>
  <c r="GY4" i="12" s="1"/>
  <c r="EP4" i="12"/>
  <c r="EQ4" i="12" s="1"/>
  <c r="DV4" i="12"/>
  <c r="DW4" i="12" s="1"/>
  <c r="CH4" i="12"/>
  <c r="CI4" i="12" s="1"/>
  <c r="CI5" i="12"/>
  <c r="AT16" i="12"/>
  <c r="AU16" i="12" s="1"/>
  <c r="U5" i="12"/>
  <c r="V5" i="12" s="1"/>
  <c r="F4" i="12"/>
  <c r="G4" i="12" s="1"/>
  <c r="TZ16" i="12"/>
  <c r="UA16" i="12" s="1"/>
  <c r="UP15" i="12"/>
  <c r="UA15" i="12"/>
  <c r="TF16" i="12"/>
  <c r="TG16" i="12" s="1"/>
  <c r="TF13" i="12"/>
  <c r="TG13" i="12" s="1"/>
  <c r="SL16" i="12"/>
  <c r="SM16" i="12" s="1"/>
  <c r="SM15" i="12"/>
  <c r="TA15" i="12"/>
  <c r="RR13" i="12"/>
  <c r="RS13" i="12" s="1"/>
  <c r="QX16" i="12"/>
  <c r="QY16" i="12" s="1"/>
  <c r="PJ16" i="12"/>
  <c r="PK16" i="12" s="1"/>
  <c r="PK15" i="12"/>
  <c r="OP13" i="12"/>
  <c r="OQ13" i="12" s="1"/>
  <c r="NV16" i="12"/>
  <c r="NW16" i="12" s="1"/>
  <c r="NV13" i="12"/>
  <c r="NW13" i="12" s="1"/>
  <c r="NW15" i="12"/>
  <c r="NQ17" i="12"/>
  <c r="NR17" i="12" s="1"/>
  <c r="NB16" i="12"/>
  <c r="NC16" i="12" s="1"/>
  <c r="NB13" i="12"/>
  <c r="NC13" i="12" s="1"/>
  <c r="MH16" i="12"/>
  <c r="MI16" i="12" s="1"/>
  <c r="MI15" i="12"/>
  <c r="KU15" i="12"/>
  <c r="LI15" i="12"/>
  <c r="LJ15" i="12" s="1"/>
  <c r="KO17" i="12"/>
  <c r="KP17" i="12" s="1"/>
  <c r="KA17" i="12"/>
  <c r="JG15" i="12"/>
  <c r="JU15" i="12"/>
  <c r="JV15" i="12" s="1"/>
  <c r="JA17" i="12"/>
  <c r="JB17" i="12" s="1"/>
  <c r="IL16" i="12"/>
  <c r="IM16" i="12" s="1"/>
  <c r="HM17" i="12"/>
  <c r="HN17" i="12" s="1"/>
  <c r="GX16" i="12"/>
  <c r="GY16" i="12" s="1"/>
  <c r="GE15" i="12"/>
  <c r="FY17" i="12"/>
  <c r="FZ17" i="12" s="1"/>
  <c r="FK17" i="12"/>
  <c r="FJ13" i="12"/>
  <c r="FK13" i="12" s="1"/>
  <c r="FJ4" i="12"/>
  <c r="FK4" i="12" s="1"/>
  <c r="EQ15" i="12"/>
  <c r="EK17" i="12"/>
  <c r="EL17" i="12" s="1"/>
  <c r="DW17" i="12"/>
  <c r="DV13" i="12"/>
  <c r="DW13" i="12" s="1"/>
  <c r="DC15" i="12"/>
  <c r="CI17" i="12"/>
  <c r="CW17" i="12"/>
  <c r="CX17" i="12" s="1"/>
  <c r="BO15" i="12"/>
  <c r="CC15" i="12"/>
  <c r="BI17" i="12"/>
  <c r="BJ17" i="12" s="1"/>
  <c r="AA15" i="12"/>
  <c r="U17" i="12"/>
  <c r="V17" i="12" s="1"/>
  <c r="F16" i="12"/>
  <c r="G16" i="12" s="1"/>
  <c r="F13" i="12"/>
  <c r="G13" i="12" s="1"/>
  <c r="AG7" i="12"/>
  <c r="AO7" i="12"/>
  <c r="AP7" i="12" s="1"/>
  <c r="RM8" i="12"/>
  <c r="RN8" i="12" s="1"/>
  <c r="QY8" i="12"/>
  <c r="TT9" i="12"/>
  <c r="TS4" i="12"/>
  <c r="TT4" i="12" s="1"/>
  <c r="KG11" i="12"/>
  <c r="KF10" i="12"/>
  <c r="KG10" i="12" s="1"/>
  <c r="BK1" i="12"/>
  <c r="AO5" i="12"/>
  <c r="AA5" i="12"/>
  <c r="DQ5" i="12"/>
  <c r="DC5" i="12"/>
  <c r="GS5" i="12"/>
  <c r="GE5" i="12"/>
  <c r="JU5" i="12"/>
  <c r="JG5" i="12"/>
  <c r="KO5" i="12"/>
  <c r="KA5" i="12"/>
  <c r="LI5" i="12"/>
  <c r="KU5" i="12"/>
  <c r="MC5" i="12"/>
  <c r="LO5" i="12"/>
  <c r="MW5" i="12"/>
  <c r="MI5" i="12"/>
  <c r="NQ5" i="12"/>
  <c r="NC5" i="12"/>
  <c r="OK5" i="12"/>
  <c r="NW5" i="12"/>
  <c r="PE5" i="12"/>
  <c r="OQ5" i="12"/>
  <c r="PY5" i="12"/>
  <c r="PK5" i="12"/>
  <c r="QS5" i="12"/>
  <c r="QE5" i="12"/>
  <c r="RM5" i="12"/>
  <c r="QY5" i="12"/>
  <c r="SG5" i="12"/>
  <c r="RS5" i="12"/>
  <c r="TA5" i="12"/>
  <c r="TU5" i="12"/>
  <c r="TG5" i="12"/>
  <c r="UO5" i="12"/>
  <c r="VF5" i="12"/>
  <c r="UU5" i="12"/>
  <c r="VW5" i="12"/>
  <c r="U6" i="12"/>
  <c r="G6" i="12"/>
  <c r="AO6" i="12"/>
  <c r="AP6" i="12" s="1"/>
  <c r="BI6" i="12"/>
  <c r="BJ6" i="12" s="1"/>
  <c r="AU6" i="12"/>
  <c r="CC6" i="12"/>
  <c r="CD6" i="12" s="1"/>
  <c r="CW6" i="12"/>
  <c r="CX6" i="12" s="1"/>
  <c r="CI6" i="12"/>
  <c r="DQ6" i="12"/>
  <c r="DR6" i="12" s="1"/>
  <c r="EK6" i="12"/>
  <c r="EL6" i="12" s="1"/>
  <c r="DW6" i="12"/>
  <c r="FE6" i="12"/>
  <c r="FF6" i="12" s="1"/>
  <c r="KO6" i="12"/>
  <c r="KP6" i="12" s="1"/>
  <c r="KA6" i="12"/>
  <c r="LI6" i="12"/>
  <c r="LJ6" i="12" s="1"/>
  <c r="QS6" i="12"/>
  <c r="QT6" i="12" s="1"/>
  <c r="QE6" i="12"/>
  <c r="RM6" i="12"/>
  <c r="RN6" i="12" s="1"/>
  <c r="AO9" i="12"/>
  <c r="AP9" i="12" s="1"/>
  <c r="AA9" i="12"/>
  <c r="BH9" i="12"/>
  <c r="BG4" i="12"/>
  <c r="BH4" i="12" s="1"/>
  <c r="SG6" i="12"/>
  <c r="SH6" i="12" s="1"/>
  <c r="RS6" i="12"/>
  <c r="VQ6" i="12"/>
  <c r="VW6" i="12"/>
  <c r="VX6" i="12" s="1"/>
  <c r="TA9" i="12"/>
  <c r="TB9" i="12" s="1"/>
  <c r="SM9" i="12"/>
  <c r="IG11" i="12"/>
  <c r="HS11" i="12"/>
  <c r="HR10" i="12"/>
  <c r="HS10" i="12" s="1"/>
  <c r="OK11" i="12"/>
  <c r="NW11" i="12"/>
  <c r="NV10" i="12"/>
  <c r="NW10" i="12" s="1"/>
  <c r="AF4" i="12"/>
  <c r="AG4" i="12" s="1"/>
  <c r="HX4" i="12"/>
  <c r="HY4" i="12" s="1"/>
  <c r="NB4" i="12"/>
  <c r="NC4" i="12" s="1"/>
  <c r="UF4" i="12"/>
  <c r="UG4" i="12" s="1"/>
  <c r="AU5" i="12"/>
  <c r="DW5" i="12"/>
  <c r="GY5" i="12"/>
  <c r="JA6" i="12"/>
  <c r="JB6" i="12" s="1"/>
  <c r="IM6" i="12"/>
  <c r="JU6" i="12"/>
  <c r="JV6" i="12" s="1"/>
  <c r="PE6" i="12"/>
  <c r="PF6" i="12" s="1"/>
  <c r="OQ6" i="12"/>
  <c r="PY6" i="12"/>
  <c r="PZ6" i="12" s="1"/>
  <c r="VF6" i="12"/>
  <c r="VG6" i="12" s="1"/>
  <c r="UU6" i="12"/>
  <c r="U7" i="12"/>
  <c r="V7" i="12" s="1"/>
  <c r="G7" i="12"/>
  <c r="FE7" i="12"/>
  <c r="FF7" i="12" s="1"/>
  <c r="HM7" i="12"/>
  <c r="HN7" i="12" s="1"/>
  <c r="GS9" i="12"/>
  <c r="GT9" i="12" s="1"/>
  <c r="GE9" i="12"/>
  <c r="HL9" i="12"/>
  <c r="HK4" i="12"/>
  <c r="HL4" i="12" s="1"/>
  <c r="VE11" i="12"/>
  <c r="VD10" i="12"/>
  <c r="VE10" i="12" s="1"/>
  <c r="M12" i="12"/>
  <c r="L10" i="12"/>
  <c r="M10" i="12" s="1"/>
  <c r="DQ12" i="12"/>
  <c r="DR12" i="12" s="1"/>
  <c r="DC12" i="12"/>
  <c r="FY6" i="12"/>
  <c r="FZ6" i="12" s="1"/>
  <c r="FK6" i="12"/>
  <c r="MC6" i="12"/>
  <c r="MD6" i="12" s="1"/>
  <c r="LO6" i="12"/>
  <c r="SF8" i="12"/>
  <c r="SE4" i="12"/>
  <c r="SF4" i="12" s="1"/>
  <c r="IZ11" i="12"/>
  <c r="IY10" i="12"/>
  <c r="IZ10" i="12" s="1"/>
  <c r="BT4" i="12"/>
  <c r="BU4" i="12" s="1"/>
  <c r="EV4" i="12"/>
  <c r="EW4" i="12" s="1"/>
  <c r="IR4" i="12"/>
  <c r="IS4" i="12" s="1"/>
  <c r="QX4" i="12"/>
  <c r="QY4" i="12" s="1"/>
  <c r="RR4" i="12"/>
  <c r="RS4" i="12" s="1"/>
  <c r="CC5" i="12"/>
  <c r="BO5" i="12"/>
  <c r="FE5" i="12"/>
  <c r="EQ5" i="12"/>
  <c r="IG5" i="12"/>
  <c r="HS5" i="12"/>
  <c r="HM6" i="12"/>
  <c r="HN6" i="12" s="1"/>
  <c r="GY6" i="12"/>
  <c r="IG6" i="12"/>
  <c r="IH6" i="12" s="1"/>
  <c r="NQ6" i="12"/>
  <c r="NR6" i="12" s="1"/>
  <c r="NC6" i="12"/>
  <c r="OK6" i="12"/>
  <c r="OL6" i="12" s="1"/>
  <c r="TU6" i="12"/>
  <c r="TV6" i="12" s="1"/>
  <c r="TG6" i="12"/>
  <c r="UO6" i="12"/>
  <c r="UP6" i="12" s="1"/>
  <c r="LI7" i="12"/>
  <c r="LJ7" i="12" s="1"/>
  <c r="NQ7" i="12"/>
  <c r="NR7" i="12" s="1"/>
  <c r="PY7" i="12"/>
  <c r="PZ7" i="12" s="1"/>
  <c r="TA7" i="12"/>
  <c r="TB7" i="12" s="1"/>
  <c r="VW7" i="12"/>
  <c r="VX7" i="12" s="1"/>
  <c r="CC8" i="12"/>
  <c r="CD8" i="12" s="1"/>
  <c r="FE8" i="12"/>
  <c r="FF8" i="12" s="1"/>
  <c r="IG8" i="12"/>
  <c r="IH8" i="12" s="1"/>
  <c r="LI8" i="12"/>
  <c r="LJ8" i="12" s="1"/>
  <c r="KU8" i="12"/>
  <c r="MB8" i="12"/>
  <c r="MA4" i="12"/>
  <c r="MB4" i="12" s="1"/>
  <c r="MW9" i="12"/>
  <c r="MX9" i="12" s="1"/>
  <c r="MI9" i="12"/>
  <c r="NP9" i="12"/>
  <c r="NO4" i="12"/>
  <c r="NP4" i="12" s="1"/>
  <c r="CC11" i="12"/>
  <c r="BO11" i="12"/>
  <c r="BN10" i="12"/>
  <c r="BO10" i="12" s="1"/>
  <c r="CV11" i="12"/>
  <c r="CU10" i="12"/>
  <c r="CV10" i="12" s="1"/>
  <c r="DQ7" i="12"/>
  <c r="DR7" i="12" s="1"/>
  <c r="FY7" i="12"/>
  <c r="FZ7" i="12" s="1"/>
  <c r="JU7" i="12"/>
  <c r="JV7" i="12" s="1"/>
  <c r="MC7" i="12"/>
  <c r="MD7" i="12" s="1"/>
  <c r="NQ8" i="12"/>
  <c r="NR8" i="12" s="1"/>
  <c r="NC8" i="12"/>
  <c r="TU8" i="12"/>
  <c r="TV8" i="12" s="1"/>
  <c r="TG8" i="12"/>
  <c r="CW9" i="12"/>
  <c r="CX9" i="12" s="1"/>
  <c r="CI9" i="12"/>
  <c r="JA9" i="12"/>
  <c r="JB9" i="12" s="1"/>
  <c r="IM9" i="12"/>
  <c r="PE9" i="12"/>
  <c r="PF9" i="12" s="1"/>
  <c r="OQ9" i="12"/>
  <c r="VF9" i="12"/>
  <c r="VG9" i="12" s="1"/>
  <c r="UU9" i="12"/>
  <c r="DB10" i="12"/>
  <c r="DC10" i="12" s="1"/>
  <c r="EK11" i="12"/>
  <c r="DW11" i="12"/>
  <c r="DV10" i="12"/>
  <c r="DW10" i="12" s="1"/>
  <c r="OW11" i="12"/>
  <c r="OV10" i="12"/>
  <c r="OW10" i="12" s="1"/>
  <c r="EC12" i="12"/>
  <c r="EB10" i="12"/>
  <c r="EC10" i="12" s="1"/>
  <c r="T14" i="12"/>
  <c r="S13" i="12"/>
  <c r="T13" i="12" s="1"/>
  <c r="FE14" i="12"/>
  <c r="EQ14" i="12"/>
  <c r="EP13" i="12"/>
  <c r="EQ13" i="12" s="1"/>
  <c r="HE14" i="12"/>
  <c r="HD13" i="12"/>
  <c r="HE13" i="12" s="1"/>
  <c r="MB14" i="12"/>
  <c r="MA13" i="12"/>
  <c r="MB13" i="12" s="1"/>
  <c r="SF14" i="12"/>
  <c r="SE13" i="12"/>
  <c r="SF13" i="12" s="1"/>
  <c r="AM16" i="12"/>
  <c r="AN16" i="12" s="1"/>
  <c r="AN17" i="12"/>
  <c r="CC7" i="12"/>
  <c r="CD7" i="12" s="1"/>
  <c r="EK7" i="12"/>
  <c r="EL7" i="12" s="1"/>
  <c r="IG7" i="12"/>
  <c r="IH7" i="12" s="1"/>
  <c r="KO7" i="12"/>
  <c r="KP7" i="12" s="1"/>
  <c r="OK7" i="12"/>
  <c r="OL7" i="12" s="1"/>
  <c r="RM7" i="12"/>
  <c r="RN7" i="12" s="1"/>
  <c r="UO7" i="12"/>
  <c r="UP7" i="12" s="1"/>
  <c r="AO8" i="12"/>
  <c r="AP8" i="12" s="1"/>
  <c r="DQ8" i="12"/>
  <c r="DR8" i="12" s="1"/>
  <c r="GS8" i="12"/>
  <c r="GT8" i="12" s="1"/>
  <c r="JU8" i="12"/>
  <c r="JV8" i="12" s="1"/>
  <c r="OK8" i="12"/>
  <c r="OL8" i="12" s="1"/>
  <c r="NW8" i="12"/>
  <c r="UO8" i="12"/>
  <c r="UP8" i="12" s="1"/>
  <c r="UA8" i="12"/>
  <c r="DQ9" i="12"/>
  <c r="DR9" i="12" s="1"/>
  <c r="DC9" i="12"/>
  <c r="JU9" i="12"/>
  <c r="JV9" i="12" s="1"/>
  <c r="JG9" i="12"/>
  <c r="PY9" i="12"/>
  <c r="PZ9" i="12" s="1"/>
  <c r="PK9" i="12"/>
  <c r="VW9" i="12"/>
  <c r="VX9" i="12" s="1"/>
  <c r="VL9" i="12"/>
  <c r="CA10" i="12"/>
  <c r="CB10" i="12" s="1"/>
  <c r="NO10" i="12"/>
  <c r="NP10" i="12" s="1"/>
  <c r="TS10" i="12"/>
  <c r="TT10" i="12" s="1"/>
  <c r="FE11" i="12"/>
  <c r="EQ11" i="12"/>
  <c r="EP10" i="12"/>
  <c r="EQ10" i="12" s="1"/>
  <c r="QK11" i="12"/>
  <c r="QJ10" i="12"/>
  <c r="QK10" i="12" s="1"/>
  <c r="SM11" i="12"/>
  <c r="TA11" i="12"/>
  <c r="UO11" i="12"/>
  <c r="UA11" i="12"/>
  <c r="TZ10" i="12"/>
  <c r="UA10" i="12" s="1"/>
  <c r="FQ12" i="12"/>
  <c r="FP10" i="12"/>
  <c r="FQ10" i="12" s="1"/>
  <c r="HS12" i="12"/>
  <c r="SM5" i="12"/>
  <c r="UA5" i="12"/>
  <c r="VL5" i="12"/>
  <c r="AA6" i="12"/>
  <c r="BO6" i="12"/>
  <c r="DC6" i="12"/>
  <c r="EQ6" i="12"/>
  <c r="GE6" i="12"/>
  <c r="HS6" i="12"/>
  <c r="JG6" i="12"/>
  <c r="KU6" i="12"/>
  <c r="MI6" i="12"/>
  <c r="NW6" i="12"/>
  <c r="PK6" i="12"/>
  <c r="QY6" i="12"/>
  <c r="SM6" i="12"/>
  <c r="UA6" i="12"/>
  <c r="CW7" i="12"/>
  <c r="CX7" i="12" s="1"/>
  <c r="GS7" i="12"/>
  <c r="GT7" i="12" s="1"/>
  <c r="JA7" i="12"/>
  <c r="JB7" i="12" s="1"/>
  <c r="MW7" i="12"/>
  <c r="MX7" i="12" s="1"/>
  <c r="OQ7" i="12"/>
  <c r="PE7" i="12"/>
  <c r="PF7" i="12" s="1"/>
  <c r="QS8" i="12"/>
  <c r="QT8" i="12" s="1"/>
  <c r="QE8" i="12"/>
  <c r="U9" i="12"/>
  <c r="V9" i="12" s="1"/>
  <c r="G9" i="12"/>
  <c r="FY9" i="12"/>
  <c r="FZ9" i="12" s="1"/>
  <c r="FK9" i="12"/>
  <c r="MC9" i="12"/>
  <c r="MD9" i="12" s="1"/>
  <c r="LO9" i="12"/>
  <c r="SG9" i="12"/>
  <c r="SH9" i="12" s="1"/>
  <c r="RS9" i="12"/>
  <c r="FC10" i="12"/>
  <c r="FD10" i="12" s="1"/>
  <c r="BI11" i="12"/>
  <c r="AU11" i="12"/>
  <c r="AT10" i="12"/>
  <c r="AU10" i="12" s="1"/>
  <c r="HM11" i="12"/>
  <c r="GY11" i="12"/>
  <c r="GX10" i="12"/>
  <c r="GY10" i="12" s="1"/>
  <c r="KO11" i="12"/>
  <c r="UZ11" i="12"/>
  <c r="UY10" i="12"/>
  <c r="UZ10" i="12" s="1"/>
  <c r="U12" i="12"/>
  <c r="V12" i="12" s="1"/>
  <c r="OK12" i="12"/>
  <c r="OL12" i="12" s="1"/>
  <c r="NW12" i="12"/>
  <c r="UO12" i="12"/>
  <c r="UP12" i="12" s="1"/>
  <c r="UA12" i="12"/>
  <c r="BA14" i="12"/>
  <c r="AZ13" i="12"/>
  <c r="BA13" i="12" s="1"/>
  <c r="FX14" i="12"/>
  <c r="FW13" i="12"/>
  <c r="FX13" i="12" s="1"/>
  <c r="FX19" i="12"/>
  <c r="FW16" i="12"/>
  <c r="MC8" i="12"/>
  <c r="MD8" i="12" s="1"/>
  <c r="LO8" i="12"/>
  <c r="PE8" i="12"/>
  <c r="PF8" i="12" s="1"/>
  <c r="OQ8" i="12"/>
  <c r="SG8" i="12"/>
  <c r="SH8" i="12" s="1"/>
  <c r="RS8" i="12"/>
  <c r="VF8" i="12"/>
  <c r="VG8" i="12" s="1"/>
  <c r="UU8" i="12"/>
  <c r="BI9" i="12"/>
  <c r="BJ9" i="12" s="1"/>
  <c r="AU9" i="12"/>
  <c r="EK9" i="12"/>
  <c r="EL9" i="12" s="1"/>
  <c r="DW9" i="12"/>
  <c r="HM9" i="12"/>
  <c r="HN9" i="12" s="1"/>
  <c r="GY9" i="12"/>
  <c r="KO9" i="12"/>
  <c r="KP9" i="12" s="1"/>
  <c r="KA9" i="12"/>
  <c r="NQ9" i="12"/>
  <c r="NR9" i="12" s="1"/>
  <c r="NC9" i="12"/>
  <c r="QS9" i="12"/>
  <c r="QT9" i="12" s="1"/>
  <c r="QE9" i="12"/>
  <c r="TU9" i="12"/>
  <c r="TV9" i="12" s="1"/>
  <c r="TG9" i="12"/>
  <c r="JF10" i="12"/>
  <c r="JG10" i="12" s="1"/>
  <c r="PJ10" i="12"/>
  <c r="PK10" i="12" s="1"/>
  <c r="VK10" i="12"/>
  <c r="VL10" i="12" s="1"/>
  <c r="U11" i="12"/>
  <c r="G11" i="12"/>
  <c r="CW11" i="12"/>
  <c r="CI11" i="12"/>
  <c r="FY11" i="12"/>
  <c r="FK11" i="12"/>
  <c r="JA11" i="12"/>
  <c r="IM11" i="12"/>
  <c r="LU11" i="12"/>
  <c r="LT10" i="12"/>
  <c r="LU10" i="12" s="1"/>
  <c r="NQ11" i="12"/>
  <c r="RY11" i="12"/>
  <c r="RX10" i="12"/>
  <c r="RY10" i="12" s="1"/>
  <c r="TU11" i="12"/>
  <c r="BA12" i="12"/>
  <c r="AZ10" i="12"/>
  <c r="BA10" i="12" s="1"/>
  <c r="CW12" i="12"/>
  <c r="CX12" i="12" s="1"/>
  <c r="HE12" i="12"/>
  <c r="HD10" i="12"/>
  <c r="HE10" i="12" s="1"/>
  <c r="JA12" i="12"/>
  <c r="JB12" i="12" s="1"/>
  <c r="JG12" i="12"/>
  <c r="PE12" i="12"/>
  <c r="PF12" i="12" s="1"/>
  <c r="PK12" i="12"/>
  <c r="VF12" i="12"/>
  <c r="VG12" i="12" s="1"/>
  <c r="VL12" i="12"/>
  <c r="Z13" i="12"/>
  <c r="AA13" i="12" s="1"/>
  <c r="BG13" i="12"/>
  <c r="BH13" i="12" s="1"/>
  <c r="CN13" i="12"/>
  <c r="CO13" i="12" s="1"/>
  <c r="GD13" i="12"/>
  <c r="GE13" i="12" s="1"/>
  <c r="HK13" i="12"/>
  <c r="HL13" i="12" s="1"/>
  <c r="NO13" i="12"/>
  <c r="NP13" i="12" s="1"/>
  <c r="TS13" i="12"/>
  <c r="TT13" i="12" s="1"/>
  <c r="U14" i="12"/>
  <c r="AA14" i="12"/>
  <c r="FY14" i="12"/>
  <c r="GE14" i="12"/>
  <c r="MC14" i="12"/>
  <c r="SG14" i="12"/>
  <c r="BI15" i="12"/>
  <c r="BJ15" i="12" s="1"/>
  <c r="HM15" i="12"/>
  <c r="HN15" i="12" s="1"/>
  <c r="QS7" i="12"/>
  <c r="QT7" i="12" s="1"/>
  <c r="SG7" i="12"/>
  <c r="SH7" i="12" s="1"/>
  <c r="TU7" i="12"/>
  <c r="TV7" i="12" s="1"/>
  <c r="VF7" i="12"/>
  <c r="VG7" i="12" s="1"/>
  <c r="U8" i="12"/>
  <c r="V8" i="12" s="1"/>
  <c r="BI8" i="12"/>
  <c r="BJ8" i="12" s="1"/>
  <c r="CW8" i="12"/>
  <c r="CX8" i="12" s="1"/>
  <c r="EK8" i="12"/>
  <c r="EL8" i="12" s="1"/>
  <c r="FY8" i="12"/>
  <c r="FZ8" i="12" s="1"/>
  <c r="HM8" i="12"/>
  <c r="HN8" i="12" s="1"/>
  <c r="JA8" i="12"/>
  <c r="JB8" i="12" s="1"/>
  <c r="KO8" i="12"/>
  <c r="KP8" i="12" s="1"/>
  <c r="MW8" i="12"/>
  <c r="MX8" i="12" s="1"/>
  <c r="MI8" i="12"/>
  <c r="PY8" i="12"/>
  <c r="PZ8" i="12" s="1"/>
  <c r="PK8" i="12"/>
  <c r="TA8" i="12"/>
  <c r="TB8" i="12" s="1"/>
  <c r="SM8" i="12"/>
  <c r="VW8" i="12"/>
  <c r="VX8" i="12" s="1"/>
  <c r="VL8" i="12"/>
  <c r="CC9" i="12"/>
  <c r="CD9" i="12" s="1"/>
  <c r="BO9" i="12"/>
  <c r="FE9" i="12"/>
  <c r="FF9" i="12" s="1"/>
  <c r="EQ9" i="12"/>
  <c r="IG9" i="12"/>
  <c r="IH9" i="12" s="1"/>
  <c r="HS9" i="12"/>
  <c r="LI9" i="12"/>
  <c r="LJ9" i="12" s="1"/>
  <c r="KU9" i="12"/>
  <c r="OK9" i="12"/>
  <c r="OL9" i="12" s="1"/>
  <c r="NW9" i="12"/>
  <c r="RM9" i="12"/>
  <c r="RN9" i="12" s="1"/>
  <c r="QY9" i="12"/>
  <c r="UO9" i="12"/>
  <c r="UP9" i="12" s="1"/>
  <c r="UA9" i="12"/>
  <c r="AO11" i="12"/>
  <c r="AA11" i="12"/>
  <c r="DQ11" i="12"/>
  <c r="DC11" i="12"/>
  <c r="GS11" i="12"/>
  <c r="GE11" i="12"/>
  <c r="NI11" i="12"/>
  <c r="NH10" i="12"/>
  <c r="NI10" i="12" s="1"/>
  <c r="PE11" i="12"/>
  <c r="TM11" i="12"/>
  <c r="TL10" i="12"/>
  <c r="TM10" i="12" s="1"/>
  <c r="VF11" i="12"/>
  <c r="CO12" i="12"/>
  <c r="CN10" i="12"/>
  <c r="CO10" i="12" s="1"/>
  <c r="EK12" i="12"/>
  <c r="EL12" i="12" s="1"/>
  <c r="IS12" i="12"/>
  <c r="IR10" i="12"/>
  <c r="IS10" i="12" s="1"/>
  <c r="KO12" i="12"/>
  <c r="KP12" i="12" s="1"/>
  <c r="QS12" i="12"/>
  <c r="QT12" i="12" s="1"/>
  <c r="CU13" i="12"/>
  <c r="CV13" i="12" s="1"/>
  <c r="IY13" i="12"/>
  <c r="IZ13" i="12" s="1"/>
  <c r="BI14" i="12"/>
  <c r="BO14" i="12"/>
  <c r="HM14" i="12"/>
  <c r="NQ14" i="12"/>
  <c r="TU14" i="12"/>
  <c r="CW15" i="12"/>
  <c r="CX15" i="12" s="1"/>
  <c r="JA15" i="12"/>
  <c r="JB15" i="12" s="1"/>
  <c r="OC18" i="12"/>
  <c r="OB16" i="12"/>
  <c r="OC16" i="12" s="1"/>
  <c r="CA16" i="12"/>
  <c r="CB16" i="12" s="1"/>
  <c r="CB17" i="12"/>
  <c r="MB19" i="12"/>
  <c r="MA16" i="12"/>
  <c r="MB16" i="12" s="1"/>
  <c r="RY21" i="12"/>
  <c r="RX20" i="12"/>
  <c r="AF10" i="12"/>
  <c r="AG10" i="12" s="1"/>
  <c r="BT10" i="12"/>
  <c r="BU10" i="12" s="1"/>
  <c r="DH10" i="12"/>
  <c r="DI10" i="12" s="1"/>
  <c r="EV10" i="12"/>
  <c r="EW10" i="12" s="1"/>
  <c r="GJ10" i="12"/>
  <c r="GK10" i="12" s="1"/>
  <c r="HX10" i="12"/>
  <c r="HY10" i="12" s="1"/>
  <c r="JL10" i="12"/>
  <c r="JM10" i="12" s="1"/>
  <c r="KZ10" i="12"/>
  <c r="LA10" i="12" s="1"/>
  <c r="MN10" i="12"/>
  <c r="MO10" i="12" s="1"/>
  <c r="OB10" i="12"/>
  <c r="OC10" i="12" s="1"/>
  <c r="PP10" i="12"/>
  <c r="PQ10" i="12" s="1"/>
  <c r="RD10" i="12"/>
  <c r="RE10" i="12" s="1"/>
  <c r="SR10" i="12"/>
  <c r="SS10" i="12" s="1"/>
  <c r="UF10" i="12"/>
  <c r="UG10" i="12" s="1"/>
  <c r="VP10" i="12"/>
  <c r="VQ10" i="12" s="1"/>
  <c r="KA11" i="12"/>
  <c r="LO11" i="12"/>
  <c r="NC11" i="12"/>
  <c r="OQ11" i="12"/>
  <c r="QE11" i="12"/>
  <c r="RS11" i="12"/>
  <c r="TG11" i="12"/>
  <c r="UU11" i="12"/>
  <c r="G12" i="12"/>
  <c r="AU12" i="12"/>
  <c r="CI12" i="12"/>
  <c r="DW12" i="12"/>
  <c r="FK12" i="12"/>
  <c r="GY12" i="12"/>
  <c r="IM12" i="12"/>
  <c r="KA12" i="12"/>
  <c r="LO12" i="12"/>
  <c r="NC12" i="12"/>
  <c r="OQ12" i="12"/>
  <c r="QE12" i="12"/>
  <c r="RS12" i="12"/>
  <c r="TG12" i="12"/>
  <c r="UU12" i="12"/>
  <c r="G14" i="12"/>
  <c r="AU14" i="12"/>
  <c r="CI14" i="12"/>
  <c r="DW14" i="12"/>
  <c r="FK14" i="12"/>
  <c r="GY14" i="12"/>
  <c r="IM14" i="12"/>
  <c r="KA14" i="12"/>
  <c r="LO14" i="12"/>
  <c r="NC14" i="12"/>
  <c r="OQ14" i="12"/>
  <c r="QE14" i="12"/>
  <c r="RS14" i="12"/>
  <c r="TG14" i="12"/>
  <c r="UU14" i="12"/>
  <c r="G15" i="12"/>
  <c r="AU15" i="12"/>
  <c r="CI15" i="12"/>
  <c r="DW15" i="12"/>
  <c r="FK15" i="12"/>
  <c r="GY15" i="12"/>
  <c r="IM15" i="12"/>
  <c r="KA15" i="12"/>
  <c r="MC15" i="12"/>
  <c r="MD15" i="12" s="1"/>
  <c r="NQ15" i="12"/>
  <c r="NR15" i="12" s="1"/>
  <c r="PE15" i="12"/>
  <c r="PF15" i="12" s="1"/>
  <c r="QS15" i="12"/>
  <c r="QT15" i="12" s="1"/>
  <c r="SG15" i="12"/>
  <c r="SH15" i="12" s="1"/>
  <c r="TU15" i="12"/>
  <c r="TV15" i="12" s="1"/>
  <c r="VF15" i="12"/>
  <c r="VG15" i="12" s="1"/>
  <c r="FC16" i="12"/>
  <c r="FD16" i="12" s="1"/>
  <c r="GQ16" i="12"/>
  <c r="GR16" i="12" s="1"/>
  <c r="Z16" i="12"/>
  <c r="AA16" i="12" s="1"/>
  <c r="AO17" i="12"/>
  <c r="AA17" i="12"/>
  <c r="MW17" i="12"/>
  <c r="MV17" i="12"/>
  <c r="QR18" i="12"/>
  <c r="QQ16" i="12"/>
  <c r="QR16" i="12" s="1"/>
  <c r="DI19" i="12"/>
  <c r="DH16" i="12"/>
  <c r="DI16" i="12" s="1"/>
  <c r="IE16" i="12"/>
  <c r="IF16" i="12" s="1"/>
  <c r="DQ17" i="12"/>
  <c r="FE17" i="12"/>
  <c r="GS17" i="12"/>
  <c r="IG17" i="12"/>
  <c r="JU17" i="12"/>
  <c r="LI17" i="12"/>
  <c r="JM19" i="12"/>
  <c r="JL16" i="12"/>
  <c r="JM16" i="12" s="1"/>
  <c r="KA20" i="12"/>
  <c r="UU20" i="12"/>
  <c r="U21" i="12"/>
  <c r="G21" i="12"/>
  <c r="F20" i="12"/>
  <c r="CC21" i="12"/>
  <c r="BO21" i="12"/>
  <c r="BN20" i="12"/>
  <c r="IF21" i="12"/>
  <c r="IE20" i="12"/>
  <c r="BO17" i="12"/>
  <c r="CC17" i="12"/>
  <c r="DC17" i="12"/>
  <c r="EQ17" i="12"/>
  <c r="GE17" i="12"/>
  <c r="HS17" i="12"/>
  <c r="JG17" i="12"/>
  <c r="KU17" i="12"/>
  <c r="S16" i="12"/>
  <c r="T16" i="12" s="1"/>
  <c r="BG16" i="12"/>
  <c r="BH16" i="12" s="1"/>
  <c r="PP16" i="12"/>
  <c r="PQ16" i="12" s="1"/>
  <c r="RD16" i="12"/>
  <c r="RE16" i="12" s="1"/>
  <c r="SR16" i="12"/>
  <c r="SS16" i="12" s="1"/>
  <c r="UF16" i="12"/>
  <c r="UG16" i="12" s="1"/>
  <c r="VP16" i="12"/>
  <c r="VQ16" i="12" s="1"/>
  <c r="PE17" i="12"/>
  <c r="QS17" i="12"/>
  <c r="SG17" i="12"/>
  <c r="TU17" i="12"/>
  <c r="VF17" i="12"/>
  <c r="U18" i="12"/>
  <c r="BI18" i="12"/>
  <c r="CW18" i="12"/>
  <c r="EK18" i="12"/>
  <c r="FY18" i="12"/>
  <c r="HM18" i="12"/>
  <c r="JA18" i="12"/>
  <c r="KO18" i="12"/>
  <c r="MC18" i="12"/>
  <c r="NQ18" i="12"/>
  <c r="PE18" i="12"/>
  <c r="PF18" i="12" s="1"/>
  <c r="QS18" i="12"/>
  <c r="QT18" i="12" s="1"/>
  <c r="SG18" i="12"/>
  <c r="SH18" i="12" s="1"/>
  <c r="TU18" i="12"/>
  <c r="TV18" i="12" s="1"/>
  <c r="VF18" i="12"/>
  <c r="VG18" i="12" s="1"/>
  <c r="U19" i="12"/>
  <c r="V19" i="12" s="1"/>
  <c r="BI19" i="12"/>
  <c r="BJ19" i="12" s="1"/>
  <c r="CW19" i="12"/>
  <c r="CX19" i="12" s="1"/>
  <c r="EK19" i="12"/>
  <c r="EL19" i="12" s="1"/>
  <c r="FY19" i="12"/>
  <c r="FZ19" i="12" s="1"/>
  <c r="HM19" i="12"/>
  <c r="HN19" i="12" s="1"/>
  <c r="JA19" i="12"/>
  <c r="JB19" i="12" s="1"/>
  <c r="KO19" i="12"/>
  <c r="KP19" i="12" s="1"/>
  <c r="MC19" i="12"/>
  <c r="MD19" i="12" s="1"/>
  <c r="NQ19" i="12"/>
  <c r="NR19" i="12" s="1"/>
  <c r="PE19" i="12"/>
  <c r="PF19" i="12" s="1"/>
  <c r="QS19" i="12"/>
  <c r="QT19" i="12" s="1"/>
  <c r="SG19" i="12"/>
  <c r="SH19" i="12" s="1"/>
  <c r="TU19" i="12"/>
  <c r="TV19" i="12" s="1"/>
  <c r="VF19" i="12"/>
  <c r="VG19" i="12" s="1"/>
  <c r="UU19" i="12"/>
  <c r="QE20" i="12"/>
  <c r="OJ21" i="12"/>
  <c r="OI20" i="12"/>
  <c r="GY20" i="12"/>
  <c r="DQ21" i="12"/>
  <c r="DC21" i="12"/>
  <c r="DB20" i="12"/>
  <c r="PY17" i="12"/>
  <c r="RM17" i="12"/>
  <c r="TA17" i="12"/>
  <c r="UO17" i="12"/>
  <c r="VW17" i="12"/>
  <c r="AO18" i="12"/>
  <c r="AP18" i="12" s="1"/>
  <c r="CC18" i="12"/>
  <c r="CD18" i="12" s="1"/>
  <c r="DQ18" i="12"/>
  <c r="DR18" i="12" s="1"/>
  <c r="FE18" i="12"/>
  <c r="FF18" i="12" s="1"/>
  <c r="GS18" i="12"/>
  <c r="GT18" i="12" s="1"/>
  <c r="IG18" i="12"/>
  <c r="IH18" i="12" s="1"/>
  <c r="JU18" i="12"/>
  <c r="JV18" i="12" s="1"/>
  <c r="LI18" i="12"/>
  <c r="LJ18" i="12" s="1"/>
  <c r="MW18" i="12"/>
  <c r="MX18" i="12" s="1"/>
  <c r="OK18" i="12"/>
  <c r="OL18" i="12" s="1"/>
  <c r="PY18" i="12"/>
  <c r="PZ18" i="12" s="1"/>
  <c r="RM18" i="12"/>
  <c r="RN18" i="12" s="1"/>
  <c r="TA18" i="12"/>
  <c r="TB18" i="12" s="1"/>
  <c r="UO18" i="12"/>
  <c r="UP18" i="12" s="1"/>
  <c r="VW18" i="12"/>
  <c r="VX18" i="12" s="1"/>
  <c r="AO19" i="12"/>
  <c r="AP19" i="12" s="1"/>
  <c r="CC19" i="12"/>
  <c r="CD19" i="12" s="1"/>
  <c r="DQ19" i="12"/>
  <c r="DR19" i="12" s="1"/>
  <c r="FE19" i="12"/>
  <c r="FF19" i="12" s="1"/>
  <c r="GS19" i="12"/>
  <c r="GT19" i="12" s="1"/>
  <c r="IG19" i="12"/>
  <c r="IH19" i="12" s="1"/>
  <c r="JU19" i="12"/>
  <c r="JV19" i="12" s="1"/>
  <c r="LI19" i="12"/>
  <c r="LJ19" i="12" s="1"/>
  <c r="MW19" i="12"/>
  <c r="MX19" i="12" s="1"/>
  <c r="OK19" i="12"/>
  <c r="OL19" i="12" s="1"/>
  <c r="PY19" i="12"/>
  <c r="PZ19" i="12" s="1"/>
  <c r="RM19" i="12"/>
  <c r="RN19" i="12" s="1"/>
  <c r="TA19" i="12"/>
  <c r="TB19" i="12" s="1"/>
  <c r="UO19" i="12"/>
  <c r="UP19" i="12" s="1"/>
  <c r="AN21" i="12"/>
  <c r="AM20" i="12"/>
  <c r="CB21" i="12"/>
  <c r="CA20" i="12"/>
  <c r="LU21" i="12"/>
  <c r="LT20" i="12"/>
  <c r="AO21" i="12"/>
  <c r="VL19" i="12"/>
  <c r="OW20" i="12"/>
  <c r="HS20" i="12"/>
  <c r="QY20" i="12"/>
  <c r="VL20" i="12"/>
  <c r="AU21" i="12"/>
  <c r="IG21" i="12"/>
  <c r="JU21" i="12"/>
  <c r="LI21" i="12"/>
  <c r="MW21" i="12"/>
  <c r="OK21" i="12"/>
  <c r="PY21" i="12"/>
  <c r="RM21" i="12"/>
  <c r="TA21" i="12"/>
  <c r="UO21" i="12"/>
  <c r="VW21" i="12"/>
  <c r="VL21" i="12"/>
  <c r="HM21" i="12"/>
  <c r="JA21" i="12"/>
  <c r="KO21" i="12"/>
  <c r="MC21" i="12"/>
  <c r="NQ21" i="12"/>
  <c r="PE21" i="12"/>
  <c r="QS21" i="12"/>
  <c r="SG21" i="12"/>
  <c r="TU21" i="12"/>
  <c r="VF21" i="12"/>
  <c r="GT21" i="12" l="1"/>
  <c r="VW10" i="12"/>
  <c r="VX10" i="12" s="1"/>
  <c r="UT22" i="12"/>
  <c r="UU22" i="12" s="1"/>
  <c r="OP22" i="12"/>
  <c r="OQ22" i="12" s="1"/>
  <c r="EK13" i="12"/>
  <c r="EL13" i="12" s="1"/>
  <c r="LN22" i="12"/>
  <c r="LO22" i="12" s="1"/>
  <c r="MW10" i="12"/>
  <c r="MX10" i="12" s="1"/>
  <c r="JS22" i="12"/>
  <c r="JT22" i="12" s="1"/>
  <c r="CH22" i="12"/>
  <c r="CI22" i="12" s="1"/>
  <c r="PY10" i="12"/>
  <c r="PZ10" i="12" s="1"/>
  <c r="MW13" i="12"/>
  <c r="MX13" i="12" s="1"/>
  <c r="UO13" i="12"/>
  <c r="UP13" i="12" s="1"/>
  <c r="TL22" i="12"/>
  <c r="TM22" i="12" s="1"/>
  <c r="AO13" i="12"/>
  <c r="AP13" i="12" s="1"/>
  <c r="AP14" i="12"/>
  <c r="KM22" i="12"/>
  <c r="KN22" i="12" s="1"/>
  <c r="QQ22" i="12"/>
  <c r="QR22" i="12" s="1"/>
  <c r="TM20" i="12"/>
  <c r="UM22" i="12"/>
  <c r="UN22" i="12" s="1"/>
  <c r="OK13" i="12"/>
  <c r="OL13" i="12" s="1"/>
  <c r="VK22" i="12"/>
  <c r="VL22" i="12" s="1"/>
  <c r="PC22" i="12"/>
  <c r="PD22" i="12" s="1"/>
  <c r="S22" i="12"/>
  <c r="T22" i="12" s="1"/>
  <c r="VU22" i="12"/>
  <c r="VV22" i="12" s="1"/>
  <c r="VW13" i="12"/>
  <c r="VX13" i="12" s="1"/>
  <c r="L22" i="12"/>
  <c r="M22" i="12" s="1"/>
  <c r="FJ22" i="12"/>
  <c r="FK22" i="12" s="1"/>
  <c r="FE20" i="12"/>
  <c r="FF20" i="12" s="1"/>
  <c r="NH22" i="12"/>
  <c r="NI22" i="12" s="1"/>
  <c r="EI22" i="12"/>
  <c r="EJ22" i="12" s="1"/>
  <c r="VD22" i="12"/>
  <c r="VE22" i="12" s="1"/>
  <c r="IL22" i="12"/>
  <c r="IM22" i="12" s="1"/>
  <c r="LJ11" i="12"/>
  <c r="SG10" i="12"/>
  <c r="SH10" i="12" s="1"/>
  <c r="MC10" i="12"/>
  <c r="MD10" i="12" s="1"/>
  <c r="IR22" i="12"/>
  <c r="IS22" i="12" s="1"/>
  <c r="BG22" i="12"/>
  <c r="BH22" i="12" s="1"/>
  <c r="PJ22" i="12"/>
  <c r="PK22" i="12" s="1"/>
  <c r="LG22" i="12"/>
  <c r="LH22" i="12" s="1"/>
  <c r="DO22" i="12"/>
  <c r="DP22" i="12" s="1"/>
  <c r="RM13" i="12"/>
  <c r="RN13" i="12" s="1"/>
  <c r="TF22" i="12"/>
  <c r="TG22" i="12" s="1"/>
  <c r="SY22" i="12"/>
  <c r="SZ22" i="12" s="1"/>
  <c r="RM10" i="12"/>
  <c r="RN10" i="12" s="1"/>
  <c r="RK22" i="12"/>
  <c r="RL22" i="12" s="1"/>
  <c r="QJ22" i="12"/>
  <c r="QK22" i="12" s="1"/>
  <c r="QD22" i="12"/>
  <c r="QE22" i="12" s="1"/>
  <c r="PY13" i="12"/>
  <c r="PZ13" i="12" s="1"/>
  <c r="PW22" i="12"/>
  <c r="PX22" i="12" s="1"/>
  <c r="NO22" i="12"/>
  <c r="NP22" i="12" s="1"/>
  <c r="MU22" i="12"/>
  <c r="MV22" i="12" s="1"/>
  <c r="KZ22" i="12"/>
  <c r="LA22" i="12" s="1"/>
  <c r="JZ22" i="12"/>
  <c r="KA22" i="12" s="1"/>
  <c r="KO13" i="12"/>
  <c r="KP13" i="12" s="1"/>
  <c r="JU13" i="12"/>
  <c r="JV13" i="12" s="1"/>
  <c r="IY22" i="12"/>
  <c r="IZ22" i="12" s="1"/>
  <c r="HR22" i="12"/>
  <c r="HS22" i="12" s="1"/>
  <c r="IG13" i="12"/>
  <c r="IH13" i="12" s="1"/>
  <c r="GJ22" i="12"/>
  <c r="GK22" i="12" s="1"/>
  <c r="GS13" i="12"/>
  <c r="GT13" i="12" s="1"/>
  <c r="FC22" i="12"/>
  <c r="FD22" i="12" s="1"/>
  <c r="EB22" i="12"/>
  <c r="EC22" i="12" s="1"/>
  <c r="DQ13" i="12"/>
  <c r="DR13" i="12" s="1"/>
  <c r="TS22" i="12"/>
  <c r="TT22" i="12" s="1"/>
  <c r="HK22" i="12"/>
  <c r="HL22" i="12" s="1"/>
  <c r="CN22" i="12"/>
  <c r="CO22" i="12" s="1"/>
  <c r="UY22" i="12"/>
  <c r="UZ22" i="12" s="1"/>
  <c r="OV22" i="12"/>
  <c r="OW22" i="12" s="1"/>
  <c r="GQ22" i="12"/>
  <c r="GR22" i="12" s="1"/>
  <c r="Z22" i="12"/>
  <c r="AA22" i="12" s="1"/>
  <c r="GX22" i="12"/>
  <c r="GY22" i="12" s="1"/>
  <c r="VP22" i="12"/>
  <c r="VQ22" i="12" s="1"/>
  <c r="RR22" i="12"/>
  <c r="RS22" i="12" s="1"/>
  <c r="SE22" i="12"/>
  <c r="SF22" i="12" s="1"/>
  <c r="JU10" i="12"/>
  <c r="JV10" i="12" s="1"/>
  <c r="DH22" i="12"/>
  <c r="DI22" i="12" s="1"/>
  <c r="SL22" i="12"/>
  <c r="SM22" i="12" s="1"/>
  <c r="KT22" i="12"/>
  <c r="KU22" i="12" s="1"/>
  <c r="KF22" i="12"/>
  <c r="KG22" i="12" s="1"/>
  <c r="GD22" i="12"/>
  <c r="GE22" i="12" s="1"/>
  <c r="MA22" i="12"/>
  <c r="MB22" i="12" s="1"/>
  <c r="AT22" i="12"/>
  <c r="AU22" i="12" s="1"/>
  <c r="LI13" i="12"/>
  <c r="LJ13" i="12" s="1"/>
  <c r="BJ21" i="12"/>
  <c r="BI20" i="12"/>
  <c r="BJ20" i="12" s="1"/>
  <c r="FZ21" i="12"/>
  <c r="FY20" i="12"/>
  <c r="FZ20" i="12" s="1"/>
  <c r="CU22" i="12"/>
  <c r="CV22" i="12" s="1"/>
  <c r="EL21" i="12"/>
  <c r="EK20" i="12"/>
  <c r="EL20" i="12" s="1"/>
  <c r="UF22" i="12"/>
  <c r="UG22" i="12" s="1"/>
  <c r="SR22" i="12"/>
  <c r="SS22" i="12" s="1"/>
  <c r="RD22" i="12"/>
  <c r="RE22" i="12" s="1"/>
  <c r="PP22" i="12"/>
  <c r="PQ22" i="12" s="1"/>
  <c r="OB22" i="12"/>
  <c r="OC22" i="12" s="1"/>
  <c r="JL22" i="12"/>
  <c r="JM22" i="12" s="1"/>
  <c r="HX22" i="12"/>
  <c r="HY22" i="12" s="1"/>
  <c r="HD22" i="12"/>
  <c r="HE22" i="12" s="1"/>
  <c r="FP22" i="12"/>
  <c r="FQ22" i="12" s="1"/>
  <c r="EV22" i="12"/>
  <c r="EW22" i="12" s="1"/>
  <c r="AZ22" i="12"/>
  <c r="BA22" i="12" s="1"/>
  <c r="AF22" i="12"/>
  <c r="AG22" i="12" s="1"/>
  <c r="TZ22" i="12"/>
  <c r="UA22" i="12" s="1"/>
  <c r="NV22" i="12"/>
  <c r="NW22" i="12" s="1"/>
  <c r="NB22" i="12"/>
  <c r="NC22" i="12" s="1"/>
  <c r="MH22" i="12"/>
  <c r="MI22" i="12" s="1"/>
  <c r="JF22" i="12"/>
  <c r="JG22" i="12" s="1"/>
  <c r="EP22" i="12"/>
  <c r="EQ22" i="12" s="1"/>
  <c r="DV22" i="12"/>
  <c r="DW22" i="12" s="1"/>
  <c r="TB15" i="12"/>
  <c r="TA13" i="12"/>
  <c r="TB13" i="12" s="1"/>
  <c r="QX22" i="12"/>
  <c r="QY22" i="12" s="1"/>
  <c r="CD15" i="12"/>
  <c r="CC13" i="12"/>
  <c r="CD13" i="12" s="1"/>
  <c r="VG21" i="12"/>
  <c r="VF20" i="12"/>
  <c r="VG20" i="12" s="1"/>
  <c r="PE20" i="12"/>
  <c r="PF20" i="12" s="1"/>
  <c r="PF21" i="12"/>
  <c r="JA20" i="12"/>
  <c r="JB20" i="12" s="1"/>
  <c r="JB21" i="12"/>
  <c r="UP21" i="12"/>
  <c r="UO20" i="12"/>
  <c r="UP20" i="12" s="1"/>
  <c r="OL21" i="12"/>
  <c r="OK20" i="12"/>
  <c r="OL20" i="12" s="1"/>
  <c r="IH21" i="12"/>
  <c r="IG20" i="12"/>
  <c r="IH20" i="12" s="1"/>
  <c r="AP21" i="12"/>
  <c r="AO20" i="12"/>
  <c r="AP20" i="12" s="1"/>
  <c r="VX17" i="12"/>
  <c r="VW16" i="12"/>
  <c r="VX16" i="12" s="1"/>
  <c r="PZ17" i="12"/>
  <c r="PY16" i="12"/>
  <c r="PZ16" i="12" s="1"/>
  <c r="OI22" i="12"/>
  <c r="OJ22" i="12" s="1"/>
  <c r="OJ20" i="12"/>
  <c r="MD18" i="12"/>
  <c r="MC16" i="12"/>
  <c r="MD16" i="12" s="1"/>
  <c r="FZ18" i="12"/>
  <c r="FY16" i="12"/>
  <c r="FZ16" i="12" s="1"/>
  <c r="V18" i="12"/>
  <c r="U16" i="12"/>
  <c r="V16" i="12" s="1"/>
  <c r="QT17" i="12"/>
  <c r="QS16" i="12"/>
  <c r="QT16" i="12" s="1"/>
  <c r="IE22" i="12"/>
  <c r="IF22" i="12" s="1"/>
  <c r="IF20" i="12"/>
  <c r="CD21" i="12"/>
  <c r="CC20" i="12"/>
  <c r="CD20" i="12" s="1"/>
  <c r="LJ17" i="12"/>
  <c r="LI16" i="12"/>
  <c r="LJ16" i="12" s="1"/>
  <c r="FF17" i="12"/>
  <c r="FE16" i="12"/>
  <c r="FF16" i="12" s="1"/>
  <c r="MX17" i="12"/>
  <c r="MW16" i="12"/>
  <c r="MX16" i="12" s="1"/>
  <c r="HN14" i="12"/>
  <c r="HM13" i="12"/>
  <c r="HN13" i="12" s="1"/>
  <c r="TV11" i="12"/>
  <c r="TU10" i="12"/>
  <c r="TV10" i="12" s="1"/>
  <c r="BT22" i="12"/>
  <c r="BU22" i="12" s="1"/>
  <c r="BI10" i="12"/>
  <c r="BJ10" i="12" s="1"/>
  <c r="BJ11" i="12"/>
  <c r="PE13" i="12"/>
  <c r="PF13" i="12" s="1"/>
  <c r="FF14" i="12"/>
  <c r="FE13" i="12"/>
  <c r="FF13" i="12" s="1"/>
  <c r="FF5" i="12"/>
  <c r="FE4" i="12"/>
  <c r="FF4" i="12" s="1"/>
  <c r="CW4" i="12"/>
  <c r="CX4" i="12" s="1"/>
  <c r="VG5" i="12"/>
  <c r="VF4" i="12"/>
  <c r="VG4" i="12" s="1"/>
  <c r="TB5" i="12"/>
  <c r="TA4" i="12"/>
  <c r="TB4" i="12" s="1"/>
  <c r="RN5" i="12"/>
  <c r="RM4" i="12"/>
  <c r="RN4" i="12" s="1"/>
  <c r="PZ5" i="12"/>
  <c r="PY4" i="12"/>
  <c r="PZ4" i="12" s="1"/>
  <c r="OL5" i="12"/>
  <c r="OK4" i="12"/>
  <c r="OL4" i="12" s="1"/>
  <c r="MX5" i="12"/>
  <c r="MW4" i="12"/>
  <c r="MX4" i="12" s="1"/>
  <c r="LJ5" i="12"/>
  <c r="LI4" i="12"/>
  <c r="LJ4" i="12" s="1"/>
  <c r="JV5" i="12"/>
  <c r="JU4" i="12"/>
  <c r="JV4" i="12" s="1"/>
  <c r="DR5" i="12"/>
  <c r="DQ4" i="12"/>
  <c r="DR4" i="12" s="1"/>
  <c r="BI4" i="12"/>
  <c r="BJ4" i="12" s="1"/>
  <c r="TV21" i="12"/>
  <c r="TU20" i="12"/>
  <c r="TV20" i="12" s="1"/>
  <c r="NR21" i="12"/>
  <c r="NQ20" i="12"/>
  <c r="NR20" i="12" s="1"/>
  <c r="HN21" i="12"/>
  <c r="HM20" i="12"/>
  <c r="HN20" i="12" s="1"/>
  <c r="TB21" i="12"/>
  <c r="TA20" i="12"/>
  <c r="TB20" i="12" s="1"/>
  <c r="MX21" i="12"/>
  <c r="MW20" i="12"/>
  <c r="MX20" i="12" s="1"/>
  <c r="CA22" i="12"/>
  <c r="CB22" i="12" s="1"/>
  <c r="CB20" i="12"/>
  <c r="UP17" i="12"/>
  <c r="UO16" i="12"/>
  <c r="UP16" i="12" s="1"/>
  <c r="DB22" i="12"/>
  <c r="DC22" i="12" s="1"/>
  <c r="DC20" i="12"/>
  <c r="KP18" i="12"/>
  <c r="KO16" i="12"/>
  <c r="KP16" i="12" s="1"/>
  <c r="EL18" i="12"/>
  <c r="EK16" i="12"/>
  <c r="EL16" i="12" s="1"/>
  <c r="VG17" i="12"/>
  <c r="VF16" i="12"/>
  <c r="VG16" i="12" s="1"/>
  <c r="PF17" i="12"/>
  <c r="PE16" i="12"/>
  <c r="PF16" i="12" s="1"/>
  <c r="CD17" i="12"/>
  <c r="CC16" i="12"/>
  <c r="CD16" i="12" s="1"/>
  <c r="F22" i="12"/>
  <c r="G22" i="12" s="1"/>
  <c r="G20" i="12"/>
  <c r="JV17" i="12"/>
  <c r="JU16" i="12"/>
  <c r="JV16" i="12" s="1"/>
  <c r="DR17" i="12"/>
  <c r="DQ16" i="12"/>
  <c r="DR16" i="12" s="1"/>
  <c r="GS10" i="12"/>
  <c r="GT10" i="12" s="1"/>
  <c r="GT11" i="12"/>
  <c r="AO10" i="12"/>
  <c r="AP10" i="12" s="1"/>
  <c r="AP11" i="12"/>
  <c r="FZ14" i="12"/>
  <c r="FY13" i="12"/>
  <c r="FZ13" i="12" s="1"/>
  <c r="FY10" i="12"/>
  <c r="FZ10" i="12" s="1"/>
  <c r="FZ11" i="12"/>
  <c r="U10" i="12"/>
  <c r="V10" i="12" s="1"/>
  <c r="V11" i="12"/>
  <c r="QS13" i="12"/>
  <c r="QT13" i="12" s="1"/>
  <c r="HM10" i="12"/>
  <c r="HN10" i="12" s="1"/>
  <c r="HN11" i="12"/>
  <c r="EK10" i="12"/>
  <c r="EL10" i="12" s="1"/>
  <c r="EL11" i="12"/>
  <c r="IG10" i="12"/>
  <c r="IH10" i="12" s="1"/>
  <c r="IH11" i="12"/>
  <c r="V6" i="12"/>
  <c r="U4" i="12"/>
  <c r="V4" i="12" s="1"/>
  <c r="UP5" i="12"/>
  <c r="UO4" i="12"/>
  <c r="UP4" i="12" s="1"/>
  <c r="SH21" i="12"/>
  <c r="SG20" i="12"/>
  <c r="SH20" i="12" s="1"/>
  <c r="MD21" i="12"/>
  <c r="MC20" i="12"/>
  <c r="MD20" i="12" s="1"/>
  <c r="RN21" i="12"/>
  <c r="RM20" i="12"/>
  <c r="RN20" i="12" s="1"/>
  <c r="LJ21" i="12"/>
  <c r="LI20" i="12"/>
  <c r="LJ20" i="12" s="1"/>
  <c r="TB17" i="12"/>
  <c r="TA16" i="12"/>
  <c r="TB16" i="12" s="1"/>
  <c r="JB18" i="12"/>
  <c r="JA16" i="12"/>
  <c r="JB16" i="12" s="1"/>
  <c r="CX18" i="12"/>
  <c r="CW16" i="12"/>
  <c r="CX16" i="12" s="1"/>
  <c r="TV17" i="12"/>
  <c r="TU16" i="12"/>
  <c r="TV16" i="12" s="1"/>
  <c r="BN22" i="12"/>
  <c r="BO22" i="12" s="1"/>
  <c r="BO20" i="12"/>
  <c r="IH17" i="12"/>
  <c r="IG16" i="12"/>
  <c r="IH16" i="12" s="1"/>
  <c r="AP17" i="12"/>
  <c r="AO16" i="12"/>
  <c r="AP16" i="12" s="1"/>
  <c r="RX22" i="12"/>
  <c r="RY22" i="12" s="1"/>
  <c r="RY20" i="12"/>
  <c r="OK16" i="12"/>
  <c r="OL16" i="12" s="1"/>
  <c r="TV14" i="12"/>
  <c r="TU13" i="12"/>
  <c r="TV13" i="12" s="1"/>
  <c r="BJ14" i="12"/>
  <c r="BI13" i="12"/>
  <c r="BJ13" i="12" s="1"/>
  <c r="VG11" i="12"/>
  <c r="VF10" i="12"/>
  <c r="VG10" i="12" s="1"/>
  <c r="SH14" i="12"/>
  <c r="SG13" i="12"/>
  <c r="SH13" i="12" s="1"/>
  <c r="KP11" i="12"/>
  <c r="KO10" i="12"/>
  <c r="KP10" i="12" s="1"/>
  <c r="UP11" i="12"/>
  <c r="UO10" i="12"/>
  <c r="UP10" i="12" s="1"/>
  <c r="VF13" i="12"/>
  <c r="VG13" i="12" s="1"/>
  <c r="JA13" i="12"/>
  <c r="JB13" i="12" s="1"/>
  <c r="IH5" i="12"/>
  <c r="IG4" i="12"/>
  <c r="IH4" i="12" s="1"/>
  <c r="CD5" i="12"/>
  <c r="CC4" i="12"/>
  <c r="CD4" i="12" s="1"/>
  <c r="FY4" i="12"/>
  <c r="FZ4" i="12" s="1"/>
  <c r="OL11" i="12"/>
  <c r="OK10" i="12"/>
  <c r="OL10" i="12" s="1"/>
  <c r="VX5" i="12"/>
  <c r="VW4" i="12"/>
  <c r="VX4" i="12" s="1"/>
  <c r="SH5" i="12"/>
  <c r="SG4" i="12"/>
  <c r="SH4" i="12" s="1"/>
  <c r="QT5" i="12"/>
  <c r="QS4" i="12"/>
  <c r="QT4" i="12" s="1"/>
  <c r="PF5" i="12"/>
  <c r="PE4" i="12"/>
  <c r="PF4" i="12" s="1"/>
  <c r="NR5" i="12"/>
  <c r="NQ4" i="12"/>
  <c r="NR4" i="12" s="1"/>
  <c r="MD5" i="12"/>
  <c r="MC4" i="12"/>
  <c r="MD4" i="12" s="1"/>
  <c r="KP5" i="12"/>
  <c r="KO4" i="12"/>
  <c r="KP4" i="12" s="1"/>
  <c r="GT5" i="12"/>
  <c r="GS4" i="12"/>
  <c r="GT4" i="12" s="1"/>
  <c r="AP5" i="12"/>
  <c r="AO4" i="12"/>
  <c r="AP4" i="12" s="1"/>
  <c r="HM4" i="12"/>
  <c r="HN4" i="12" s="1"/>
  <c r="EK4" i="12"/>
  <c r="EL4" i="12" s="1"/>
  <c r="QT21" i="12"/>
  <c r="QS20" i="12"/>
  <c r="QT20" i="12" s="1"/>
  <c r="KP21" i="12"/>
  <c r="KO20" i="12"/>
  <c r="KP20" i="12" s="1"/>
  <c r="VX21" i="12"/>
  <c r="VW20" i="12"/>
  <c r="VX20" i="12" s="1"/>
  <c r="PZ21" i="12"/>
  <c r="PY20" i="12"/>
  <c r="PZ20" i="12" s="1"/>
  <c r="JV21" i="12"/>
  <c r="JU20" i="12"/>
  <c r="JV20" i="12" s="1"/>
  <c r="LT22" i="12"/>
  <c r="LU22" i="12" s="1"/>
  <c r="LU20" i="12"/>
  <c r="AM22" i="12"/>
  <c r="AN22" i="12" s="1"/>
  <c r="AN20" i="12"/>
  <c r="RN17" i="12"/>
  <c r="RM16" i="12"/>
  <c r="RN16" i="12" s="1"/>
  <c r="DR21" i="12"/>
  <c r="DQ20" i="12"/>
  <c r="DR20" i="12" s="1"/>
  <c r="NR18" i="12"/>
  <c r="NQ16" i="12"/>
  <c r="NR16" i="12" s="1"/>
  <c r="HN18" i="12"/>
  <c r="HM16" i="12"/>
  <c r="HN16" i="12" s="1"/>
  <c r="BJ18" i="12"/>
  <c r="BI16" i="12"/>
  <c r="BJ16" i="12" s="1"/>
  <c r="SH17" i="12"/>
  <c r="SG16" i="12"/>
  <c r="SH16" i="12" s="1"/>
  <c r="V21" i="12"/>
  <c r="U20" i="12"/>
  <c r="V20" i="12" s="1"/>
  <c r="MN22" i="12"/>
  <c r="MO22" i="12" s="1"/>
  <c r="GT17" i="12"/>
  <c r="GS16" i="12"/>
  <c r="GT16" i="12" s="1"/>
  <c r="NR14" i="12"/>
  <c r="NQ13" i="12"/>
  <c r="NR13" i="12" s="1"/>
  <c r="PF11" i="12"/>
  <c r="PE10" i="12"/>
  <c r="PF10" i="12" s="1"/>
  <c r="DQ10" i="12"/>
  <c r="DR10" i="12" s="1"/>
  <c r="DR11" i="12"/>
  <c r="MD14" i="12"/>
  <c r="MC13" i="12"/>
  <c r="MD13" i="12" s="1"/>
  <c r="V14" i="12"/>
  <c r="U13" i="12"/>
  <c r="V13" i="12" s="1"/>
  <c r="NR11" i="12"/>
  <c r="NQ10" i="12"/>
  <c r="NR10" i="12" s="1"/>
  <c r="JB11" i="12"/>
  <c r="JA10" i="12"/>
  <c r="JB10" i="12" s="1"/>
  <c r="CW10" i="12"/>
  <c r="CX10" i="12" s="1"/>
  <c r="CX11" i="12"/>
  <c r="FW22" i="12"/>
  <c r="FX22" i="12" s="1"/>
  <c r="FX16" i="12"/>
  <c r="TB11" i="12"/>
  <c r="TA10" i="12"/>
  <c r="TB10" i="12" s="1"/>
  <c r="FE10" i="12"/>
  <c r="FF10" i="12" s="1"/>
  <c r="FF11" i="12"/>
  <c r="CW13" i="12"/>
  <c r="CX13" i="12" s="1"/>
  <c r="QS10" i="12"/>
  <c r="QT10" i="12" s="1"/>
  <c r="CC10" i="12"/>
  <c r="CD10" i="12" s="1"/>
  <c r="CD11" i="12"/>
  <c r="JA4" i="12"/>
  <c r="JB4" i="12" s="1"/>
  <c r="TV5" i="12"/>
  <c r="TU4" i="12"/>
  <c r="TV4" i="12" s="1"/>
  <c r="CE1" i="12"/>
  <c r="CY1" i="12" l="1"/>
  <c r="DS1" i="12" l="1"/>
  <c r="VR21" i="10"/>
  <c r="VS21" i="10" s="1"/>
  <c r="VM21" i="10"/>
  <c r="VN21" i="10" s="1"/>
  <c r="VH21" i="10"/>
  <c r="VI21" i="10" s="1"/>
  <c r="VA21" i="10"/>
  <c r="VB21" i="10" s="1"/>
  <c r="UV21" i="10"/>
  <c r="UQ21" i="10"/>
  <c r="UR21" i="10" s="1"/>
  <c r="UJ21" i="10"/>
  <c r="UK21" i="10" s="1"/>
  <c r="UE21" i="10"/>
  <c r="TZ21" i="10"/>
  <c r="TS21" i="10"/>
  <c r="TL21" i="10"/>
  <c r="TM21" i="10" s="1"/>
  <c r="TF21" i="10"/>
  <c r="TF20" i="10" s="1"/>
  <c r="TG20" i="10" s="1"/>
  <c r="SY21" i="10"/>
  <c r="SY20" i="10" s="1"/>
  <c r="SZ20" i="10" s="1"/>
  <c r="SR21" i="10"/>
  <c r="SS21" i="10" s="1"/>
  <c r="SL21" i="10"/>
  <c r="SE21" i="10"/>
  <c r="RX21" i="10"/>
  <c r="RY21" i="10" s="1"/>
  <c r="RR21" i="10"/>
  <c r="RK21" i="10"/>
  <c r="RD21" i="10"/>
  <c r="RE21" i="10" s="1"/>
  <c r="QX21" i="10"/>
  <c r="QY21" i="10" s="1"/>
  <c r="QQ21" i="10"/>
  <c r="QJ21" i="10"/>
  <c r="QD21" i="10"/>
  <c r="QE21" i="10" s="1"/>
  <c r="PW21" i="10"/>
  <c r="PP21" i="10"/>
  <c r="PJ21" i="10"/>
  <c r="PK21" i="10" s="1"/>
  <c r="PC21" i="10"/>
  <c r="OV21" i="10"/>
  <c r="OW21" i="10" s="1"/>
  <c r="OP21" i="10"/>
  <c r="OQ21" i="10" s="1"/>
  <c r="OI21" i="10"/>
  <c r="OB21" i="10"/>
  <c r="OC21" i="10" s="1"/>
  <c r="NV21" i="10"/>
  <c r="NW21" i="10" s="1"/>
  <c r="NO21" i="10"/>
  <c r="NH21" i="10"/>
  <c r="NI21" i="10" s="1"/>
  <c r="NB21" i="10"/>
  <c r="MU21" i="10"/>
  <c r="MN21" i="10"/>
  <c r="MO21" i="10" s="1"/>
  <c r="MH21" i="10"/>
  <c r="MA21" i="10"/>
  <c r="LT21" i="10"/>
  <c r="LU21" i="10" s="1"/>
  <c r="LN21" i="10"/>
  <c r="LG21" i="10"/>
  <c r="KZ21" i="10"/>
  <c r="LA21" i="10" s="1"/>
  <c r="KT21" i="10"/>
  <c r="KU21" i="10" s="1"/>
  <c r="KM21" i="10"/>
  <c r="KF21" i="10"/>
  <c r="JZ21" i="10"/>
  <c r="KA21" i="10" s="1"/>
  <c r="JS21" i="10"/>
  <c r="JL21" i="10"/>
  <c r="JF21" i="10"/>
  <c r="JG21" i="10" s="1"/>
  <c r="IY21" i="10"/>
  <c r="IR21" i="10"/>
  <c r="IS21" i="10" s="1"/>
  <c r="IL21" i="10"/>
  <c r="IM21" i="10" s="1"/>
  <c r="IE21" i="10"/>
  <c r="HX21" i="10"/>
  <c r="HY21" i="10" s="1"/>
  <c r="HR21" i="10"/>
  <c r="HS21" i="10" s="1"/>
  <c r="HK21" i="10"/>
  <c r="HD21" i="10"/>
  <c r="HE21" i="10" s="1"/>
  <c r="GX21" i="10"/>
  <c r="GQ21" i="10"/>
  <c r="GR21" i="10" s="1"/>
  <c r="GJ21" i="10"/>
  <c r="GK21" i="10" s="1"/>
  <c r="GD21" i="10"/>
  <c r="FW21" i="10"/>
  <c r="FW20" i="10" s="1"/>
  <c r="FX20" i="10" s="1"/>
  <c r="FP21" i="10"/>
  <c r="FJ21" i="10"/>
  <c r="FK21" i="10" s="1"/>
  <c r="FC21" i="10"/>
  <c r="FD21" i="10" s="1"/>
  <c r="EV21" i="10"/>
  <c r="EW21" i="10" s="1"/>
  <c r="EP21" i="10"/>
  <c r="EI21" i="10"/>
  <c r="EJ21" i="10" s="1"/>
  <c r="EB21" i="10"/>
  <c r="DV21" i="10"/>
  <c r="DV20" i="10" s="1"/>
  <c r="DW20" i="10" s="1"/>
  <c r="DO21" i="10"/>
  <c r="DO20" i="10" s="1"/>
  <c r="DP20" i="10" s="1"/>
  <c r="DH21" i="10"/>
  <c r="DH20" i="10" s="1"/>
  <c r="DI20" i="10" s="1"/>
  <c r="DB21" i="10"/>
  <c r="DB20" i="10" s="1"/>
  <c r="DC20" i="10" s="1"/>
  <c r="CU21" i="10"/>
  <c r="CN21" i="10"/>
  <c r="CO21" i="10" s="1"/>
  <c r="CH21" i="10"/>
  <c r="CA21" i="10"/>
  <c r="CB21" i="10" s="1"/>
  <c r="BT21" i="10"/>
  <c r="BN21" i="10"/>
  <c r="BN20" i="10" s="1"/>
  <c r="BO20" i="10" s="1"/>
  <c r="BG21" i="10"/>
  <c r="AZ21" i="10"/>
  <c r="BA21" i="10" s="1"/>
  <c r="AT21" i="10"/>
  <c r="AM21" i="10"/>
  <c r="AM20" i="10" s="1"/>
  <c r="AN20" i="10" s="1"/>
  <c r="AF21" i="10"/>
  <c r="AG21" i="10" s="1"/>
  <c r="Z21" i="10"/>
  <c r="AA21" i="10" s="1"/>
  <c r="S21" i="10"/>
  <c r="T21" i="10" s="1"/>
  <c r="L21" i="10"/>
  <c r="F21" i="10"/>
  <c r="EV20" i="10"/>
  <c r="EW20" i="10" s="1"/>
  <c r="VR19" i="10"/>
  <c r="VM19" i="10"/>
  <c r="VN19" i="10" s="1"/>
  <c r="VH19" i="10"/>
  <c r="VA19" i="10"/>
  <c r="VB19" i="10" s="1"/>
  <c r="UV19" i="10"/>
  <c r="UW19" i="10" s="1"/>
  <c r="UQ19" i="10"/>
  <c r="UJ19" i="10"/>
  <c r="UK19" i="10" s="1"/>
  <c r="UE19" i="10"/>
  <c r="UF19" i="10" s="1"/>
  <c r="TZ19" i="10"/>
  <c r="UA19" i="10" s="1"/>
  <c r="TS19" i="10"/>
  <c r="TT19" i="10" s="1"/>
  <c r="TL19" i="10"/>
  <c r="TM19" i="10" s="1"/>
  <c r="TF19" i="10"/>
  <c r="SY19" i="10"/>
  <c r="SZ19" i="10" s="1"/>
  <c r="SR19" i="10"/>
  <c r="SS19" i="10" s="1"/>
  <c r="SL19" i="10"/>
  <c r="SE19" i="10"/>
  <c r="SF19" i="10" s="1"/>
  <c r="RX19" i="10"/>
  <c r="RY19" i="10" s="1"/>
  <c r="RR19" i="10"/>
  <c r="RK19" i="10"/>
  <c r="RL19" i="10" s="1"/>
  <c r="RD19" i="10"/>
  <c r="RE19" i="10" s="1"/>
  <c r="QX19" i="10"/>
  <c r="QQ19" i="10"/>
  <c r="QR19" i="10" s="1"/>
  <c r="QJ19" i="10"/>
  <c r="QK19" i="10" s="1"/>
  <c r="QD19" i="10"/>
  <c r="PW19" i="10"/>
  <c r="PX19" i="10" s="1"/>
  <c r="PP19" i="10"/>
  <c r="PQ19" i="10" s="1"/>
  <c r="PJ19" i="10"/>
  <c r="PC19" i="10"/>
  <c r="PD19" i="10" s="1"/>
  <c r="OV19" i="10"/>
  <c r="OW19" i="10" s="1"/>
  <c r="OP19" i="10"/>
  <c r="OI19" i="10"/>
  <c r="OJ19" i="10" s="1"/>
  <c r="OB19" i="10"/>
  <c r="OC19" i="10" s="1"/>
  <c r="NV19" i="10"/>
  <c r="NO19" i="10"/>
  <c r="NP19" i="10" s="1"/>
  <c r="NH19" i="10"/>
  <c r="NI19" i="10" s="1"/>
  <c r="NB19" i="10"/>
  <c r="MU19" i="10"/>
  <c r="MV19" i="10" s="1"/>
  <c r="MN19" i="10"/>
  <c r="MO19" i="10" s="1"/>
  <c r="MH19" i="10"/>
  <c r="MI19" i="10" s="1"/>
  <c r="MA19" i="10"/>
  <c r="MB19" i="10" s="1"/>
  <c r="LT19" i="10"/>
  <c r="LU19" i="10" s="1"/>
  <c r="LN19" i="10"/>
  <c r="LO19" i="10" s="1"/>
  <c r="LG19" i="10"/>
  <c r="LH19" i="10" s="1"/>
  <c r="KZ19" i="10"/>
  <c r="LA19" i="10" s="1"/>
  <c r="KT19" i="10"/>
  <c r="KU19" i="10" s="1"/>
  <c r="KM19" i="10"/>
  <c r="KN19" i="10" s="1"/>
  <c r="KF19" i="10"/>
  <c r="KG19" i="10" s="1"/>
  <c r="JZ19" i="10"/>
  <c r="KA19" i="10" s="1"/>
  <c r="JS19" i="10"/>
  <c r="JL19" i="10"/>
  <c r="JM19" i="10" s="1"/>
  <c r="JF19" i="10"/>
  <c r="JG19" i="10" s="1"/>
  <c r="IY19" i="10"/>
  <c r="IZ19" i="10" s="1"/>
  <c r="IR19" i="10"/>
  <c r="IS19" i="10" s="1"/>
  <c r="IL19" i="10"/>
  <c r="IM19" i="10" s="1"/>
  <c r="IE19" i="10"/>
  <c r="IF19" i="10" s="1"/>
  <c r="HX19" i="10"/>
  <c r="HY19" i="10" s="1"/>
  <c r="HR19" i="10"/>
  <c r="HS19" i="10" s="1"/>
  <c r="HK19" i="10"/>
  <c r="HL19" i="10" s="1"/>
  <c r="HD19" i="10"/>
  <c r="HE19" i="10" s="1"/>
  <c r="GX19" i="10"/>
  <c r="GY19" i="10" s="1"/>
  <c r="GQ19" i="10"/>
  <c r="GR19" i="10" s="1"/>
  <c r="GJ19" i="10"/>
  <c r="GK19" i="10" s="1"/>
  <c r="GD19" i="10"/>
  <c r="GE19" i="10" s="1"/>
  <c r="FW19" i="10"/>
  <c r="FX19" i="10" s="1"/>
  <c r="FP19" i="10"/>
  <c r="FQ19" i="10" s="1"/>
  <c r="FJ19" i="10"/>
  <c r="FK19" i="10" s="1"/>
  <c r="FC19" i="10"/>
  <c r="FD19" i="10" s="1"/>
  <c r="EV19" i="10"/>
  <c r="EW19" i="10" s="1"/>
  <c r="EP19" i="10"/>
  <c r="EQ19" i="10" s="1"/>
  <c r="EI19" i="10"/>
  <c r="EJ19" i="10" s="1"/>
  <c r="EB19" i="10"/>
  <c r="EC19" i="10" s="1"/>
  <c r="DV19" i="10"/>
  <c r="DW19" i="10" s="1"/>
  <c r="DO19" i="10"/>
  <c r="DP19" i="10" s="1"/>
  <c r="DH19" i="10"/>
  <c r="DI19" i="10" s="1"/>
  <c r="DB19" i="10"/>
  <c r="DC19" i="10" s="1"/>
  <c r="CU19" i="10"/>
  <c r="CV19" i="10" s="1"/>
  <c r="CN19" i="10"/>
  <c r="CO19" i="10" s="1"/>
  <c r="CH19" i="10"/>
  <c r="CI19" i="10" s="1"/>
  <c r="CA19" i="10"/>
  <c r="CB19" i="10" s="1"/>
  <c r="BT19" i="10"/>
  <c r="BU19" i="10" s="1"/>
  <c r="BN19" i="10"/>
  <c r="BO19" i="10" s="1"/>
  <c r="BG19" i="10"/>
  <c r="BH19" i="10" s="1"/>
  <c r="AZ19" i="10"/>
  <c r="BA19" i="10" s="1"/>
  <c r="AT19" i="10"/>
  <c r="AU19" i="10" s="1"/>
  <c r="AM19" i="10"/>
  <c r="AN19" i="10" s="1"/>
  <c r="AF19" i="10"/>
  <c r="AG19" i="10" s="1"/>
  <c r="Z19" i="10"/>
  <c r="AA19" i="10" s="1"/>
  <c r="S19" i="10"/>
  <c r="T19" i="10" s="1"/>
  <c r="L19" i="10"/>
  <c r="M19" i="10" s="1"/>
  <c r="F19" i="10"/>
  <c r="G19" i="10" s="1"/>
  <c r="VR18" i="10"/>
  <c r="VS18" i="10" s="1"/>
  <c r="VM18" i="10"/>
  <c r="VN18" i="10" s="1"/>
  <c r="VH18" i="10"/>
  <c r="VA18" i="10"/>
  <c r="VB18" i="10" s="1"/>
  <c r="UV18" i="10"/>
  <c r="UW18" i="10" s="1"/>
  <c r="UQ18" i="10"/>
  <c r="UR18" i="10" s="1"/>
  <c r="UJ18" i="10"/>
  <c r="UE18" i="10"/>
  <c r="UF18" i="10" s="1"/>
  <c r="TZ18" i="10"/>
  <c r="UA18" i="10" s="1"/>
  <c r="TS18" i="10"/>
  <c r="TT18" i="10" s="1"/>
  <c r="TL18" i="10"/>
  <c r="TM18" i="10" s="1"/>
  <c r="TF18" i="10"/>
  <c r="TG18" i="10" s="1"/>
  <c r="SY18" i="10"/>
  <c r="SZ18" i="10" s="1"/>
  <c r="SR18" i="10"/>
  <c r="SS18" i="10" s="1"/>
  <c r="SL18" i="10"/>
  <c r="SM18" i="10" s="1"/>
  <c r="SE18" i="10"/>
  <c r="SF18" i="10" s="1"/>
  <c r="RX18" i="10"/>
  <c r="RY18" i="10" s="1"/>
  <c r="RR18" i="10"/>
  <c r="RS18" i="10" s="1"/>
  <c r="RK18" i="10"/>
  <c r="RL18" i="10" s="1"/>
  <c r="RD18" i="10"/>
  <c r="RE18" i="10" s="1"/>
  <c r="QX18" i="10"/>
  <c r="QY18" i="10" s="1"/>
  <c r="QQ18" i="10"/>
  <c r="QR18" i="10" s="1"/>
  <c r="QJ18" i="10"/>
  <c r="QK18" i="10" s="1"/>
  <c r="QD18" i="10"/>
  <c r="QE18" i="10" s="1"/>
  <c r="PW18" i="10"/>
  <c r="PX18" i="10" s="1"/>
  <c r="PP18" i="10"/>
  <c r="PQ18" i="10" s="1"/>
  <c r="PJ18" i="10"/>
  <c r="PC18" i="10"/>
  <c r="PD18" i="10" s="1"/>
  <c r="OV18" i="10"/>
  <c r="OW18" i="10" s="1"/>
  <c r="OP18" i="10"/>
  <c r="OQ18" i="10" s="1"/>
  <c r="OI18" i="10"/>
  <c r="OJ18" i="10" s="1"/>
  <c r="OB18" i="10"/>
  <c r="OC18" i="10" s="1"/>
  <c r="NV18" i="10"/>
  <c r="NW18" i="10" s="1"/>
  <c r="NO18" i="10"/>
  <c r="NP18" i="10" s="1"/>
  <c r="NH18" i="10"/>
  <c r="NI18" i="10" s="1"/>
  <c r="NB18" i="10"/>
  <c r="NC18" i="10" s="1"/>
  <c r="MU18" i="10"/>
  <c r="MV18" i="10" s="1"/>
  <c r="MN18" i="10"/>
  <c r="MO18" i="10" s="1"/>
  <c r="MH18" i="10"/>
  <c r="MI18" i="10" s="1"/>
  <c r="MA18" i="10"/>
  <c r="MB18" i="10" s="1"/>
  <c r="LT18" i="10"/>
  <c r="LU18" i="10" s="1"/>
  <c r="LN18" i="10"/>
  <c r="LO18" i="10" s="1"/>
  <c r="LG18" i="10"/>
  <c r="LH18" i="10" s="1"/>
  <c r="KZ18" i="10"/>
  <c r="LA18" i="10" s="1"/>
  <c r="KT18" i="10"/>
  <c r="KU18" i="10" s="1"/>
  <c r="KM18" i="10"/>
  <c r="KN18" i="10" s="1"/>
  <c r="KF18" i="10"/>
  <c r="KG18" i="10" s="1"/>
  <c r="JZ18" i="10"/>
  <c r="KA18" i="10" s="1"/>
  <c r="JS18" i="10"/>
  <c r="JT18" i="10" s="1"/>
  <c r="JL18" i="10"/>
  <c r="JM18" i="10" s="1"/>
  <c r="JF18" i="10"/>
  <c r="JG18" i="10" s="1"/>
  <c r="IY18" i="10"/>
  <c r="IZ18" i="10" s="1"/>
  <c r="IR18" i="10"/>
  <c r="IS18" i="10" s="1"/>
  <c r="IL18" i="10"/>
  <c r="IM18" i="10" s="1"/>
  <c r="IE18" i="10"/>
  <c r="IF18" i="10" s="1"/>
  <c r="HX18" i="10"/>
  <c r="HY18" i="10" s="1"/>
  <c r="HR18" i="10"/>
  <c r="HS18" i="10" s="1"/>
  <c r="HK18" i="10"/>
  <c r="HL18" i="10" s="1"/>
  <c r="HD18" i="10"/>
  <c r="HE18" i="10" s="1"/>
  <c r="GX18" i="10"/>
  <c r="GY18" i="10" s="1"/>
  <c r="GQ18" i="10"/>
  <c r="GR18" i="10" s="1"/>
  <c r="GJ18" i="10"/>
  <c r="GK18" i="10" s="1"/>
  <c r="GD18" i="10"/>
  <c r="GE18" i="10" s="1"/>
  <c r="FW18" i="10"/>
  <c r="FX18" i="10" s="1"/>
  <c r="FP18" i="10"/>
  <c r="FQ18" i="10" s="1"/>
  <c r="FJ18" i="10"/>
  <c r="FK18" i="10" s="1"/>
  <c r="FC18" i="10"/>
  <c r="FD18" i="10" s="1"/>
  <c r="EV18" i="10"/>
  <c r="EW18" i="10" s="1"/>
  <c r="EP18" i="10"/>
  <c r="EQ18" i="10" s="1"/>
  <c r="EI18" i="10"/>
  <c r="EJ18" i="10" s="1"/>
  <c r="EB18" i="10"/>
  <c r="EC18" i="10" s="1"/>
  <c r="DV18" i="10"/>
  <c r="DW18" i="10" s="1"/>
  <c r="DO18" i="10"/>
  <c r="DP18" i="10" s="1"/>
  <c r="DH18" i="10"/>
  <c r="DI18" i="10" s="1"/>
  <c r="DB18" i="10"/>
  <c r="DC18" i="10" s="1"/>
  <c r="CU18" i="10"/>
  <c r="CV18" i="10" s="1"/>
  <c r="CN18" i="10"/>
  <c r="CO18" i="10" s="1"/>
  <c r="CH18" i="10"/>
  <c r="CI18" i="10" s="1"/>
  <c r="CA18" i="10"/>
  <c r="CB18" i="10" s="1"/>
  <c r="BT18" i="10"/>
  <c r="BU18" i="10" s="1"/>
  <c r="BN18" i="10"/>
  <c r="BO18" i="10" s="1"/>
  <c r="BG18" i="10"/>
  <c r="BH18" i="10" s="1"/>
  <c r="AZ18" i="10"/>
  <c r="BA18" i="10" s="1"/>
  <c r="AT18" i="10"/>
  <c r="AU18" i="10" s="1"/>
  <c r="AM18" i="10"/>
  <c r="AN18" i="10" s="1"/>
  <c r="AF18" i="10"/>
  <c r="AG18" i="10" s="1"/>
  <c r="Z18" i="10"/>
  <c r="AA18" i="10" s="1"/>
  <c r="S18" i="10"/>
  <c r="T18" i="10" s="1"/>
  <c r="L18" i="10"/>
  <c r="M18" i="10" s="1"/>
  <c r="F18" i="10"/>
  <c r="G18" i="10" s="1"/>
  <c r="VR17" i="10"/>
  <c r="VS17" i="10" s="1"/>
  <c r="VM17" i="10"/>
  <c r="VN17" i="10" s="1"/>
  <c r="VH17" i="10"/>
  <c r="VI17" i="10" s="1"/>
  <c r="VA17" i="10"/>
  <c r="VB17" i="10" s="1"/>
  <c r="UV17" i="10"/>
  <c r="UQ17" i="10"/>
  <c r="UR17" i="10" s="1"/>
  <c r="UJ17" i="10"/>
  <c r="UK17" i="10" s="1"/>
  <c r="UE17" i="10"/>
  <c r="TZ17" i="10"/>
  <c r="UA17" i="10" s="1"/>
  <c r="TS17" i="10"/>
  <c r="TT17" i="10" s="1"/>
  <c r="TL17" i="10"/>
  <c r="TM17" i="10" s="1"/>
  <c r="TF17" i="10"/>
  <c r="TG17" i="10" s="1"/>
  <c r="SY17" i="10"/>
  <c r="SZ17" i="10" s="1"/>
  <c r="SR17" i="10"/>
  <c r="SS17" i="10" s="1"/>
  <c r="SL17" i="10"/>
  <c r="SM17" i="10" s="1"/>
  <c r="SE17" i="10"/>
  <c r="RX17" i="10"/>
  <c r="RY17" i="10" s="1"/>
  <c r="RR17" i="10"/>
  <c r="RS17" i="10" s="1"/>
  <c r="RK17" i="10"/>
  <c r="RL17" i="10" s="1"/>
  <c r="RD17" i="10"/>
  <c r="RE17" i="10" s="1"/>
  <c r="QX17" i="10"/>
  <c r="QY17" i="10" s="1"/>
  <c r="QQ17" i="10"/>
  <c r="QR17" i="10" s="1"/>
  <c r="QJ17" i="10"/>
  <c r="QK17" i="10" s="1"/>
  <c r="QD17" i="10"/>
  <c r="PW17" i="10"/>
  <c r="PX17" i="10" s="1"/>
  <c r="PP17" i="10"/>
  <c r="PJ17" i="10"/>
  <c r="PK17" i="10" s="1"/>
  <c r="PC17" i="10"/>
  <c r="OV17" i="10"/>
  <c r="OW17" i="10" s="1"/>
  <c r="OP17" i="10"/>
  <c r="OQ17" i="10" s="1"/>
  <c r="OI17" i="10"/>
  <c r="OJ17" i="10" s="1"/>
  <c r="OB17" i="10"/>
  <c r="OC17" i="10" s="1"/>
  <c r="NV17" i="10"/>
  <c r="NW17" i="10" s="1"/>
  <c r="NO17" i="10"/>
  <c r="NP17" i="10" s="1"/>
  <c r="NH17" i="10"/>
  <c r="NI17" i="10" s="1"/>
  <c r="NB17" i="10"/>
  <c r="NC17" i="10" s="1"/>
  <c r="MU17" i="10"/>
  <c r="MV17" i="10" s="1"/>
  <c r="MN17" i="10"/>
  <c r="MO17" i="10" s="1"/>
  <c r="MH17" i="10"/>
  <c r="MI17" i="10" s="1"/>
  <c r="MA17" i="10"/>
  <c r="LT17" i="10"/>
  <c r="LU17" i="10" s="1"/>
  <c r="LN17" i="10"/>
  <c r="LO17" i="10" s="1"/>
  <c r="LG17" i="10"/>
  <c r="LH17" i="10" s="1"/>
  <c r="KZ17" i="10"/>
  <c r="LA17" i="10" s="1"/>
  <c r="KT17" i="10"/>
  <c r="KU17" i="10" s="1"/>
  <c r="KM17" i="10"/>
  <c r="KN17" i="10" s="1"/>
  <c r="KF17" i="10"/>
  <c r="KG17" i="10" s="1"/>
  <c r="JZ17" i="10"/>
  <c r="KA17" i="10" s="1"/>
  <c r="JS17" i="10"/>
  <c r="JT17" i="10" s="1"/>
  <c r="JL17" i="10"/>
  <c r="JM17" i="10" s="1"/>
  <c r="JF17" i="10"/>
  <c r="JG17" i="10" s="1"/>
  <c r="IY17" i="10"/>
  <c r="IR17" i="10"/>
  <c r="IS17" i="10" s="1"/>
  <c r="IL17" i="10"/>
  <c r="IM17" i="10" s="1"/>
  <c r="IE17" i="10"/>
  <c r="IF17" i="10" s="1"/>
  <c r="HX17" i="10"/>
  <c r="HY17" i="10" s="1"/>
  <c r="HR17" i="10"/>
  <c r="HS17" i="10" s="1"/>
  <c r="HK17" i="10"/>
  <c r="HL17" i="10" s="1"/>
  <c r="HD17" i="10"/>
  <c r="HE17" i="10" s="1"/>
  <c r="GX17" i="10"/>
  <c r="GY17" i="10" s="1"/>
  <c r="GQ17" i="10"/>
  <c r="GR17" i="10" s="1"/>
  <c r="GJ17" i="10"/>
  <c r="GD17" i="10"/>
  <c r="GE17" i="10" s="1"/>
  <c r="FW17" i="10"/>
  <c r="FP17" i="10"/>
  <c r="FQ17" i="10" s="1"/>
  <c r="FJ17" i="10"/>
  <c r="FK17" i="10" s="1"/>
  <c r="FC17" i="10"/>
  <c r="FD17" i="10" s="1"/>
  <c r="EV17" i="10"/>
  <c r="EP17" i="10"/>
  <c r="EQ17" i="10" s="1"/>
  <c r="EI17" i="10"/>
  <c r="EJ17" i="10" s="1"/>
  <c r="EB17" i="10"/>
  <c r="EC17" i="10" s="1"/>
  <c r="DV17" i="10"/>
  <c r="DW17" i="10" s="1"/>
  <c r="DO17" i="10"/>
  <c r="DP17" i="10" s="1"/>
  <c r="DH17" i="10"/>
  <c r="DB17" i="10"/>
  <c r="DC17" i="10" s="1"/>
  <c r="CU17" i="10"/>
  <c r="CV17" i="10" s="1"/>
  <c r="CN17" i="10"/>
  <c r="CO17" i="10" s="1"/>
  <c r="CH17" i="10"/>
  <c r="CI17" i="10" s="1"/>
  <c r="CA17" i="10"/>
  <c r="CB17" i="10" s="1"/>
  <c r="BT17" i="10"/>
  <c r="BN17" i="10"/>
  <c r="BO17" i="10" s="1"/>
  <c r="BG17" i="10"/>
  <c r="BH17" i="10" s="1"/>
  <c r="AZ17" i="10"/>
  <c r="BA17" i="10" s="1"/>
  <c r="AT17" i="10"/>
  <c r="AU17" i="10" s="1"/>
  <c r="AM17" i="10"/>
  <c r="AN17" i="10" s="1"/>
  <c r="AF17" i="10"/>
  <c r="Z17" i="10"/>
  <c r="AA17" i="10" s="1"/>
  <c r="S17" i="10"/>
  <c r="L17" i="10"/>
  <c r="M17" i="10" s="1"/>
  <c r="F17" i="10"/>
  <c r="G17" i="10" s="1"/>
  <c r="VR15" i="10"/>
  <c r="VS15" i="10" s="1"/>
  <c r="VM15" i="10"/>
  <c r="VN15" i="10" s="1"/>
  <c r="VH15" i="10"/>
  <c r="VA15" i="10"/>
  <c r="VB15" i="10" s="1"/>
  <c r="UV15" i="10"/>
  <c r="UW15" i="10" s="1"/>
  <c r="UQ15" i="10"/>
  <c r="UR15" i="10" s="1"/>
  <c r="UJ15" i="10"/>
  <c r="UK15" i="10" s="1"/>
  <c r="UE15" i="10"/>
  <c r="UF15" i="10" s="1"/>
  <c r="TZ15" i="10"/>
  <c r="TS15" i="10"/>
  <c r="TT15" i="10" s="1"/>
  <c r="TL15" i="10"/>
  <c r="TM15" i="10" s="1"/>
  <c r="TF15" i="10"/>
  <c r="SY15" i="10"/>
  <c r="SZ15" i="10" s="1"/>
  <c r="SR15" i="10"/>
  <c r="SS15" i="10" s="1"/>
  <c r="SL15" i="10"/>
  <c r="SE15" i="10"/>
  <c r="SF15" i="10" s="1"/>
  <c r="RX15" i="10"/>
  <c r="RY15" i="10" s="1"/>
  <c r="RR15" i="10"/>
  <c r="RK15" i="10"/>
  <c r="RL15" i="10" s="1"/>
  <c r="RD15" i="10"/>
  <c r="RE15" i="10" s="1"/>
  <c r="QX15" i="10"/>
  <c r="QQ15" i="10"/>
  <c r="QR15" i="10" s="1"/>
  <c r="QJ15" i="10"/>
  <c r="QK15" i="10" s="1"/>
  <c r="QD15" i="10"/>
  <c r="PW15" i="10"/>
  <c r="PX15" i="10" s="1"/>
  <c r="PP15" i="10"/>
  <c r="PQ15" i="10" s="1"/>
  <c r="PJ15" i="10"/>
  <c r="PC15" i="10"/>
  <c r="OV15" i="10"/>
  <c r="OW15" i="10" s="1"/>
  <c r="OP15" i="10"/>
  <c r="OI15" i="10"/>
  <c r="OJ15" i="10" s="1"/>
  <c r="OB15" i="10"/>
  <c r="OC15" i="10" s="1"/>
  <c r="NV15" i="10"/>
  <c r="NO15" i="10"/>
  <c r="NP15" i="10" s="1"/>
  <c r="NH15" i="10"/>
  <c r="NI15" i="10" s="1"/>
  <c r="NB15" i="10"/>
  <c r="MU15" i="10"/>
  <c r="MV15" i="10" s="1"/>
  <c r="MN15" i="10"/>
  <c r="MO15" i="10" s="1"/>
  <c r="MH15" i="10"/>
  <c r="MA15" i="10"/>
  <c r="MB15" i="10" s="1"/>
  <c r="LT15" i="10"/>
  <c r="LU15" i="10" s="1"/>
  <c r="LN15" i="10"/>
  <c r="LG15" i="10"/>
  <c r="KZ15" i="10"/>
  <c r="LA15" i="10" s="1"/>
  <c r="KT15" i="10"/>
  <c r="KM15" i="10"/>
  <c r="KN15" i="10" s="1"/>
  <c r="KF15" i="10"/>
  <c r="KG15" i="10" s="1"/>
  <c r="JZ15" i="10"/>
  <c r="JS15" i="10"/>
  <c r="JT15" i="10" s="1"/>
  <c r="JL15" i="10"/>
  <c r="JM15" i="10" s="1"/>
  <c r="JF15" i="10"/>
  <c r="IY15" i="10"/>
  <c r="IZ15" i="10" s="1"/>
  <c r="IR15" i="10"/>
  <c r="IS15" i="10" s="1"/>
  <c r="IL15" i="10"/>
  <c r="IE15" i="10"/>
  <c r="IF15" i="10" s="1"/>
  <c r="HX15" i="10"/>
  <c r="HY15" i="10" s="1"/>
  <c r="HR15" i="10"/>
  <c r="HK15" i="10"/>
  <c r="HL15" i="10" s="1"/>
  <c r="HD15" i="10"/>
  <c r="HE15" i="10" s="1"/>
  <c r="GX15" i="10"/>
  <c r="GQ15" i="10"/>
  <c r="GR15" i="10" s="1"/>
  <c r="GJ15" i="10"/>
  <c r="GK15" i="10" s="1"/>
  <c r="GD15" i="10"/>
  <c r="FW15" i="10"/>
  <c r="FX15" i="10" s="1"/>
  <c r="FP15" i="10"/>
  <c r="FQ15" i="10" s="1"/>
  <c r="FJ15" i="10"/>
  <c r="FC15" i="10"/>
  <c r="FD15" i="10" s="1"/>
  <c r="EV15" i="10"/>
  <c r="EW15" i="10" s="1"/>
  <c r="EP15" i="10"/>
  <c r="EI15" i="10"/>
  <c r="EJ15" i="10" s="1"/>
  <c r="EB15" i="10"/>
  <c r="EC15" i="10" s="1"/>
  <c r="DV15" i="10"/>
  <c r="DO15" i="10"/>
  <c r="DP15" i="10" s="1"/>
  <c r="DH15" i="10"/>
  <c r="DI15" i="10" s="1"/>
  <c r="DB15" i="10"/>
  <c r="CU15" i="10"/>
  <c r="CV15" i="10" s="1"/>
  <c r="CN15" i="10"/>
  <c r="CO15" i="10" s="1"/>
  <c r="CH15" i="10"/>
  <c r="CA15" i="10"/>
  <c r="CB15" i="10" s="1"/>
  <c r="BT15" i="10"/>
  <c r="BU15" i="10" s="1"/>
  <c r="BN15" i="10"/>
  <c r="BG15" i="10"/>
  <c r="BH15" i="10" s="1"/>
  <c r="AZ15" i="10"/>
  <c r="BA15" i="10" s="1"/>
  <c r="AT15" i="10"/>
  <c r="AM15" i="10"/>
  <c r="AN15" i="10" s="1"/>
  <c r="AF15" i="10"/>
  <c r="AG15" i="10" s="1"/>
  <c r="Z15" i="10"/>
  <c r="S15" i="10"/>
  <c r="T15" i="10" s="1"/>
  <c r="L15" i="10"/>
  <c r="M15" i="10" s="1"/>
  <c r="F15" i="10"/>
  <c r="G15" i="10" s="1"/>
  <c r="VR14" i="10"/>
  <c r="VM14" i="10"/>
  <c r="VH14" i="10"/>
  <c r="VI14" i="10" s="1"/>
  <c r="VA14" i="10"/>
  <c r="VB14" i="10" s="1"/>
  <c r="UV14" i="10"/>
  <c r="UQ14" i="10"/>
  <c r="UJ14" i="10"/>
  <c r="UK14" i="10" s="1"/>
  <c r="UE14" i="10"/>
  <c r="UF14" i="10" s="1"/>
  <c r="TZ14" i="10"/>
  <c r="TS14" i="10"/>
  <c r="TL14" i="10"/>
  <c r="TM14" i="10" s="1"/>
  <c r="TF14" i="10"/>
  <c r="TG14" i="10" s="1"/>
  <c r="SY14" i="10"/>
  <c r="SR14" i="10"/>
  <c r="SL14" i="10"/>
  <c r="SM14" i="10" s="1"/>
  <c r="SE14" i="10"/>
  <c r="SF14" i="10" s="1"/>
  <c r="RX14" i="10"/>
  <c r="RR14" i="10"/>
  <c r="RK14" i="10"/>
  <c r="RL14" i="10" s="1"/>
  <c r="RD14" i="10"/>
  <c r="RE14" i="10" s="1"/>
  <c r="QX14" i="10"/>
  <c r="QY14" i="10" s="1"/>
  <c r="QQ14" i="10"/>
  <c r="QJ14" i="10"/>
  <c r="QK14" i="10" s="1"/>
  <c r="QD14" i="10"/>
  <c r="QE14" i="10" s="1"/>
  <c r="PW14" i="10"/>
  <c r="PX14" i="10" s="1"/>
  <c r="PP14" i="10"/>
  <c r="PJ14" i="10"/>
  <c r="PK14" i="10" s="1"/>
  <c r="PC14" i="10"/>
  <c r="PD14" i="10" s="1"/>
  <c r="OV14" i="10"/>
  <c r="OW14" i="10" s="1"/>
  <c r="OP14" i="10"/>
  <c r="OQ14" i="10" s="1"/>
  <c r="OI14" i="10"/>
  <c r="OJ14" i="10" s="1"/>
  <c r="OB14" i="10"/>
  <c r="OC14" i="10" s="1"/>
  <c r="NV14" i="10"/>
  <c r="NW14" i="10" s="1"/>
  <c r="NO14" i="10"/>
  <c r="NH14" i="10"/>
  <c r="NI14" i="10" s="1"/>
  <c r="NB14" i="10"/>
  <c r="NC14" i="10" s="1"/>
  <c r="MU14" i="10"/>
  <c r="MN14" i="10"/>
  <c r="MH14" i="10"/>
  <c r="MI14" i="10" s="1"/>
  <c r="MA14" i="10"/>
  <c r="MB14" i="10" s="1"/>
  <c r="LT14" i="10"/>
  <c r="LN14" i="10"/>
  <c r="LO14" i="10" s="1"/>
  <c r="LG14" i="10"/>
  <c r="LH14" i="10" s="1"/>
  <c r="KZ14" i="10"/>
  <c r="LA14" i="10" s="1"/>
  <c r="KT14" i="10"/>
  <c r="KU14" i="10" s="1"/>
  <c r="KM14" i="10"/>
  <c r="KN14" i="10" s="1"/>
  <c r="KF14" i="10"/>
  <c r="KG14" i="10" s="1"/>
  <c r="JZ14" i="10"/>
  <c r="KA14" i="10" s="1"/>
  <c r="JS14" i="10"/>
  <c r="JT14" i="10" s="1"/>
  <c r="JL14" i="10"/>
  <c r="JM14" i="10" s="1"/>
  <c r="JF14" i="10"/>
  <c r="JG14" i="10" s="1"/>
  <c r="IY14" i="10"/>
  <c r="IZ14" i="10" s="1"/>
  <c r="IR14" i="10"/>
  <c r="IL14" i="10"/>
  <c r="IM14" i="10" s="1"/>
  <c r="IE14" i="10"/>
  <c r="IF14" i="10" s="1"/>
  <c r="HX14" i="10"/>
  <c r="HY14" i="10" s="1"/>
  <c r="HR14" i="10"/>
  <c r="HK14" i="10"/>
  <c r="HL14" i="10" s="1"/>
  <c r="HD14" i="10"/>
  <c r="HE14" i="10" s="1"/>
  <c r="GX14" i="10"/>
  <c r="GY14" i="10" s="1"/>
  <c r="GQ14" i="10"/>
  <c r="GJ14" i="10"/>
  <c r="GK14" i="10" s="1"/>
  <c r="GD14" i="10"/>
  <c r="GE14" i="10" s="1"/>
  <c r="FW14" i="10"/>
  <c r="FX14" i="10" s="1"/>
  <c r="FP14" i="10"/>
  <c r="FJ14" i="10"/>
  <c r="FK14" i="10" s="1"/>
  <c r="FC14" i="10"/>
  <c r="FD14" i="10" s="1"/>
  <c r="EV14" i="10"/>
  <c r="EW14" i="10" s="1"/>
  <c r="EP14" i="10"/>
  <c r="EQ14" i="10" s="1"/>
  <c r="EI14" i="10"/>
  <c r="EB14" i="10"/>
  <c r="EC14" i="10" s="1"/>
  <c r="DV14" i="10"/>
  <c r="DW14" i="10" s="1"/>
  <c r="DO14" i="10"/>
  <c r="DP14" i="10" s="1"/>
  <c r="DH14" i="10"/>
  <c r="DI14" i="10" s="1"/>
  <c r="DB14" i="10"/>
  <c r="DC14" i="10" s="1"/>
  <c r="CU14" i="10"/>
  <c r="CV14" i="10" s="1"/>
  <c r="CN14" i="10"/>
  <c r="CH14" i="10"/>
  <c r="CI14" i="10" s="1"/>
  <c r="CA14" i="10"/>
  <c r="CB14" i="10" s="1"/>
  <c r="BT14" i="10"/>
  <c r="BU14" i="10" s="1"/>
  <c r="BN14" i="10"/>
  <c r="BG14" i="10"/>
  <c r="AZ14" i="10"/>
  <c r="BA14" i="10" s="1"/>
  <c r="AT14" i="10"/>
  <c r="AU14" i="10" s="1"/>
  <c r="AM14" i="10"/>
  <c r="AN14" i="10" s="1"/>
  <c r="AF14" i="10"/>
  <c r="Z14" i="10"/>
  <c r="AA14" i="10" s="1"/>
  <c r="S14" i="10"/>
  <c r="T14" i="10" s="1"/>
  <c r="L14" i="10"/>
  <c r="M14" i="10" s="1"/>
  <c r="F14" i="10"/>
  <c r="VR12" i="10"/>
  <c r="VS12" i="10" s="1"/>
  <c r="VM12" i="10"/>
  <c r="VN12" i="10" s="1"/>
  <c r="VH12" i="10"/>
  <c r="VI12" i="10" s="1"/>
  <c r="VA12" i="10"/>
  <c r="VB12" i="10" s="1"/>
  <c r="UV12" i="10"/>
  <c r="UW12" i="10" s="1"/>
  <c r="UQ12" i="10"/>
  <c r="UR12" i="10" s="1"/>
  <c r="UJ12" i="10"/>
  <c r="UK12" i="10" s="1"/>
  <c r="UE12" i="10"/>
  <c r="UF12" i="10" s="1"/>
  <c r="TZ12" i="10"/>
  <c r="UA12" i="10" s="1"/>
  <c r="TS12" i="10"/>
  <c r="TT12" i="10" s="1"/>
  <c r="TL12" i="10"/>
  <c r="TM12" i="10" s="1"/>
  <c r="TF12" i="10"/>
  <c r="TG12" i="10" s="1"/>
  <c r="SY12" i="10"/>
  <c r="SZ12" i="10" s="1"/>
  <c r="SR12" i="10"/>
  <c r="SS12" i="10" s="1"/>
  <c r="SL12" i="10"/>
  <c r="SM12" i="10" s="1"/>
  <c r="SE12" i="10"/>
  <c r="SF12" i="10" s="1"/>
  <c r="RX12" i="10"/>
  <c r="RY12" i="10" s="1"/>
  <c r="RR12" i="10"/>
  <c r="RS12" i="10" s="1"/>
  <c r="RK12" i="10"/>
  <c r="RL12" i="10" s="1"/>
  <c r="RD12" i="10"/>
  <c r="RE12" i="10" s="1"/>
  <c r="QX12" i="10"/>
  <c r="QY12" i="10" s="1"/>
  <c r="QQ12" i="10"/>
  <c r="QR12" i="10" s="1"/>
  <c r="QJ12" i="10"/>
  <c r="QK12" i="10" s="1"/>
  <c r="QD12" i="10"/>
  <c r="QE12" i="10" s="1"/>
  <c r="PW12" i="10"/>
  <c r="PX12" i="10" s="1"/>
  <c r="PP12" i="10"/>
  <c r="PQ12" i="10" s="1"/>
  <c r="PJ12" i="10"/>
  <c r="PC12" i="10"/>
  <c r="PD12" i="10" s="1"/>
  <c r="OV12" i="10"/>
  <c r="OW12" i="10" s="1"/>
  <c r="OP12" i="10"/>
  <c r="OQ12" i="10" s="1"/>
  <c r="OI12" i="10"/>
  <c r="OJ12" i="10" s="1"/>
  <c r="OB12" i="10"/>
  <c r="OC12" i="10" s="1"/>
  <c r="NV12" i="10"/>
  <c r="NW12" i="10" s="1"/>
  <c r="NO12" i="10"/>
  <c r="NH12" i="10"/>
  <c r="NI12" i="10" s="1"/>
  <c r="NB12" i="10"/>
  <c r="NC12" i="10" s="1"/>
  <c r="MU12" i="10"/>
  <c r="MV12" i="10" s="1"/>
  <c r="MN12" i="10"/>
  <c r="MO12" i="10" s="1"/>
  <c r="MH12" i="10"/>
  <c r="MI12" i="10" s="1"/>
  <c r="MA12" i="10"/>
  <c r="MB12" i="10" s="1"/>
  <c r="LT12" i="10"/>
  <c r="LU12" i="10" s="1"/>
  <c r="LN12" i="10"/>
  <c r="LO12" i="10" s="1"/>
  <c r="LG12" i="10"/>
  <c r="KZ12" i="10"/>
  <c r="LA12" i="10" s="1"/>
  <c r="KT12" i="10"/>
  <c r="KU12" i="10" s="1"/>
  <c r="KM12" i="10"/>
  <c r="KN12" i="10" s="1"/>
  <c r="KF12" i="10"/>
  <c r="KG12" i="10" s="1"/>
  <c r="JZ12" i="10"/>
  <c r="JS12" i="10"/>
  <c r="JT12" i="10" s="1"/>
  <c r="JL12" i="10"/>
  <c r="JM12" i="10" s="1"/>
  <c r="JF12" i="10"/>
  <c r="JG12" i="10" s="1"/>
  <c r="IY12" i="10"/>
  <c r="IZ12" i="10" s="1"/>
  <c r="IR12" i="10"/>
  <c r="IS12" i="10" s="1"/>
  <c r="IL12" i="10"/>
  <c r="IM12" i="10" s="1"/>
  <c r="IE12" i="10"/>
  <c r="IF12" i="10" s="1"/>
  <c r="HX12" i="10"/>
  <c r="HY12" i="10" s="1"/>
  <c r="HR12" i="10"/>
  <c r="HS12" i="10" s="1"/>
  <c r="HK12" i="10"/>
  <c r="HD12" i="10"/>
  <c r="HE12" i="10" s="1"/>
  <c r="GX12" i="10"/>
  <c r="GY12" i="10" s="1"/>
  <c r="GQ12" i="10"/>
  <c r="GR12" i="10" s="1"/>
  <c r="GJ12" i="10"/>
  <c r="GK12" i="10" s="1"/>
  <c r="GD12" i="10"/>
  <c r="GE12" i="10" s="1"/>
  <c r="FW12" i="10"/>
  <c r="FX12" i="10" s="1"/>
  <c r="FP12" i="10"/>
  <c r="FQ12" i="10" s="1"/>
  <c r="FJ12" i="10"/>
  <c r="FK12" i="10" s="1"/>
  <c r="FC12" i="10"/>
  <c r="FD12" i="10" s="1"/>
  <c r="EV12" i="10"/>
  <c r="EW12" i="10" s="1"/>
  <c r="EP12" i="10"/>
  <c r="EQ12" i="10" s="1"/>
  <c r="EI12" i="10"/>
  <c r="EJ12" i="10" s="1"/>
  <c r="EB12" i="10"/>
  <c r="EC12" i="10" s="1"/>
  <c r="DV12" i="10"/>
  <c r="DW12" i="10" s="1"/>
  <c r="DO12" i="10"/>
  <c r="DP12" i="10" s="1"/>
  <c r="DH12" i="10"/>
  <c r="DI12" i="10" s="1"/>
  <c r="DB12" i="10"/>
  <c r="DC12" i="10" s="1"/>
  <c r="CU12" i="10"/>
  <c r="CV12" i="10" s="1"/>
  <c r="CN12" i="10"/>
  <c r="CO12" i="10" s="1"/>
  <c r="CH12" i="10"/>
  <c r="CI12" i="10" s="1"/>
  <c r="CA12" i="10"/>
  <c r="CB12" i="10" s="1"/>
  <c r="BT12" i="10"/>
  <c r="BU12" i="10" s="1"/>
  <c r="BN12" i="10"/>
  <c r="BO12" i="10" s="1"/>
  <c r="BG12" i="10"/>
  <c r="BH12" i="10" s="1"/>
  <c r="AZ12" i="10"/>
  <c r="BA12" i="10" s="1"/>
  <c r="AT12" i="10"/>
  <c r="AU12" i="10" s="1"/>
  <c r="AM12" i="10"/>
  <c r="AN12" i="10" s="1"/>
  <c r="AF12" i="10"/>
  <c r="AG12" i="10" s="1"/>
  <c r="Z12" i="10"/>
  <c r="AA12" i="10" s="1"/>
  <c r="S12" i="10"/>
  <c r="T12" i="10" s="1"/>
  <c r="L12" i="10"/>
  <c r="M12" i="10" s="1"/>
  <c r="F12" i="10"/>
  <c r="G12" i="10" s="1"/>
  <c r="VR11" i="10"/>
  <c r="VS11" i="10" s="1"/>
  <c r="VM11" i="10"/>
  <c r="VN11" i="10" s="1"/>
  <c r="VH11" i="10"/>
  <c r="VI11" i="10" s="1"/>
  <c r="VA11" i="10"/>
  <c r="VB11" i="10" s="1"/>
  <c r="UV11" i="10"/>
  <c r="UQ11" i="10"/>
  <c r="UR11" i="10" s="1"/>
  <c r="UJ11" i="10"/>
  <c r="UK11" i="10" s="1"/>
  <c r="UE11" i="10"/>
  <c r="UF11" i="10" s="1"/>
  <c r="TZ11" i="10"/>
  <c r="TS11" i="10"/>
  <c r="TT11" i="10" s="1"/>
  <c r="TL11" i="10"/>
  <c r="TM11" i="10" s="1"/>
  <c r="TF11" i="10"/>
  <c r="TG11" i="10" s="1"/>
  <c r="SY11" i="10"/>
  <c r="SR11" i="10"/>
  <c r="SS11" i="10" s="1"/>
  <c r="SL11" i="10"/>
  <c r="SM11" i="10" s="1"/>
  <c r="SE11" i="10"/>
  <c r="SF11" i="10" s="1"/>
  <c r="RX11" i="10"/>
  <c r="RY11" i="10" s="1"/>
  <c r="RR11" i="10"/>
  <c r="RS11" i="10" s="1"/>
  <c r="RK11" i="10"/>
  <c r="RL11" i="10" s="1"/>
  <c r="RD11" i="10"/>
  <c r="RE11" i="10" s="1"/>
  <c r="QX11" i="10"/>
  <c r="QY11" i="10" s="1"/>
  <c r="QQ11" i="10"/>
  <c r="QR11" i="10" s="1"/>
  <c r="QJ11" i="10"/>
  <c r="QK11" i="10" s="1"/>
  <c r="QD11" i="10"/>
  <c r="QE11" i="10" s="1"/>
  <c r="PW11" i="10"/>
  <c r="PP11" i="10"/>
  <c r="PJ11" i="10"/>
  <c r="PK11" i="10" s="1"/>
  <c r="PC11" i="10"/>
  <c r="PD11" i="10" s="1"/>
  <c r="OV11" i="10"/>
  <c r="OW11" i="10" s="1"/>
  <c r="OP11" i="10"/>
  <c r="OQ11" i="10" s="1"/>
  <c r="OI11" i="10"/>
  <c r="OJ11" i="10" s="1"/>
  <c r="OB11" i="10"/>
  <c r="NV11" i="10"/>
  <c r="NW11" i="10" s="1"/>
  <c r="NO11" i="10"/>
  <c r="NP11" i="10" s="1"/>
  <c r="NH11" i="10"/>
  <c r="NI11" i="10" s="1"/>
  <c r="NB11" i="10"/>
  <c r="NC11" i="10" s="1"/>
  <c r="MU11" i="10"/>
  <c r="MV11" i="10" s="1"/>
  <c r="MN11" i="10"/>
  <c r="MO11" i="10" s="1"/>
  <c r="MH11" i="10"/>
  <c r="MI11" i="10" s="1"/>
  <c r="MA11" i="10"/>
  <c r="LT11" i="10"/>
  <c r="LU11" i="10" s="1"/>
  <c r="LN11" i="10"/>
  <c r="LO11" i="10" s="1"/>
  <c r="LG11" i="10"/>
  <c r="LH11" i="10" s="1"/>
  <c r="KZ11" i="10"/>
  <c r="LA11" i="10" s="1"/>
  <c r="KT11" i="10"/>
  <c r="KU11" i="10" s="1"/>
  <c r="KM11" i="10"/>
  <c r="KN11" i="10" s="1"/>
  <c r="KF11" i="10"/>
  <c r="KG11" i="10" s="1"/>
  <c r="JZ11" i="10"/>
  <c r="KA11" i="10" s="1"/>
  <c r="JS11" i="10"/>
  <c r="JT11" i="10" s="1"/>
  <c r="JL11" i="10"/>
  <c r="JM11" i="10" s="1"/>
  <c r="JF11" i="10"/>
  <c r="JG11" i="10" s="1"/>
  <c r="IY11" i="10"/>
  <c r="IR11" i="10"/>
  <c r="IL11" i="10"/>
  <c r="IM11" i="10" s="1"/>
  <c r="IE11" i="10"/>
  <c r="IF11" i="10" s="1"/>
  <c r="HX11" i="10"/>
  <c r="HY11" i="10" s="1"/>
  <c r="HR11" i="10"/>
  <c r="HK11" i="10"/>
  <c r="HL11" i="10" s="1"/>
  <c r="HD11" i="10"/>
  <c r="HE11" i="10" s="1"/>
  <c r="GX11" i="10"/>
  <c r="GY11" i="10" s="1"/>
  <c r="GQ11" i="10"/>
  <c r="GR11" i="10" s="1"/>
  <c r="GJ11" i="10"/>
  <c r="GK11" i="10" s="1"/>
  <c r="GD11" i="10"/>
  <c r="GE11" i="10" s="1"/>
  <c r="FW11" i="10"/>
  <c r="FP11" i="10"/>
  <c r="FQ11" i="10" s="1"/>
  <c r="FJ11" i="10"/>
  <c r="FK11" i="10" s="1"/>
  <c r="FC11" i="10"/>
  <c r="FD11" i="10" s="1"/>
  <c r="EV11" i="10"/>
  <c r="EW11" i="10" s="1"/>
  <c r="EP11" i="10"/>
  <c r="EQ11" i="10" s="1"/>
  <c r="EI11" i="10"/>
  <c r="EJ11" i="10" s="1"/>
  <c r="EB11" i="10"/>
  <c r="DV11" i="10"/>
  <c r="DO11" i="10"/>
  <c r="DP11" i="10" s="1"/>
  <c r="DH11" i="10"/>
  <c r="DI11" i="10" s="1"/>
  <c r="DB11" i="10"/>
  <c r="DC11" i="10" s="1"/>
  <c r="CU11" i="10"/>
  <c r="CV11" i="10" s="1"/>
  <c r="CN11" i="10"/>
  <c r="CO11" i="10" s="1"/>
  <c r="CH11" i="10"/>
  <c r="CI11" i="10" s="1"/>
  <c r="CA11" i="10"/>
  <c r="BT11" i="10"/>
  <c r="BU11" i="10" s="1"/>
  <c r="BN11" i="10"/>
  <c r="BO11" i="10" s="1"/>
  <c r="BG11" i="10"/>
  <c r="BH11" i="10" s="1"/>
  <c r="AZ11" i="10"/>
  <c r="BA11" i="10" s="1"/>
  <c r="AT11" i="10"/>
  <c r="AU11" i="10" s="1"/>
  <c r="AM11" i="10"/>
  <c r="AN11" i="10" s="1"/>
  <c r="AF11" i="10"/>
  <c r="AG11" i="10" s="1"/>
  <c r="Z11" i="10"/>
  <c r="AA11" i="10" s="1"/>
  <c r="S11" i="10"/>
  <c r="T11" i="10" s="1"/>
  <c r="L11" i="10"/>
  <c r="M11" i="10" s="1"/>
  <c r="F11" i="10"/>
  <c r="G11" i="10" s="1"/>
  <c r="VR9" i="10"/>
  <c r="VS9" i="10" s="1"/>
  <c r="VM9" i="10"/>
  <c r="VN9" i="10" s="1"/>
  <c r="VH9" i="10"/>
  <c r="VI9" i="10" s="1"/>
  <c r="VA9" i="10"/>
  <c r="VB9" i="10" s="1"/>
  <c r="UV9" i="10"/>
  <c r="UW9" i="10" s="1"/>
  <c r="UQ9" i="10"/>
  <c r="UR9" i="10" s="1"/>
  <c r="UJ9" i="10"/>
  <c r="UK9" i="10" s="1"/>
  <c r="UE9" i="10"/>
  <c r="UF9" i="10" s="1"/>
  <c r="TZ9" i="10"/>
  <c r="UA9" i="10" s="1"/>
  <c r="TS9" i="10"/>
  <c r="TT9" i="10" s="1"/>
  <c r="TL9" i="10"/>
  <c r="TM9" i="10" s="1"/>
  <c r="TF9" i="10"/>
  <c r="TG9" i="10" s="1"/>
  <c r="SY9" i="10"/>
  <c r="SZ9" i="10" s="1"/>
  <c r="SR9" i="10"/>
  <c r="SS9" i="10" s="1"/>
  <c r="SL9" i="10"/>
  <c r="SM9" i="10" s="1"/>
  <c r="SE9" i="10"/>
  <c r="SF9" i="10" s="1"/>
  <c r="RX9" i="10"/>
  <c r="RY9" i="10" s="1"/>
  <c r="RR9" i="10"/>
  <c r="RS9" i="10" s="1"/>
  <c r="RK9" i="10"/>
  <c r="RL9" i="10" s="1"/>
  <c r="RD9" i="10"/>
  <c r="RE9" i="10" s="1"/>
  <c r="QX9" i="10"/>
  <c r="QY9" i="10" s="1"/>
  <c r="QQ9" i="10"/>
  <c r="QR9" i="10" s="1"/>
  <c r="QJ9" i="10"/>
  <c r="QK9" i="10" s="1"/>
  <c r="QD9" i="10"/>
  <c r="QE9" i="10" s="1"/>
  <c r="PW9" i="10"/>
  <c r="PX9" i="10" s="1"/>
  <c r="PP9" i="10"/>
  <c r="PQ9" i="10" s="1"/>
  <c r="PJ9" i="10"/>
  <c r="PK9" i="10" s="1"/>
  <c r="PC9" i="10"/>
  <c r="PD9" i="10" s="1"/>
  <c r="OV9" i="10"/>
  <c r="OW9" i="10" s="1"/>
  <c r="OP9" i="10"/>
  <c r="OQ9" i="10" s="1"/>
  <c r="OI9" i="10"/>
  <c r="OJ9" i="10" s="1"/>
  <c r="OB9" i="10"/>
  <c r="OC9" i="10" s="1"/>
  <c r="NV9" i="10"/>
  <c r="NW9" i="10" s="1"/>
  <c r="NO9" i="10"/>
  <c r="NP9" i="10" s="1"/>
  <c r="NH9" i="10"/>
  <c r="NI9" i="10" s="1"/>
  <c r="NB9" i="10"/>
  <c r="NC9" i="10" s="1"/>
  <c r="MU9" i="10"/>
  <c r="MV9" i="10" s="1"/>
  <c r="MN9" i="10"/>
  <c r="MO9" i="10" s="1"/>
  <c r="MH9" i="10"/>
  <c r="MI9" i="10" s="1"/>
  <c r="MA9" i="10"/>
  <c r="MB9" i="10" s="1"/>
  <c r="LT9" i="10"/>
  <c r="LU9" i="10" s="1"/>
  <c r="LN9" i="10"/>
  <c r="LO9" i="10" s="1"/>
  <c r="LG9" i="10"/>
  <c r="LH9" i="10" s="1"/>
  <c r="KZ9" i="10"/>
  <c r="LA9" i="10" s="1"/>
  <c r="KT9" i="10"/>
  <c r="KU9" i="10" s="1"/>
  <c r="KM9" i="10"/>
  <c r="KN9" i="10" s="1"/>
  <c r="KF9" i="10"/>
  <c r="KG9" i="10" s="1"/>
  <c r="JZ9" i="10"/>
  <c r="KA9" i="10" s="1"/>
  <c r="JS9" i="10"/>
  <c r="JT9" i="10" s="1"/>
  <c r="JL9" i="10"/>
  <c r="JM9" i="10" s="1"/>
  <c r="JF9" i="10"/>
  <c r="JG9" i="10" s="1"/>
  <c r="IY9" i="10"/>
  <c r="IZ9" i="10" s="1"/>
  <c r="IR9" i="10"/>
  <c r="IS9" i="10" s="1"/>
  <c r="IL9" i="10"/>
  <c r="IM9" i="10" s="1"/>
  <c r="IE9" i="10"/>
  <c r="IF9" i="10" s="1"/>
  <c r="HX9" i="10"/>
  <c r="HY9" i="10" s="1"/>
  <c r="HR9" i="10"/>
  <c r="HS9" i="10" s="1"/>
  <c r="HK9" i="10"/>
  <c r="HL9" i="10" s="1"/>
  <c r="HD9" i="10"/>
  <c r="HE9" i="10" s="1"/>
  <c r="GX9" i="10"/>
  <c r="GY9" i="10" s="1"/>
  <c r="GQ9" i="10"/>
  <c r="GR9" i="10" s="1"/>
  <c r="GJ9" i="10"/>
  <c r="GK9" i="10" s="1"/>
  <c r="GD9" i="10"/>
  <c r="GE9" i="10" s="1"/>
  <c r="FW9" i="10"/>
  <c r="FX9" i="10" s="1"/>
  <c r="FP9" i="10"/>
  <c r="FQ9" i="10" s="1"/>
  <c r="FJ9" i="10"/>
  <c r="FK9" i="10" s="1"/>
  <c r="FC9" i="10"/>
  <c r="FD9" i="10" s="1"/>
  <c r="EV9" i="10"/>
  <c r="EW9" i="10" s="1"/>
  <c r="EP9" i="10"/>
  <c r="EQ9" i="10" s="1"/>
  <c r="EI9" i="10"/>
  <c r="EJ9" i="10" s="1"/>
  <c r="EB9" i="10"/>
  <c r="EC9" i="10" s="1"/>
  <c r="DV9" i="10"/>
  <c r="DW9" i="10" s="1"/>
  <c r="DO9" i="10"/>
  <c r="DP9" i="10" s="1"/>
  <c r="DH9" i="10"/>
  <c r="DI9" i="10" s="1"/>
  <c r="DB9" i="10"/>
  <c r="DC9" i="10" s="1"/>
  <c r="CU9" i="10"/>
  <c r="CV9" i="10" s="1"/>
  <c r="CN9" i="10"/>
  <c r="CO9" i="10" s="1"/>
  <c r="CH9" i="10"/>
  <c r="CI9" i="10" s="1"/>
  <c r="CA9" i="10"/>
  <c r="CB9" i="10" s="1"/>
  <c r="BT9" i="10"/>
  <c r="BU9" i="10" s="1"/>
  <c r="BN9" i="10"/>
  <c r="BO9" i="10" s="1"/>
  <c r="BG9" i="10"/>
  <c r="BH9" i="10" s="1"/>
  <c r="AZ9" i="10"/>
  <c r="BA9" i="10" s="1"/>
  <c r="AT9" i="10"/>
  <c r="AU9" i="10" s="1"/>
  <c r="AM9" i="10"/>
  <c r="AN9" i="10" s="1"/>
  <c r="AF9" i="10"/>
  <c r="AG9" i="10" s="1"/>
  <c r="Z9" i="10"/>
  <c r="AA9" i="10" s="1"/>
  <c r="S9" i="10"/>
  <c r="T9" i="10" s="1"/>
  <c r="L9" i="10"/>
  <c r="M9" i="10" s="1"/>
  <c r="F9" i="10"/>
  <c r="G9" i="10" s="1"/>
  <c r="VR8" i="10"/>
  <c r="VS8" i="10" s="1"/>
  <c r="VM8" i="10"/>
  <c r="VN8" i="10" s="1"/>
  <c r="VH8" i="10"/>
  <c r="VI8" i="10" s="1"/>
  <c r="VA8" i="10"/>
  <c r="VB8" i="10" s="1"/>
  <c r="UV8" i="10"/>
  <c r="UW8" i="10" s="1"/>
  <c r="UQ8" i="10"/>
  <c r="UR8" i="10" s="1"/>
  <c r="UJ8" i="10"/>
  <c r="UK8" i="10" s="1"/>
  <c r="UE8" i="10"/>
  <c r="UF8" i="10" s="1"/>
  <c r="TZ8" i="10"/>
  <c r="UA8" i="10" s="1"/>
  <c r="TS8" i="10"/>
  <c r="TT8" i="10" s="1"/>
  <c r="TL8" i="10"/>
  <c r="TM8" i="10" s="1"/>
  <c r="TF8" i="10"/>
  <c r="TG8" i="10" s="1"/>
  <c r="SY8" i="10"/>
  <c r="SZ8" i="10" s="1"/>
  <c r="SR8" i="10"/>
  <c r="SS8" i="10" s="1"/>
  <c r="SL8" i="10"/>
  <c r="SM8" i="10" s="1"/>
  <c r="SE8" i="10"/>
  <c r="SF8" i="10" s="1"/>
  <c r="RX8" i="10"/>
  <c r="RY8" i="10" s="1"/>
  <c r="RR8" i="10"/>
  <c r="RS8" i="10" s="1"/>
  <c r="RK8" i="10"/>
  <c r="RL8" i="10" s="1"/>
  <c r="RD8" i="10"/>
  <c r="RE8" i="10" s="1"/>
  <c r="QX8" i="10"/>
  <c r="QY8" i="10" s="1"/>
  <c r="QQ8" i="10"/>
  <c r="QR8" i="10" s="1"/>
  <c r="QJ8" i="10"/>
  <c r="QK8" i="10" s="1"/>
  <c r="QD8" i="10"/>
  <c r="QE8" i="10" s="1"/>
  <c r="PW8" i="10"/>
  <c r="PX8" i="10" s="1"/>
  <c r="PP8" i="10"/>
  <c r="PQ8" i="10" s="1"/>
  <c r="PJ8" i="10"/>
  <c r="PK8" i="10" s="1"/>
  <c r="PC8" i="10"/>
  <c r="PD8" i="10" s="1"/>
  <c r="OV8" i="10"/>
  <c r="OP8" i="10"/>
  <c r="OQ8" i="10" s="1"/>
  <c r="OI8" i="10"/>
  <c r="OJ8" i="10" s="1"/>
  <c r="OB8" i="10"/>
  <c r="OC8" i="10" s="1"/>
  <c r="NV8" i="10"/>
  <c r="NW8" i="10" s="1"/>
  <c r="NO8" i="10"/>
  <c r="NP8" i="10" s="1"/>
  <c r="NH8" i="10"/>
  <c r="NI8" i="10" s="1"/>
  <c r="NB8" i="10"/>
  <c r="NC8" i="10" s="1"/>
  <c r="MU8" i="10"/>
  <c r="MV8" i="10" s="1"/>
  <c r="MN8" i="10"/>
  <c r="MO8" i="10" s="1"/>
  <c r="MH8" i="10"/>
  <c r="MI8" i="10" s="1"/>
  <c r="MA8" i="10"/>
  <c r="MB8" i="10" s="1"/>
  <c r="LT8" i="10"/>
  <c r="LU8" i="10" s="1"/>
  <c r="LN8" i="10"/>
  <c r="LO8" i="10" s="1"/>
  <c r="LG8" i="10"/>
  <c r="LH8" i="10" s="1"/>
  <c r="KZ8" i="10"/>
  <c r="LA8" i="10" s="1"/>
  <c r="KT8" i="10"/>
  <c r="KU8" i="10" s="1"/>
  <c r="KM8" i="10"/>
  <c r="KN8" i="10" s="1"/>
  <c r="KF8" i="10"/>
  <c r="KG8" i="10" s="1"/>
  <c r="JZ8" i="10"/>
  <c r="KA8" i="10" s="1"/>
  <c r="JS8" i="10"/>
  <c r="JT8" i="10" s="1"/>
  <c r="JL8" i="10"/>
  <c r="JM8" i="10" s="1"/>
  <c r="JF8" i="10"/>
  <c r="JG8" i="10" s="1"/>
  <c r="IY8" i="10"/>
  <c r="IZ8" i="10" s="1"/>
  <c r="IR8" i="10"/>
  <c r="IS8" i="10" s="1"/>
  <c r="IL8" i="10"/>
  <c r="IM8" i="10" s="1"/>
  <c r="IE8" i="10"/>
  <c r="IF8" i="10" s="1"/>
  <c r="HX8" i="10"/>
  <c r="HY8" i="10" s="1"/>
  <c r="HR8" i="10"/>
  <c r="HS8" i="10" s="1"/>
  <c r="HK8" i="10"/>
  <c r="HL8" i="10" s="1"/>
  <c r="HD8" i="10"/>
  <c r="HE8" i="10" s="1"/>
  <c r="GX8" i="10"/>
  <c r="GY8" i="10" s="1"/>
  <c r="GQ8" i="10"/>
  <c r="GR8" i="10" s="1"/>
  <c r="GJ8" i="10"/>
  <c r="GK8" i="10" s="1"/>
  <c r="GD8" i="10"/>
  <c r="FW8" i="10"/>
  <c r="FX8" i="10" s="1"/>
  <c r="FP8" i="10"/>
  <c r="FQ8" i="10" s="1"/>
  <c r="FJ8" i="10"/>
  <c r="FK8" i="10" s="1"/>
  <c r="FC8" i="10"/>
  <c r="FD8" i="10" s="1"/>
  <c r="EV8" i="10"/>
  <c r="EW8" i="10" s="1"/>
  <c r="EP8" i="10"/>
  <c r="EQ8" i="10" s="1"/>
  <c r="EI8" i="10"/>
  <c r="EJ8" i="10" s="1"/>
  <c r="EB8" i="10"/>
  <c r="EC8" i="10" s="1"/>
  <c r="DV8" i="10"/>
  <c r="DW8" i="10" s="1"/>
  <c r="DO8" i="10"/>
  <c r="DP8" i="10" s="1"/>
  <c r="DH8" i="10"/>
  <c r="DI8" i="10" s="1"/>
  <c r="DB8" i="10"/>
  <c r="DC8" i="10" s="1"/>
  <c r="CU8" i="10"/>
  <c r="CV8" i="10" s="1"/>
  <c r="CN8" i="10"/>
  <c r="CO8" i="10" s="1"/>
  <c r="CH8" i="10"/>
  <c r="CI8" i="10" s="1"/>
  <c r="CA8" i="10"/>
  <c r="CB8" i="10" s="1"/>
  <c r="BT8" i="10"/>
  <c r="BU8" i="10" s="1"/>
  <c r="BN8" i="10"/>
  <c r="BO8" i="10" s="1"/>
  <c r="BG8" i="10"/>
  <c r="BH8" i="10" s="1"/>
  <c r="AZ8" i="10"/>
  <c r="BA8" i="10" s="1"/>
  <c r="AT8" i="10"/>
  <c r="AM8" i="10"/>
  <c r="AN8" i="10" s="1"/>
  <c r="AF8" i="10"/>
  <c r="AG8" i="10" s="1"/>
  <c r="Z8" i="10"/>
  <c r="AA8" i="10" s="1"/>
  <c r="S8" i="10"/>
  <c r="T8" i="10" s="1"/>
  <c r="L8" i="10"/>
  <c r="M8" i="10" s="1"/>
  <c r="F8" i="10"/>
  <c r="G8" i="10" s="1"/>
  <c r="VR7" i="10"/>
  <c r="VS7" i="10" s="1"/>
  <c r="VM7" i="10"/>
  <c r="VN7" i="10" s="1"/>
  <c r="VH7" i="10"/>
  <c r="VI7" i="10" s="1"/>
  <c r="VA7" i="10"/>
  <c r="VB7" i="10" s="1"/>
  <c r="UV7" i="10"/>
  <c r="UW7" i="10" s="1"/>
  <c r="UQ7" i="10"/>
  <c r="UR7" i="10" s="1"/>
  <c r="UJ7" i="10"/>
  <c r="UK7" i="10" s="1"/>
  <c r="UE7" i="10"/>
  <c r="UF7" i="10" s="1"/>
  <c r="TZ7" i="10"/>
  <c r="UA7" i="10" s="1"/>
  <c r="TS7" i="10"/>
  <c r="TT7" i="10" s="1"/>
  <c r="TL7" i="10"/>
  <c r="TM7" i="10" s="1"/>
  <c r="TF7" i="10"/>
  <c r="TG7" i="10" s="1"/>
  <c r="SY7" i="10"/>
  <c r="SZ7" i="10" s="1"/>
  <c r="SR7" i="10"/>
  <c r="SS7" i="10" s="1"/>
  <c r="SL7" i="10"/>
  <c r="SM7" i="10" s="1"/>
  <c r="SE7" i="10"/>
  <c r="SF7" i="10" s="1"/>
  <c r="RX7" i="10"/>
  <c r="RY7" i="10" s="1"/>
  <c r="RR7" i="10"/>
  <c r="RS7" i="10" s="1"/>
  <c r="RK7" i="10"/>
  <c r="RL7" i="10" s="1"/>
  <c r="RD7" i="10"/>
  <c r="RE7" i="10" s="1"/>
  <c r="QX7" i="10"/>
  <c r="QY7" i="10" s="1"/>
  <c r="QQ7" i="10"/>
  <c r="QR7" i="10" s="1"/>
  <c r="QJ7" i="10"/>
  <c r="QK7" i="10" s="1"/>
  <c r="QD7" i="10"/>
  <c r="QE7" i="10" s="1"/>
  <c r="PW7" i="10"/>
  <c r="PX7" i="10" s="1"/>
  <c r="PP7" i="10"/>
  <c r="PQ7" i="10" s="1"/>
  <c r="PJ7" i="10"/>
  <c r="PK7" i="10" s="1"/>
  <c r="PC7" i="10"/>
  <c r="PD7" i="10" s="1"/>
  <c r="OV7" i="10"/>
  <c r="OW7" i="10" s="1"/>
  <c r="OP7" i="10"/>
  <c r="OQ7" i="10" s="1"/>
  <c r="OI7" i="10"/>
  <c r="OJ7" i="10" s="1"/>
  <c r="OB7" i="10"/>
  <c r="OC7" i="10" s="1"/>
  <c r="NV7" i="10"/>
  <c r="NW7" i="10" s="1"/>
  <c r="NO7" i="10"/>
  <c r="NP7" i="10" s="1"/>
  <c r="NH7" i="10"/>
  <c r="NI7" i="10" s="1"/>
  <c r="NB7" i="10"/>
  <c r="NC7" i="10" s="1"/>
  <c r="MU7" i="10"/>
  <c r="MV7" i="10" s="1"/>
  <c r="MN7" i="10"/>
  <c r="MO7" i="10" s="1"/>
  <c r="MH7" i="10"/>
  <c r="MI7" i="10" s="1"/>
  <c r="MA7" i="10"/>
  <c r="MB7" i="10" s="1"/>
  <c r="LT7" i="10"/>
  <c r="LU7" i="10" s="1"/>
  <c r="LN7" i="10"/>
  <c r="LO7" i="10" s="1"/>
  <c r="LG7" i="10"/>
  <c r="LH7" i="10" s="1"/>
  <c r="KZ7" i="10"/>
  <c r="LA7" i="10" s="1"/>
  <c r="KT7" i="10"/>
  <c r="KU7" i="10" s="1"/>
  <c r="KM7" i="10"/>
  <c r="KN7" i="10" s="1"/>
  <c r="KF7" i="10"/>
  <c r="KG7" i="10" s="1"/>
  <c r="JZ7" i="10"/>
  <c r="KA7" i="10" s="1"/>
  <c r="JS7" i="10"/>
  <c r="JT7" i="10" s="1"/>
  <c r="JL7" i="10"/>
  <c r="JM7" i="10" s="1"/>
  <c r="JF7" i="10"/>
  <c r="JG7" i="10" s="1"/>
  <c r="IY7" i="10"/>
  <c r="IZ7" i="10" s="1"/>
  <c r="IR7" i="10"/>
  <c r="IS7" i="10" s="1"/>
  <c r="IL7" i="10"/>
  <c r="IM7" i="10" s="1"/>
  <c r="IE7" i="10"/>
  <c r="IF7" i="10" s="1"/>
  <c r="HX7" i="10"/>
  <c r="HY7" i="10" s="1"/>
  <c r="HR7" i="10"/>
  <c r="HS7" i="10" s="1"/>
  <c r="HK7" i="10"/>
  <c r="HL7" i="10" s="1"/>
  <c r="HD7" i="10"/>
  <c r="HE7" i="10" s="1"/>
  <c r="GX7" i="10"/>
  <c r="GY7" i="10" s="1"/>
  <c r="GQ7" i="10"/>
  <c r="GR7" i="10" s="1"/>
  <c r="GJ7" i="10"/>
  <c r="GK7" i="10" s="1"/>
  <c r="GD7" i="10"/>
  <c r="GE7" i="10" s="1"/>
  <c r="FW7" i="10"/>
  <c r="FX7" i="10" s="1"/>
  <c r="FP7" i="10"/>
  <c r="FQ7" i="10" s="1"/>
  <c r="FJ7" i="10"/>
  <c r="FK7" i="10" s="1"/>
  <c r="FC7" i="10"/>
  <c r="FD7" i="10" s="1"/>
  <c r="EV7" i="10"/>
  <c r="EW7" i="10" s="1"/>
  <c r="EP7" i="10"/>
  <c r="EQ7" i="10" s="1"/>
  <c r="EI7" i="10"/>
  <c r="EJ7" i="10" s="1"/>
  <c r="EB7" i="10"/>
  <c r="EC7" i="10" s="1"/>
  <c r="DV7" i="10"/>
  <c r="DW7" i="10" s="1"/>
  <c r="DO7" i="10"/>
  <c r="DP7" i="10" s="1"/>
  <c r="DH7" i="10"/>
  <c r="DI7" i="10" s="1"/>
  <c r="DB7" i="10"/>
  <c r="DC7" i="10" s="1"/>
  <c r="CU7" i="10"/>
  <c r="CV7" i="10" s="1"/>
  <c r="CN7" i="10"/>
  <c r="CO7" i="10" s="1"/>
  <c r="CH7" i="10"/>
  <c r="CI7" i="10" s="1"/>
  <c r="CA7" i="10"/>
  <c r="CB7" i="10" s="1"/>
  <c r="BT7" i="10"/>
  <c r="BU7" i="10" s="1"/>
  <c r="BN7" i="10"/>
  <c r="BO7" i="10" s="1"/>
  <c r="BG7" i="10"/>
  <c r="BH7" i="10" s="1"/>
  <c r="AZ7" i="10"/>
  <c r="BA7" i="10" s="1"/>
  <c r="AT7" i="10"/>
  <c r="AU7" i="10" s="1"/>
  <c r="AM7" i="10"/>
  <c r="AN7" i="10" s="1"/>
  <c r="AF7" i="10"/>
  <c r="AG7" i="10" s="1"/>
  <c r="Z7" i="10"/>
  <c r="AA7" i="10" s="1"/>
  <c r="S7" i="10"/>
  <c r="T7" i="10" s="1"/>
  <c r="L7" i="10"/>
  <c r="M7" i="10" s="1"/>
  <c r="F7" i="10"/>
  <c r="G7" i="10" s="1"/>
  <c r="VR6" i="10"/>
  <c r="VS6" i="10" s="1"/>
  <c r="VM6" i="10"/>
  <c r="VN6" i="10" s="1"/>
  <c r="VH6" i="10"/>
  <c r="VI6" i="10" s="1"/>
  <c r="VA6" i="10"/>
  <c r="VB6" i="10" s="1"/>
  <c r="UV6" i="10"/>
  <c r="UW6" i="10" s="1"/>
  <c r="UQ6" i="10"/>
  <c r="UR6" i="10" s="1"/>
  <c r="UJ6" i="10"/>
  <c r="UK6" i="10" s="1"/>
  <c r="UE6" i="10"/>
  <c r="UF6" i="10" s="1"/>
  <c r="TZ6" i="10"/>
  <c r="UA6" i="10" s="1"/>
  <c r="TS6" i="10"/>
  <c r="TT6" i="10" s="1"/>
  <c r="TL6" i="10"/>
  <c r="TM6" i="10" s="1"/>
  <c r="TF6" i="10"/>
  <c r="TG6" i="10" s="1"/>
  <c r="SY6" i="10"/>
  <c r="SR6" i="10"/>
  <c r="SS6" i="10" s="1"/>
  <c r="SL6" i="10"/>
  <c r="SM6" i="10" s="1"/>
  <c r="SE6" i="10"/>
  <c r="SF6" i="10" s="1"/>
  <c r="RX6" i="10"/>
  <c r="RY6" i="10" s="1"/>
  <c r="RR6" i="10"/>
  <c r="RS6" i="10" s="1"/>
  <c r="RK6" i="10"/>
  <c r="RL6" i="10" s="1"/>
  <c r="RD6" i="10"/>
  <c r="RE6" i="10" s="1"/>
  <c r="QX6" i="10"/>
  <c r="QY6" i="10" s="1"/>
  <c r="QQ6" i="10"/>
  <c r="QR6" i="10" s="1"/>
  <c r="QJ6" i="10"/>
  <c r="QK6" i="10" s="1"/>
  <c r="QD6" i="10"/>
  <c r="QE6" i="10" s="1"/>
  <c r="PW6" i="10"/>
  <c r="PP6" i="10"/>
  <c r="PQ6" i="10" s="1"/>
  <c r="PJ6" i="10"/>
  <c r="PK6" i="10" s="1"/>
  <c r="PC6" i="10"/>
  <c r="PD6" i="10" s="1"/>
  <c r="OV6" i="10"/>
  <c r="OW6" i="10" s="1"/>
  <c r="OP6" i="10"/>
  <c r="OQ6" i="10" s="1"/>
  <c r="OI6" i="10"/>
  <c r="OJ6" i="10" s="1"/>
  <c r="OB6" i="10"/>
  <c r="OC6" i="10" s="1"/>
  <c r="NV6" i="10"/>
  <c r="NW6" i="10" s="1"/>
  <c r="NO6" i="10"/>
  <c r="NP6" i="10" s="1"/>
  <c r="NH6" i="10"/>
  <c r="NI6" i="10" s="1"/>
  <c r="NB6" i="10"/>
  <c r="NC6" i="10" s="1"/>
  <c r="MU6" i="10"/>
  <c r="MN6" i="10"/>
  <c r="MO6" i="10" s="1"/>
  <c r="MH6" i="10"/>
  <c r="MI6" i="10" s="1"/>
  <c r="MA6" i="10"/>
  <c r="MB6" i="10" s="1"/>
  <c r="LT6" i="10"/>
  <c r="LU6" i="10" s="1"/>
  <c r="LN6" i="10"/>
  <c r="LO6" i="10" s="1"/>
  <c r="LG6" i="10"/>
  <c r="LH6" i="10" s="1"/>
  <c r="KZ6" i="10"/>
  <c r="LA6" i="10" s="1"/>
  <c r="KT6" i="10"/>
  <c r="KM6" i="10"/>
  <c r="KN6" i="10" s="1"/>
  <c r="KF6" i="10"/>
  <c r="KG6" i="10" s="1"/>
  <c r="JZ6" i="10"/>
  <c r="KA6" i="10" s="1"/>
  <c r="JS6" i="10"/>
  <c r="JL6" i="10"/>
  <c r="JM6" i="10" s="1"/>
  <c r="JF6" i="10"/>
  <c r="IY6" i="10"/>
  <c r="IZ6" i="10" s="1"/>
  <c r="IR6" i="10"/>
  <c r="IS6" i="10" s="1"/>
  <c r="IL6" i="10"/>
  <c r="IE6" i="10"/>
  <c r="IF6" i="10" s="1"/>
  <c r="HX6" i="10"/>
  <c r="HY6" i="10" s="1"/>
  <c r="HR6" i="10"/>
  <c r="HK6" i="10"/>
  <c r="HL6" i="10" s="1"/>
  <c r="HD6" i="10"/>
  <c r="HE6" i="10" s="1"/>
  <c r="GX6" i="10"/>
  <c r="GQ6" i="10"/>
  <c r="GR6" i="10" s="1"/>
  <c r="GJ6" i="10"/>
  <c r="GK6" i="10" s="1"/>
  <c r="GD6" i="10"/>
  <c r="FW6" i="10"/>
  <c r="FP6" i="10"/>
  <c r="FQ6" i="10" s="1"/>
  <c r="FJ6" i="10"/>
  <c r="FC6" i="10"/>
  <c r="FD6" i="10" s="1"/>
  <c r="EV6" i="10"/>
  <c r="EW6" i="10" s="1"/>
  <c r="EP6" i="10"/>
  <c r="EI6" i="10"/>
  <c r="EJ6" i="10" s="1"/>
  <c r="EB6" i="10"/>
  <c r="EC6" i="10" s="1"/>
  <c r="DV6" i="10"/>
  <c r="DO6" i="10"/>
  <c r="DP6" i="10" s="1"/>
  <c r="DH6" i="10"/>
  <c r="DI6" i="10" s="1"/>
  <c r="DB6" i="10"/>
  <c r="CU6" i="10"/>
  <c r="CN6" i="10"/>
  <c r="CO6" i="10" s="1"/>
  <c r="CH6" i="10"/>
  <c r="CA6" i="10"/>
  <c r="CB6" i="10" s="1"/>
  <c r="BT6" i="10"/>
  <c r="BU6" i="10" s="1"/>
  <c r="BN6" i="10"/>
  <c r="BG6" i="10"/>
  <c r="BH6" i="10" s="1"/>
  <c r="AZ6" i="10"/>
  <c r="BA6" i="10" s="1"/>
  <c r="AT6" i="10"/>
  <c r="AU6" i="10" s="1"/>
  <c r="AM6" i="10"/>
  <c r="AN6" i="10" s="1"/>
  <c r="AF6" i="10"/>
  <c r="AG6" i="10" s="1"/>
  <c r="Z6" i="10"/>
  <c r="AA6" i="10" s="1"/>
  <c r="S6" i="10"/>
  <c r="L6" i="10"/>
  <c r="M6" i="10" s="1"/>
  <c r="F6" i="10"/>
  <c r="G6" i="10" s="1"/>
  <c r="VR5" i="10"/>
  <c r="VS5" i="10" s="1"/>
  <c r="VM5" i="10"/>
  <c r="VH5" i="10"/>
  <c r="VA5" i="10"/>
  <c r="VB5" i="10" s="1"/>
  <c r="UV5" i="10"/>
  <c r="UW5" i="10" s="1"/>
  <c r="UQ5" i="10"/>
  <c r="UJ5" i="10"/>
  <c r="UE5" i="10"/>
  <c r="UF5" i="10" s="1"/>
  <c r="TZ5" i="10"/>
  <c r="UA5" i="10" s="1"/>
  <c r="TS5" i="10"/>
  <c r="TL5" i="10"/>
  <c r="TM5" i="10" s="1"/>
  <c r="TF5" i="10"/>
  <c r="TG5" i="10" s="1"/>
  <c r="SY5" i="10"/>
  <c r="SZ5" i="10" s="1"/>
  <c r="SR5" i="10"/>
  <c r="SS5" i="10" s="1"/>
  <c r="SL5" i="10"/>
  <c r="SM5" i="10" s="1"/>
  <c r="SE5" i="10"/>
  <c r="SF5" i="10" s="1"/>
  <c r="RX5" i="10"/>
  <c r="RY5" i="10" s="1"/>
  <c r="RR5" i="10"/>
  <c r="RS5" i="10" s="1"/>
  <c r="RK5" i="10"/>
  <c r="RL5" i="10" s="1"/>
  <c r="RD5" i="10"/>
  <c r="RE5" i="10" s="1"/>
  <c r="QX5" i="10"/>
  <c r="QY5" i="10" s="1"/>
  <c r="QQ5" i="10"/>
  <c r="QJ5" i="10"/>
  <c r="QK5" i="10" s="1"/>
  <c r="QD5" i="10"/>
  <c r="QE5" i="10" s="1"/>
  <c r="PW5" i="10"/>
  <c r="PX5" i="10" s="1"/>
  <c r="PP5" i="10"/>
  <c r="PQ5" i="10" s="1"/>
  <c r="PJ5" i="10"/>
  <c r="PK5" i="10" s="1"/>
  <c r="PC5" i="10"/>
  <c r="PD5" i="10" s="1"/>
  <c r="OV5" i="10"/>
  <c r="OW5" i="10" s="1"/>
  <c r="OP5" i="10"/>
  <c r="OQ5" i="10" s="1"/>
  <c r="OI5" i="10"/>
  <c r="OJ5" i="10" s="1"/>
  <c r="OB5" i="10"/>
  <c r="OC5" i="10" s="1"/>
  <c r="NV5" i="10"/>
  <c r="NW5" i="10" s="1"/>
  <c r="NO5" i="10"/>
  <c r="NH5" i="10"/>
  <c r="NI5" i="10" s="1"/>
  <c r="NB5" i="10"/>
  <c r="NC5" i="10" s="1"/>
  <c r="MU5" i="10"/>
  <c r="MV5" i="10" s="1"/>
  <c r="MN5" i="10"/>
  <c r="MO5" i="10" s="1"/>
  <c r="MH5" i="10"/>
  <c r="MI5" i="10" s="1"/>
  <c r="MA5" i="10"/>
  <c r="MB5" i="10" s="1"/>
  <c r="LT5" i="10"/>
  <c r="LU5" i="10" s="1"/>
  <c r="LN5" i="10"/>
  <c r="LO5" i="10" s="1"/>
  <c r="LG5" i="10"/>
  <c r="LH5" i="10" s="1"/>
  <c r="KZ5" i="10"/>
  <c r="LA5" i="10" s="1"/>
  <c r="KT5" i="10"/>
  <c r="KU5" i="10" s="1"/>
  <c r="KM5" i="10"/>
  <c r="KF5" i="10"/>
  <c r="KG5" i="10" s="1"/>
  <c r="JZ5" i="10"/>
  <c r="KA5" i="10" s="1"/>
  <c r="JS5" i="10"/>
  <c r="JT5" i="10" s="1"/>
  <c r="JL5" i="10"/>
  <c r="JM5" i="10" s="1"/>
  <c r="JF5" i="10"/>
  <c r="JG5" i="10" s="1"/>
  <c r="IY5" i="10"/>
  <c r="IZ5" i="10" s="1"/>
  <c r="IR5" i="10"/>
  <c r="IS5" i="10" s="1"/>
  <c r="IL5" i="10"/>
  <c r="IM5" i="10" s="1"/>
  <c r="IE5" i="10"/>
  <c r="HX5" i="10"/>
  <c r="HY5" i="10" s="1"/>
  <c r="HR5" i="10"/>
  <c r="HS5" i="10" s="1"/>
  <c r="HK5" i="10"/>
  <c r="HD5" i="10"/>
  <c r="HE5" i="10" s="1"/>
  <c r="GX5" i="10"/>
  <c r="GY5" i="10" s="1"/>
  <c r="GQ5" i="10"/>
  <c r="GR5" i="10" s="1"/>
  <c r="GJ5" i="10"/>
  <c r="GK5" i="10" s="1"/>
  <c r="GD5" i="10"/>
  <c r="GE5" i="10" s="1"/>
  <c r="FW5" i="10"/>
  <c r="FX5" i="10" s="1"/>
  <c r="FP5" i="10"/>
  <c r="FQ5" i="10" s="1"/>
  <c r="FJ5" i="10"/>
  <c r="FK5" i="10" s="1"/>
  <c r="FC5" i="10"/>
  <c r="EV5" i="10"/>
  <c r="EW5" i="10" s="1"/>
  <c r="EP5" i="10"/>
  <c r="EQ5" i="10" s="1"/>
  <c r="EI5" i="10"/>
  <c r="EJ5" i="10" s="1"/>
  <c r="EB5" i="10"/>
  <c r="EC5" i="10" s="1"/>
  <c r="DV5" i="10"/>
  <c r="DW5" i="10" s="1"/>
  <c r="DO5" i="10"/>
  <c r="DP5" i="10" s="1"/>
  <c r="DH5" i="10"/>
  <c r="DI5" i="10" s="1"/>
  <c r="DB5" i="10"/>
  <c r="DC5" i="10" s="1"/>
  <c r="CU5" i="10"/>
  <c r="CV5" i="10" s="1"/>
  <c r="CN5" i="10"/>
  <c r="CO5" i="10" s="1"/>
  <c r="CH5" i="10"/>
  <c r="CI5" i="10" s="1"/>
  <c r="CA5" i="10"/>
  <c r="BT5" i="10"/>
  <c r="BU5" i="10" s="1"/>
  <c r="BN5" i="10"/>
  <c r="BO5" i="10" s="1"/>
  <c r="BG5" i="10"/>
  <c r="BH5" i="10" s="1"/>
  <c r="AZ5" i="10"/>
  <c r="BA5" i="10" s="1"/>
  <c r="AT5" i="10"/>
  <c r="AU5" i="10" s="1"/>
  <c r="AM5" i="10"/>
  <c r="AN5" i="10" s="1"/>
  <c r="AF5" i="10"/>
  <c r="AG5" i="10" s="1"/>
  <c r="Z5" i="10"/>
  <c r="AA5" i="10" s="1"/>
  <c r="S5" i="10"/>
  <c r="T5" i="10" s="1"/>
  <c r="L5" i="10"/>
  <c r="M5" i="10" s="1"/>
  <c r="F5" i="10"/>
  <c r="G5" i="10" s="1"/>
  <c r="AL3" i="10"/>
  <c r="BF3" i="10" s="1"/>
  <c r="BZ3" i="10" s="1"/>
  <c r="CT3" i="10" s="1"/>
  <c r="DN3" i="10" s="1"/>
  <c r="EH3" i="10" s="1"/>
  <c r="FB3" i="10" s="1"/>
  <c r="FV3" i="10" s="1"/>
  <c r="GP3" i="10" s="1"/>
  <c r="HJ3" i="10" s="1"/>
  <c r="ID3" i="10" s="1"/>
  <c r="IX3" i="10" s="1"/>
  <c r="JR3" i="10" s="1"/>
  <c r="KL3" i="10" s="1"/>
  <c r="LF3" i="10" s="1"/>
  <c r="LZ3" i="10" s="1"/>
  <c r="MT3" i="10" s="1"/>
  <c r="NN3" i="10" s="1"/>
  <c r="OH3" i="10" s="1"/>
  <c r="PB3" i="10" s="1"/>
  <c r="PV3" i="10" s="1"/>
  <c r="QP3" i="10" s="1"/>
  <c r="RJ3" i="10" s="1"/>
  <c r="SD3" i="10" s="1"/>
  <c r="SX3" i="10" s="1"/>
  <c r="TR3" i="10" s="1"/>
  <c r="UI3" i="10" s="1"/>
  <c r="UZ3" i="10" s="1"/>
  <c r="VQ3" i="10" s="1"/>
  <c r="UH3" i="10"/>
  <c r="UY3" i="10" s="1"/>
  <c r="VP3" i="10" s="1"/>
  <c r="AH3" i="10"/>
  <c r="BB3" i="10" s="1"/>
  <c r="BV3" i="10" s="1"/>
  <c r="CP3" i="10" s="1"/>
  <c r="DJ3" i="10" s="1"/>
  <c r="ED3" i="10" s="1"/>
  <c r="EX3" i="10" s="1"/>
  <c r="FR3" i="10" s="1"/>
  <c r="GL3" i="10" s="1"/>
  <c r="HF3" i="10" s="1"/>
  <c r="HZ3" i="10" s="1"/>
  <c r="IT3" i="10" s="1"/>
  <c r="JN3" i="10" s="1"/>
  <c r="KH3" i="10" s="1"/>
  <c r="LB3" i="10" s="1"/>
  <c r="LV3" i="10" s="1"/>
  <c r="MP3" i="10" s="1"/>
  <c r="NJ3" i="10" s="1"/>
  <c r="OD3" i="10" s="1"/>
  <c r="OX3" i="10" s="1"/>
  <c r="PR3" i="10" s="1"/>
  <c r="QL3" i="10" s="1"/>
  <c r="RF3" i="10" s="1"/>
  <c r="RZ3" i="10" s="1"/>
  <c r="ST3" i="10" s="1"/>
  <c r="TN3" i="10" s="1"/>
  <c r="UG3" i="10" s="1"/>
  <c r="UX3" i="10" s="1"/>
  <c r="VO3" i="10" s="1"/>
  <c r="AE3" i="10"/>
  <c r="AY3" i="10" s="1"/>
  <c r="BS3" i="10" s="1"/>
  <c r="CM3" i="10" s="1"/>
  <c r="DG3" i="10" s="1"/>
  <c r="EA3" i="10" s="1"/>
  <c r="EU3" i="10" s="1"/>
  <c r="FO3" i="10" s="1"/>
  <c r="GI3" i="10" s="1"/>
  <c r="HC3" i="10" s="1"/>
  <c r="HW3" i="10" s="1"/>
  <c r="IQ3" i="10" s="1"/>
  <c r="JK3" i="10" s="1"/>
  <c r="KE3" i="10" s="1"/>
  <c r="KY3" i="10" s="1"/>
  <c r="LS3" i="10" s="1"/>
  <c r="MM3" i="10" s="1"/>
  <c r="NG3" i="10" s="1"/>
  <c r="OA3" i="10" s="1"/>
  <c r="OU3" i="10" s="1"/>
  <c r="PO3" i="10" s="1"/>
  <c r="QI3" i="10" s="1"/>
  <c r="RC3" i="10" s="1"/>
  <c r="RW3" i="10" s="1"/>
  <c r="SQ3" i="10" s="1"/>
  <c r="TK3" i="10" s="1"/>
  <c r="UD3" i="10" s="1"/>
  <c r="UU3" i="10" s="1"/>
  <c r="VL3" i="10" s="1"/>
  <c r="AC3" i="10"/>
  <c r="AW3" i="10" s="1"/>
  <c r="BQ3" i="10" s="1"/>
  <c r="CK3" i="10" s="1"/>
  <c r="DE3" i="10" s="1"/>
  <c r="DY3" i="10" s="1"/>
  <c r="ES3" i="10" s="1"/>
  <c r="FM3" i="10" s="1"/>
  <c r="GG3" i="10" s="1"/>
  <c r="HA3" i="10" s="1"/>
  <c r="HU3" i="10" s="1"/>
  <c r="IO3" i="10" s="1"/>
  <c r="JI3" i="10" s="1"/>
  <c r="KC3" i="10" s="1"/>
  <c r="KW3" i="10" s="1"/>
  <c r="LQ3" i="10" s="1"/>
  <c r="MK3" i="10" s="1"/>
  <c r="NE3" i="10" s="1"/>
  <c r="NY3" i="10" s="1"/>
  <c r="OS3" i="10" s="1"/>
  <c r="PM3" i="10" s="1"/>
  <c r="QG3" i="10" s="1"/>
  <c r="RA3" i="10" s="1"/>
  <c r="RU3" i="10" s="1"/>
  <c r="SO3" i="10" s="1"/>
  <c r="TI3" i="10" s="1"/>
  <c r="UC3" i="10" s="1"/>
  <c r="UT3" i="10" s="1"/>
  <c r="VK3" i="10" s="1"/>
  <c r="AB3" i="10"/>
  <c r="AV3" i="10" s="1"/>
  <c r="BP3" i="10" s="1"/>
  <c r="CJ3" i="10" s="1"/>
  <c r="DD3" i="10" s="1"/>
  <c r="DX3" i="10" s="1"/>
  <c r="ER3" i="10" s="1"/>
  <c r="FL3" i="10" s="1"/>
  <c r="GF3" i="10" s="1"/>
  <c r="GZ3" i="10" s="1"/>
  <c r="HT3" i="10" s="1"/>
  <c r="IN3" i="10" s="1"/>
  <c r="JH3" i="10" s="1"/>
  <c r="KB3" i="10" s="1"/>
  <c r="KV3" i="10" s="1"/>
  <c r="LP3" i="10" s="1"/>
  <c r="MJ3" i="10" s="1"/>
  <c r="ND3" i="10" s="1"/>
  <c r="NX3" i="10" s="1"/>
  <c r="OR3" i="10" s="1"/>
  <c r="PL3" i="10" s="1"/>
  <c r="QF3" i="10" s="1"/>
  <c r="QZ3" i="10" s="1"/>
  <c r="RT3" i="10" s="1"/>
  <c r="SN3" i="10" s="1"/>
  <c r="TH3" i="10" s="1"/>
  <c r="UB3" i="10" s="1"/>
  <c r="US3" i="10" s="1"/>
  <c r="VJ3" i="10" s="1"/>
  <c r="Y3" i="10"/>
  <c r="AS3" i="10" s="1"/>
  <c r="BM3" i="10" s="1"/>
  <c r="CG3" i="10" s="1"/>
  <c r="DA3" i="10" s="1"/>
  <c r="DU3" i="10" s="1"/>
  <c r="EO3" i="10" s="1"/>
  <c r="FI3" i="10" s="1"/>
  <c r="GC3" i="10" s="1"/>
  <c r="GW3" i="10" s="1"/>
  <c r="HQ3" i="10" s="1"/>
  <c r="IK3" i="10" s="1"/>
  <c r="JE3" i="10" s="1"/>
  <c r="JY3" i="10" s="1"/>
  <c r="KS3" i="10" s="1"/>
  <c r="LM3" i="10" s="1"/>
  <c r="MG3" i="10" s="1"/>
  <c r="NA3" i="10" s="1"/>
  <c r="NU3" i="10" s="1"/>
  <c r="OO3" i="10" s="1"/>
  <c r="PI3" i="10" s="1"/>
  <c r="QC3" i="10" s="1"/>
  <c r="QW3" i="10" s="1"/>
  <c r="RQ3" i="10" s="1"/>
  <c r="SK3" i="10" s="1"/>
  <c r="TE3" i="10" s="1"/>
  <c r="TY3" i="10" s="1"/>
  <c r="UP3" i="10" s="1"/>
  <c r="VG3" i="10" s="1"/>
  <c r="X3" i="10"/>
  <c r="AR3" i="10" s="1"/>
  <c r="BL3" i="10" s="1"/>
  <c r="CF3" i="10" s="1"/>
  <c r="CZ3" i="10" s="1"/>
  <c r="DT3" i="10" s="1"/>
  <c r="EN3" i="10" s="1"/>
  <c r="FH3" i="10" s="1"/>
  <c r="GB3" i="10" s="1"/>
  <c r="GV3" i="10" s="1"/>
  <c r="HP3" i="10" s="1"/>
  <c r="IJ3" i="10" s="1"/>
  <c r="JD3" i="10" s="1"/>
  <c r="JX3" i="10" s="1"/>
  <c r="KR3" i="10" s="1"/>
  <c r="LL3" i="10" s="1"/>
  <c r="MF3" i="10" s="1"/>
  <c r="MZ3" i="10" s="1"/>
  <c r="NT3" i="10" s="1"/>
  <c r="ON3" i="10" s="1"/>
  <c r="PH3" i="10" s="1"/>
  <c r="QB3" i="10" s="1"/>
  <c r="QV3" i="10" s="1"/>
  <c r="RP3" i="10" s="1"/>
  <c r="SJ3" i="10" s="1"/>
  <c r="TD3" i="10" s="1"/>
  <c r="TX3" i="10" s="1"/>
  <c r="UO3" i="10" s="1"/>
  <c r="VF3" i="10" s="1"/>
  <c r="W3" i="10"/>
  <c r="AQ3" i="10" s="1"/>
  <c r="BK3" i="10" s="1"/>
  <c r="CE3" i="10" s="1"/>
  <c r="CY3" i="10" s="1"/>
  <c r="DS3" i="10" s="1"/>
  <c r="EM3" i="10" s="1"/>
  <c r="FG3" i="10" s="1"/>
  <c r="GA3" i="10" s="1"/>
  <c r="GU3" i="10" s="1"/>
  <c r="HO3" i="10" s="1"/>
  <c r="II3" i="10" s="1"/>
  <c r="JC3" i="10" s="1"/>
  <c r="JW3" i="10" s="1"/>
  <c r="KQ3" i="10" s="1"/>
  <c r="LK3" i="10" s="1"/>
  <c r="ME3" i="10" s="1"/>
  <c r="MY3" i="10" s="1"/>
  <c r="NS3" i="10" s="1"/>
  <c r="OM3" i="10" s="1"/>
  <c r="PG3" i="10" s="1"/>
  <c r="QA3" i="10" s="1"/>
  <c r="QU3" i="10" s="1"/>
  <c r="RO3" i="10" s="1"/>
  <c r="SI3" i="10" s="1"/>
  <c r="TC3" i="10" s="1"/>
  <c r="TW3" i="10" s="1"/>
  <c r="UN3" i="10" s="1"/>
  <c r="VE3" i="10" s="1"/>
  <c r="W1" i="10"/>
  <c r="AQ1" i="10" s="1"/>
  <c r="BK1" i="10" s="1"/>
  <c r="CE1" i="10" s="1"/>
  <c r="CY1" i="10" s="1"/>
  <c r="DS1" i="10" s="1"/>
  <c r="EM1" i="10" s="1"/>
  <c r="FG1" i="10" s="1"/>
  <c r="JZ20" i="10" l="1"/>
  <c r="KA20" i="10" s="1"/>
  <c r="VR20" i="10"/>
  <c r="VS20" i="10" s="1"/>
  <c r="GQ20" i="10"/>
  <c r="GR20" i="10" s="1"/>
  <c r="KT20" i="10"/>
  <c r="KU20" i="10" s="1"/>
  <c r="QX20" i="10"/>
  <c r="QY20" i="10" s="1"/>
  <c r="FJ20" i="10"/>
  <c r="FK20" i="10" s="1"/>
  <c r="CN20" i="10"/>
  <c r="CO20" i="10" s="1"/>
  <c r="HR20" i="10"/>
  <c r="HS20" i="10" s="1"/>
  <c r="RX20" i="10"/>
  <c r="RY20" i="10" s="1"/>
  <c r="UJ10" i="10"/>
  <c r="UK10" i="10" s="1"/>
  <c r="VR10" i="10"/>
  <c r="VS10" i="10" s="1"/>
  <c r="MU16" i="10"/>
  <c r="MV16" i="10" s="1"/>
  <c r="VH13" i="10"/>
  <c r="VI13" i="10" s="1"/>
  <c r="SY16" i="10"/>
  <c r="SZ16" i="10" s="1"/>
  <c r="VA13" i="10"/>
  <c r="VB13" i="10" s="1"/>
  <c r="TZ16" i="10"/>
  <c r="UA16" i="10" s="1"/>
  <c r="NH20" i="10"/>
  <c r="NI20" i="10" s="1"/>
  <c r="SR20" i="10"/>
  <c r="SS20" i="10" s="1"/>
  <c r="AM10" i="10"/>
  <c r="AN10" i="10" s="1"/>
  <c r="MN16" i="10"/>
  <c r="MO16" i="10" s="1"/>
  <c r="AF16" i="10"/>
  <c r="AG16" i="10" s="1"/>
  <c r="OP20" i="10"/>
  <c r="OQ20" i="10" s="1"/>
  <c r="GQ10" i="10"/>
  <c r="GR10" i="10" s="1"/>
  <c r="IE13" i="10"/>
  <c r="IF13" i="10" s="1"/>
  <c r="PW16" i="10"/>
  <c r="PX16" i="10" s="1"/>
  <c r="UQ16" i="10"/>
  <c r="UR16" i="10" s="1"/>
  <c r="EV16" i="10"/>
  <c r="EW16" i="10" s="1"/>
  <c r="VC19" i="10"/>
  <c r="VD19" i="10" s="1"/>
  <c r="GJ20" i="10"/>
  <c r="GK20" i="10" s="1"/>
  <c r="UJ20" i="10"/>
  <c r="UK20" i="10" s="1"/>
  <c r="JS10" i="10"/>
  <c r="JT10" i="10" s="1"/>
  <c r="MA13" i="10"/>
  <c r="MB13" i="10" s="1"/>
  <c r="HK16" i="10"/>
  <c r="HL16" i="10" s="1"/>
  <c r="RX16" i="10"/>
  <c r="RY16" i="10" s="1"/>
  <c r="VM16" i="10"/>
  <c r="VN16" i="10" s="1"/>
  <c r="MN20" i="10"/>
  <c r="MO20" i="10" s="1"/>
  <c r="UQ20" i="10"/>
  <c r="UR20" i="10" s="1"/>
  <c r="S13" i="10"/>
  <c r="T13" i="10" s="1"/>
  <c r="NB13" i="10"/>
  <c r="NC13" i="10" s="1"/>
  <c r="UL15" i="10"/>
  <c r="UM15" i="10" s="1"/>
  <c r="AF20" i="10"/>
  <c r="AG20" i="10" s="1"/>
  <c r="TZ4" i="10"/>
  <c r="UA4" i="10" s="1"/>
  <c r="UQ10" i="10"/>
  <c r="UR10" i="10" s="1"/>
  <c r="JL13" i="10"/>
  <c r="JM13" i="10" s="1"/>
  <c r="TF13" i="10"/>
  <c r="TG13" i="10" s="1"/>
  <c r="PJ20" i="10"/>
  <c r="PK20" i="10" s="1"/>
  <c r="VH20" i="10"/>
  <c r="VI20" i="10" s="1"/>
  <c r="UE4" i="10"/>
  <c r="UF4" i="10" s="1"/>
  <c r="KZ13" i="10"/>
  <c r="LA13" i="10" s="1"/>
  <c r="UE13" i="10"/>
  <c r="UF13" i="10" s="1"/>
  <c r="FC20" i="10"/>
  <c r="FD20" i="10" s="1"/>
  <c r="HD20" i="10"/>
  <c r="HE20" i="10" s="1"/>
  <c r="NQ21" i="10"/>
  <c r="NQ20" i="10" s="1"/>
  <c r="NR20" i="10" s="1"/>
  <c r="L10" i="10"/>
  <c r="M10" i="10" s="1"/>
  <c r="DV13" i="10"/>
  <c r="DW13" i="10" s="1"/>
  <c r="UR19" i="10"/>
  <c r="Z20" i="10"/>
  <c r="AA20" i="10" s="1"/>
  <c r="RD20" i="10"/>
  <c r="RE20" i="10" s="1"/>
  <c r="AN21" i="10"/>
  <c r="DI21" i="10"/>
  <c r="TA21" i="10"/>
  <c r="TB21" i="10" s="1"/>
  <c r="DO4" i="10"/>
  <c r="DP4" i="10" s="1"/>
  <c r="VR4" i="10"/>
  <c r="VS4" i="10" s="1"/>
  <c r="PC10" i="10"/>
  <c r="PD10" i="10" s="1"/>
  <c r="KF13" i="10"/>
  <c r="KG13" i="10" s="1"/>
  <c r="OV13" i="10"/>
  <c r="OW13" i="10" s="1"/>
  <c r="UJ13" i="10"/>
  <c r="UK13" i="10" s="1"/>
  <c r="Z13" i="10"/>
  <c r="AA13" i="10" s="1"/>
  <c r="DB13" i="10"/>
  <c r="DC13" i="10" s="1"/>
  <c r="GD13" i="10"/>
  <c r="GE13" i="10" s="1"/>
  <c r="JF13" i="10"/>
  <c r="JG13" i="10" s="1"/>
  <c r="KZ20" i="10"/>
  <c r="LA20" i="10" s="1"/>
  <c r="VA20" i="10"/>
  <c r="VB20" i="10" s="1"/>
  <c r="HM21" i="10"/>
  <c r="HN21" i="10" s="1"/>
  <c r="SG21" i="10"/>
  <c r="SH21" i="10" s="1"/>
  <c r="PC4" i="10"/>
  <c r="PD4" i="10" s="1"/>
  <c r="AM13" i="10"/>
  <c r="AN13" i="10" s="1"/>
  <c r="SL13" i="10"/>
  <c r="SM13" i="10" s="1"/>
  <c r="FJ13" i="10"/>
  <c r="FK13" i="10" s="1"/>
  <c r="LN13" i="10"/>
  <c r="LO13" i="10" s="1"/>
  <c r="OP13" i="10"/>
  <c r="OQ13" i="10" s="1"/>
  <c r="HX20" i="10"/>
  <c r="HY20" i="10" s="1"/>
  <c r="QD20" i="10"/>
  <c r="QE20" i="10" s="1"/>
  <c r="DQ21" i="10"/>
  <c r="DQ20" i="10" s="1"/>
  <c r="DR20" i="10" s="1"/>
  <c r="TL13" i="10"/>
  <c r="TM13" i="10" s="1"/>
  <c r="TS16" i="10"/>
  <c r="TT16" i="10" s="1"/>
  <c r="TU19" i="10"/>
  <c r="TV19" i="10" s="1"/>
  <c r="TL20" i="10"/>
  <c r="TM20" i="10" s="1"/>
  <c r="TU15" i="10"/>
  <c r="TV15" i="10" s="1"/>
  <c r="TG19" i="10"/>
  <c r="RR20" i="10"/>
  <c r="RS20" i="10" s="1"/>
  <c r="RS21" i="10"/>
  <c r="SE13" i="10"/>
  <c r="SF13" i="10" s="1"/>
  <c r="RK13" i="10"/>
  <c r="RL13" i="10" s="1"/>
  <c r="RD13" i="10"/>
  <c r="RE13" i="10" s="1"/>
  <c r="QJ13" i="10"/>
  <c r="QK13" i="10" s="1"/>
  <c r="QD10" i="10"/>
  <c r="QE10" i="10" s="1"/>
  <c r="QD13" i="10"/>
  <c r="QE13" i="10" s="1"/>
  <c r="PJ13" i="10"/>
  <c r="PK13" i="10" s="1"/>
  <c r="PY19" i="10"/>
  <c r="PZ19" i="10" s="1"/>
  <c r="OV20" i="10"/>
  <c r="OW20" i="10" s="1"/>
  <c r="NV20" i="10"/>
  <c r="NW20" i="10" s="1"/>
  <c r="OI10" i="10"/>
  <c r="OJ10" i="10" s="1"/>
  <c r="OI4" i="10"/>
  <c r="OJ4" i="10" s="1"/>
  <c r="OB20" i="10"/>
  <c r="OC20" i="10" s="1"/>
  <c r="OI13" i="10"/>
  <c r="OJ13" i="10" s="1"/>
  <c r="NH13" i="10"/>
  <c r="NI13" i="10" s="1"/>
  <c r="NO16" i="10"/>
  <c r="NP16" i="10" s="1"/>
  <c r="MH10" i="10"/>
  <c r="MI10" i="10" s="1"/>
  <c r="MH13" i="10"/>
  <c r="MI13" i="10" s="1"/>
  <c r="LT20" i="10"/>
  <c r="LU20" i="10" s="1"/>
  <c r="MC21" i="10"/>
  <c r="MD21" i="10" s="1"/>
  <c r="LN16" i="10"/>
  <c r="LO16" i="10" s="1"/>
  <c r="LN20" i="10"/>
  <c r="LO20" i="10" s="1"/>
  <c r="LO21" i="10"/>
  <c r="JZ13" i="10"/>
  <c r="KA13" i="10" s="1"/>
  <c r="KM10" i="10"/>
  <c r="KN10" i="10" s="1"/>
  <c r="JS13" i="10"/>
  <c r="JT13" i="10" s="1"/>
  <c r="JL16" i="10"/>
  <c r="JM16" i="10" s="1"/>
  <c r="JF20" i="10"/>
  <c r="JG20" i="10" s="1"/>
  <c r="IR20" i="10"/>
  <c r="IS20" i="10" s="1"/>
  <c r="IL13" i="10"/>
  <c r="IM13" i="10" s="1"/>
  <c r="IL20" i="10"/>
  <c r="IM20" i="10" s="1"/>
  <c r="IR4" i="10"/>
  <c r="IS4" i="10" s="1"/>
  <c r="IY4" i="10"/>
  <c r="IZ4" i="10" s="1"/>
  <c r="IE10" i="10"/>
  <c r="IF10" i="10" s="1"/>
  <c r="IE16" i="10"/>
  <c r="IF16" i="10" s="1"/>
  <c r="HM6" i="10"/>
  <c r="HN6" i="10" s="1"/>
  <c r="HD13" i="10"/>
  <c r="HE13" i="10" s="1"/>
  <c r="GJ16" i="10"/>
  <c r="GK16" i="10" s="1"/>
  <c r="GS21" i="10"/>
  <c r="GS20" i="10" s="1"/>
  <c r="GT20" i="10" s="1"/>
  <c r="GJ13" i="10"/>
  <c r="GK13" i="10" s="1"/>
  <c r="GD20" i="10"/>
  <c r="GE20" i="10" s="1"/>
  <c r="FX21" i="10"/>
  <c r="FC10" i="10"/>
  <c r="FD10" i="10" s="1"/>
  <c r="FC13" i="10"/>
  <c r="FD13" i="10" s="1"/>
  <c r="EV13" i="10"/>
  <c r="EW13" i="10" s="1"/>
  <c r="EI4" i="10"/>
  <c r="EJ4" i="10" s="1"/>
  <c r="EI20" i="10"/>
  <c r="EJ20" i="10" s="1"/>
  <c r="EB13" i="10"/>
  <c r="EC13" i="10" s="1"/>
  <c r="DH13" i="10"/>
  <c r="DI13" i="10" s="1"/>
  <c r="DO10" i="10"/>
  <c r="DP10" i="10" s="1"/>
  <c r="DO13" i="10"/>
  <c r="DP13" i="10" s="1"/>
  <c r="DC21" i="10"/>
  <c r="DP21" i="10"/>
  <c r="CH13" i="10"/>
  <c r="CI13" i="10" s="1"/>
  <c r="BT13" i="10"/>
  <c r="BU13" i="10" s="1"/>
  <c r="BT16" i="10"/>
  <c r="BU16" i="10" s="1"/>
  <c r="CA20" i="10"/>
  <c r="CB20" i="10" s="1"/>
  <c r="CA13" i="10"/>
  <c r="CB13" i="10" s="1"/>
  <c r="AZ13" i="10"/>
  <c r="BA13" i="10" s="1"/>
  <c r="BG16" i="10"/>
  <c r="BH16" i="10" s="1"/>
  <c r="AT13" i="10"/>
  <c r="AU13" i="10" s="1"/>
  <c r="CB5" i="10"/>
  <c r="CA4" i="10"/>
  <c r="CB4" i="10" s="1"/>
  <c r="IF5" i="10"/>
  <c r="IE4" i="10"/>
  <c r="IF4" i="10" s="1"/>
  <c r="HL5" i="10"/>
  <c r="HK4" i="10"/>
  <c r="HL4" i="10" s="1"/>
  <c r="NP5" i="10"/>
  <c r="NO4" i="10"/>
  <c r="NP4" i="10" s="1"/>
  <c r="TT5" i="10"/>
  <c r="TS4" i="10"/>
  <c r="TT4" i="10" s="1"/>
  <c r="VN5" i="10"/>
  <c r="VM4" i="10"/>
  <c r="VN4" i="10" s="1"/>
  <c r="CV6" i="10"/>
  <c r="CU4" i="10"/>
  <c r="CV4" i="10" s="1"/>
  <c r="FX6" i="10"/>
  <c r="FW4" i="10"/>
  <c r="FX4" i="10" s="1"/>
  <c r="GE8" i="10"/>
  <c r="GS8" i="10"/>
  <c r="GT8" i="10" s="1"/>
  <c r="DW11" i="10"/>
  <c r="DV10" i="10"/>
  <c r="DW10" i="10" s="1"/>
  <c r="FX11" i="10"/>
  <c r="FW10" i="10"/>
  <c r="FX10" i="10" s="1"/>
  <c r="IZ11" i="10"/>
  <c r="IY10" i="10"/>
  <c r="IZ10" i="10" s="1"/>
  <c r="MB11" i="10"/>
  <c r="MA10" i="10"/>
  <c r="MB10" i="10" s="1"/>
  <c r="OC11" i="10"/>
  <c r="OB10" i="10"/>
  <c r="OC10" i="10" s="1"/>
  <c r="HL12" i="10"/>
  <c r="HK10" i="10"/>
  <c r="HL10" i="10" s="1"/>
  <c r="NP12" i="10"/>
  <c r="NO10" i="10"/>
  <c r="NP10" i="10" s="1"/>
  <c r="HK13" i="10"/>
  <c r="HL13" i="10" s="1"/>
  <c r="BO14" i="10"/>
  <c r="BN13" i="10"/>
  <c r="BO13" i="10" s="1"/>
  <c r="CO14" i="10"/>
  <c r="CN13" i="10"/>
  <c r="CO13" i="10" s="1"/>
  <c r="FQ14" i="10"/>
  <c r="FP13" i="10"/>
  <c r="FQ13" i="10" s="1"/>
  <c r="GR14" i="10"/>
  <c r="GQ13" i="10"/>
  <c r="GR13" i="10" s="1"/>
  <c r="HS14" i="10"/>
  <c r="HR13" i="10"/>
  <c r="HS13" i="10" s="1"/>
  <c r="IS14" i="10"/>
  <c r="IR13" i="10"/>
  <c r="IS13" i="10" s="1"/>
  <c r="LU14" i="10"/>
  <c r="LT13" i="10"/>
  <c r="LU13" i="10" s="1"/>
  <c r="MV14" i="10"/>
  <c r="MU13" i="10"/>
  <c r="MV13" i="10" s="1"/>
  <c r="RY14" i="10"/>
  <c r="RX13" i="10"/>
  <c r="RY13" i="10" s="1"/>
  <c r="SZ14" i="10"/>
  <c r="SY13" i="10"/>
  <c r="SZ13" i="10" s="1"/>
  <c r="UA14" i="10"/>
  <c r="TZ13" i="10"/>
  <c r="UA13" i="10" s="1"/>
  <c r="UW14" i="10"/>
  <c r="UV13" i="10"/>
  <c r="UW13" i="10" s="1"/>
  <c r="VS14" i="10"/>
  <c r="VR13" i="10"/>
  <c r="VS13" i="10" s="1"/>
  <c r="LH15" i="10"/>
  <c r="LG13" i="10"/>
  <c r="LH13" i="10" s="1"/>
  <c r="UK18" i="10"/>
  <c r="UJ16" i="10"/>
  <c r="UK16" i="10" s="1"/>
  <c r="VI18" i="10"/>
  <c r="VH16" i="10"/>
  <c r="VI16" i="10" s="1"/>
  <c r="JT19" i="10"/>
  <c r="JS16" i="10"/>
  <c r="JT16" i="10" s="1"/>
  <c r="KG21" i="10"/>
  <c r="KF20" i="10"/>
  <c r="KG20" i="10" s="1"/>
  <c r="PQ21" i="10"/>
  <c r="PP20" i="10"/>
  <c r="PQ20" i="10" s="1"/>
  <c r="UA21" i="10"/>
  <c r="TZ20" i="10"/>
  <c r="UA20" i="10" s="1"/>
  <c r="FD5" i="10"/>
  <c r="FC4" i="10"/>
  <c r="FD4" i="10" s="1"/>
  <c r="KN5" i="10"/>
  <c r="KM4" i="10"/>
  <c r="KN4" i="10" s="1"/>
  <c r="QR5" i="10"/>
  <c r="QQ4" i="10"/>
  <c r="QR4" i="10" s="1"/>
  <c r="UR5" i="10"/>
  <c r="UQ4" i="10"/>
  <c r="UR4" i="10" s="1"/>
  <c r="T6" i="10"/>
  <c r="S4" i="10"/>
  <c r="T4" i="10" s="1"/>
  <c r="AM4" i="10"/>
  <c r="AN4" i="10" s="1"/>
  <c r="GJ4" i="10"/>
  <c r="GK4" i="10" s="1"/>
  <c r="LG4" i="10"/>
  <c r="LH4" i="10" s="1"/>
  <c r="RK4" i="10"/>
  <c r="RL4" i="10" s="1"/>
  <c r="UV4" i="10"/>
  <c r="UW4" i="10" s="1"/>
  <c r="CB11" i="10"/>
  <c r="CA10" i="10"/>
  <c r="CB10" i="10" s="1"/>
  <c r="EC11" i="10"/>
  <c r="EB10" i="10"/>
  <c r="EC10" i="10" s="1"/>
  <c r="UW17" i="10"/>
  <c r="UV16" i="10"/>
  <c r="UW16" i="10" s="1"/>
  <c r="VT19" i="10"/>
  <c r="VU19" i="10" s="1"/>
  <c r="VI19" i="10"/>
  <c r="BH21" i="10"/>
  <c r="BG20" i="10"/>
  <c r="BH20" i="10" s="1"/>
  <c r="CW21" i="10"/>
  <c r="CH20" i="10"/>
  <c r="CI20" i="10" s="1"/>
  <c r="CI21" i="10"/>
  <c r="FE21" i="10"/>
  <c r="FE20" i="10" s="1"/>
  <c r="FF20" i="10" s="1"/>
  <c r="EQ21" i="10"/>
  <c r="JM21" i="10"/>
  <c r="JL20" i="10"/>
  <c r="JM20" i="10" s="1"/>
  <c r="NC21" i="10"/>
  <c r="NB20" i="10"/>
  <c r="NC20" i="10" s="1"/>
  <c r="SM21" i="10"/>
  <c r="SL20" i="10"/>
  <c r="SM20" i="10" s="1"/>
  <c r="BG4" i="10"/>
  <c r="BH4" i="10" s="1"/>
  <c r="GQ4" i="10"/>
  <c r="GR4" i="10" s="1"/>
  <c r="MA4" i="10"/>
  <c r="MB4" i="10" s="1"/>
  <c r="SE4" i="10"/>
  <c r="SF4" i="10" s="1"/>
  <c r="VA4" i="10"/>
  <c r="VB4" i="10" s="1"/>
  <c r="FJ10" i="10"/>
  <c r="FK10" i="10" s="1"/>
  <c r="IL10" i="10"/>
  <c r="IM10" i="10" s="1"/>
  <c r="MU10" i="10"/>
  <c r="MV10" i="10" s="1"/>
  <c r="RK10" i="10"/>
  <c r="RL10" i="10" s="1"/>
  <c r="L13" i="10"/>
  <c r="M13" i="10" s="1"/>
  <c r="KM13" i="10"/>
  <c r="KN13" i="10" s="1"/>
  <c r="PW13" i="10"/>
  <c r="PX13" i="10" s="1"/>
  <c r="EP13" i="10"/>
  <c r="EQ13" i="10" s="1"/>
  <c r="KT13" i="10"/>
  <c r="KU13" i="10" s="1"/>
  <c r="NV13" i="10"/>
  <c r="NW13" i="10" s="1"/>
  <c r="FX17" i="10"/>
  <c r="FW16" i="10"/>
  <c r="FX16" i="10" s="1"/>
  <c r="IZ17" i="10"/>
  <c r="IY16" i="10"/>
  <c r="IZ16" i="10" s="1"/>
  <c r="MB17" i="10"/>
  <c r="MA16" i="10"/>
  <c r="MB16" i="10" s="1"/>
  <c r="PD17" i="10"/>
  <c r="PC16" i="10"/>
  <c r="PD16" i="10" s="1"/>
  <c r="QE17" i="10"/>
  <c r="QD16" i="10"/>
  <c r="QE16" i="10" s="1"/>
  <c r="SF17" i="10"/>
  <c r="SE16" i="10"/>
  <c r="SF16" i="10" s="1"/>
  <c r="UF17" i="10"/>
  <c r="UE16" i="10"/>
  <c r="UF16" i="10" s="1"/>
  <c r="EP20" i="10"/>
  <c r="EQ20" i="10" s="1"/>
  <c r="M21" i="10"/>
  <c r="L20" i="10"/>
  <c r="M20" i="10" s="1"/>
  <c r="FQ21" i="10"/>
  <c r="FP20" i="10"/>
  <c r="FQ20" i="10" s="1"/>
  <c r="GY21" i="10"/>
  <c r="GX20" i="10"/>
  <c r="GY20" i="10" s="1"/>
  <c r="MI21" i="10"/>
  <c r="MH20" i="10"/>
  <c r="MI20" i="10" s="1"/>
  <c r="UK5" i="10"/>
  <c r="UJ4" i="10"/>
  <c r="UK4" i="10" s="1"/>
  <c r="VI5" i="10"/>
  <c r="VH4" i="10"/>
  <c r="VI4" i="10" s="1"/>
  <c r="FE6" i="10"/>
  <c r="FF6" i="10" s="1"/>
  <c r="IG6" i="10"/>
  <c r="IH6" i="10" s="1"/>
  <c r="JT6" i="10"/>
  <c r="JS4" i="10"/>
  <c r="JT4" i="10" s="1"/>
  <c r="LI6" i="10"/>
  <c r="LJ6" i="10" s="1"/>
  <c r="MV6" i="10"/>
  <c r="MU4" i="10"/>
  <c r="MV4" i="10" s="1"/>
  <c r="PX6" i="10"/>
  <c r="PW4" i="10"/>
  <c r="PX4" i="10" s="1"/>
  <c r="SZ6" i="10"/>
  <c r="SY4" i="10"/>
  <c r="SZ4" i="10" s="1"/>
  <c r="OV4" i="10"/>
  <c r="OW4" i="10" s="1"/>
  <c r="DB10" i="10"/>
  <c r="DC10" i="10" s="1"/>
  <c r="HS11" i="10"/>
  <c r="HR10" i="10"/>
  <c r="HS10" i="10" s="1"/>
  <c r="IS11" i="10"/>
  <c r="IR10" i="10"/>
  <c r="IS10" i="10" s="1"/>
  <c r="PX11" i="10"/>
  <c r="PW10" i="10"/>
  <c r="PX10" i="10" s="1"/>
  <c r="SZ11" i="10"/>
  <c r="SY10" i="10"/>
  <c r="SZ10" i="10" s="1"/>
  <c r="UA11" i="10"/>
  <c r="TZ10" i="10"/>
  <c r="UA10" i="10" s="1"/>
  <c r="UW11" i="10"/>
  <c r="UV10" i="10"/>
  <c r="UW10" i="10" s="1"/>
  <c r="LH12" i="10"/>
  <c r="LG10" i="10"/>
  <c r="LH10" i="10" s="1"/>
  <c r="PK12" i="10"/>
  <c r="PJ10" i="10"/>
  <c r="PK10" i="10" s="1"/>
  <c r="G14" i="10"/>
  <c r="F13" i="10"/>
  <c r="G13" i="10" s="1"/>
  <c r="AG14" i="10"/>
  <c r="AF13" i="10"/>
  <c r="AG13" i="10" s="1"/>
  <c r="BH14" i="10"/>
  <c r="BG13" i="10"/>
  <c r="BH13" i="10" s="1"/>
  <c r="EJ14" i="10"/>
  <c r="EI13" i="10"/>
  <c r="EJ13" i="10" s="1"/>
  <c r="MO14" i="10"/>
  <c r="MN13" i="10"/>
  <c r="MO13" i="10" s="1"/>
  <c r="NP14" i="10"/>
  <c r="NO13" i="10"/>
  <c r="NP13" i="10" s="1"/>
  <c r="PQ14" i="10"/>
  <c r="PP13" i="10"/>
  <c r="PQ13" i="10" s="1"/>
  <c r="QR14" i="10"/>
  <c r="QQ13" i="10"/>
  <c r="QR13" i="10" s="1"/>
  <c r="RS14" i="10"/>
  <c r="RR13" i="10"/>
  <c r="RS13" i="10" s="1"/>
  <c r="SS14" i="10"/>
  <c r="SR13" i="10"/>
  <c r="SS13" i="10" s="1"/>
  <c r="TT14" i="10"/>
  <c r="TS13" i="10"/>
  <c r="TT13" i="10" s="1"/>
  <c r="UR14" i="10"/>
  <c r="UQ13" i="10"/>
  <c r="UR13" i="10" s="1"/>
  <c r="VN14" i="10"/>
  <c r="VM13" i="10"/>
  <c r="VN13" i="10" s="1"/>
  <c r="PD15" i="10"/>
  <c r="PC13" i="10"/>
  <c r="PD13" i="10" s="1"/>
  <c r="CU16" i="10"/>
  <c r="CV16" i="10" s="1"/>
  <c r="VR16" i="10"/>
  <c r="VS16" i="10" s="1"/>
  <c r="VS19" i="10"/>
  <c r="BI21" i="10"/>
  <c r="BI20" i="10" s="1"/>
  <c r="BJ20" i="10" s="1"/>
  <c r="AU21" i="10"/>
  <c r="AT20" i="10"/>
  <c r="AU20" i="10" s="1"/>
  <c r="BT20" i="10"/>
  <c r="BU20" i="10" s="1"/>
  <c r="BU21" i="10"/>
  <c r="CU20" i="10"/>
  <c r="CV20" i="10" s="1"/>
  <c r="CV21" i="10"/>
  <c r="EB20" i="10"/>
  <c r="EC20" i="10" s="1"/>
  <c r="EC21" i="10"/>
  <c r="QK21" i="10"/>
  <c r="QJ20" i="10"/>
  <c r="QK20" i="10" s="1"/>
  <c r="QS19" i="10"/>
  <c r="QT19" i="10" s="1"/>
  <c r="RM19" i="10"/>
  <c r="RN19" i="10" s="1"/>
  <c r="SG19" i="10"/>
  <c r="SH19" i="10" s="1"/>
  <c r="AO21" i="10"/>
  <c r="DR21" i="10"/>
  <c r="JA21" i="10"/>
  <c r="JB21" i="10" s="1"/>
  <c r="PE21" i="10"/>
  <c r="PF21" i="10" s="1"/>
  <c r="TU21" i="10"/>
  <c r="TU20" i="10" s="1"/>
  <c r="TV20" i="10" s="1"/>
  <c r="GS6" i="10"/>
  <c r="GT6" i="10" s="1"/>
  <c r="JU6" i="10"/>
  <c r="JV6" i="10" s="1"/>
  <c r="SG15" i="10"/>
  <c r="SH15" i="10" s="1"/>
  <c r="UA15" i="10"/>
  <c r="VT15" i="10"/>
  <c r="VU15" i="10" s="1"/>
  <c r="DB16" i="10"/>
  <c r="DC16" i="10" s="1"/>
  <c r="IR16" i="10"/>
  <c r="IS16" i="10" s="1"/>
  <c r="KM16" i="10"/>
  <c r="KN16" i="10" s="1"/>
  <c r="MH16" i="10"/>
  <c r="MI16" i="10" s="1"/>
  <c r="OI16" i="10"/>
  <c r="OJ16" i="10" s="1"/>
  <c r="QQ16" i="10"/>
  <c r="QR16" i="10" s="1"/>
  <c r="SR16" i="10"/>
  <c r="SS16" i="10" s="1"/>
  <c r="VA16" i="10"/>
  <c r="VB16" i="10" s="1"/>
  <c r="DH16" i="10"/>
  <c r="DI16" i="10" s="1"/>
  <c r="PP16" i="10"/>
  <c r="PQ16" i="10" s="1"/>
  <c r="PE19" i="10"/>
  <c r="PF19" i="10" s="1"/>
  <c r="TA19" i="10"/>
  <c r="TB19" i="10" s="1"/>
  <c r="U21" i="10"/>
  <c r="CC21" i="10"/>
  <c r="CC20" i="10" s="1"/>
  <c r="CD20" i="10" s="1"/>
  <c r="EK21" i="10"/>
  <c r="EK20" i="10" s="1"/>
  <c r="EL20" i="10" s="1"/>
  <c r="FY21" i="10"/>
  <c r="GE21" i="10"/>
  <c r="KO21" i="10"/>
  <c r="KP21" i="10" s="1"/>
  <c r="QS21" i="10"/>
  <c r="QT21" i="10" s="1"/>
  <c r="RM15" i="10"/>
  <c r="RN15" i="10" s="1"/>
  <c r="FY6" i="10"/>
  <c r="FZ6" i="10" s="1"/>
  <c r="JA6" i="10"/>
  <c r="JB6" i="10" s="1"/>
  <c r="GJ10" i="10"/>
  <c r="GK10" i="10" s="1"/>
  <c r="VH10" i="10"/>
  <c r="VI10" i="10" s="1"/>
  <c r="PP10" i="10"/>
  <c r="PQ10" i="10" s="1"/>
  <c r="CU13" i="10"/>
  <c r="CV13" i="10" s="1"/>
  <c r="FW13" i="10"/>
  <c r="FX13" i="10" s="1"/>
  <c r="GX13" i="10"/>
  <c r="GY13" i="10" s="1"/>
  <c r="HX13" i="10"/>
  <c r="HY13" i="10" s="1"/>
  <c r="IY13" i="10"/>
  <c r="IZ13" i="10" s="1"/>
  <c r="OB13" i="10"/>
  <c r="OC13" i="10" s="1"/>
  <c r="TA15" i="10"/>
  <c r="TB15" i="10" s="1"/>
  <c r="VC15" i="10"/>
  <c r="VD15" i="10" s="1"/>
  <c r="VI15" i="10"/>
  <c r="EI16" i="10"/>
  <c r="EJ16" i="10" s="1"/>
  <c r="LG16" i="10"/>
  <c r="LH16" i="10" s="1"/>
  <c r="RK16" i="10"/>
  <c r="RL16" i="10" s="1"/>
  <c r="OQ19" i="10"/>
  <c r="SM19" i="10"/>
  <c r="UL19" i="10"/>
  <c r="UM19" i="10" s="1"/>
  <c r="F20" i="10"/>
  <c r="G20" i="10" s="1"/>
  <c r="S20" i="10"/>
  <c r="T20" i="10" s="1"/>
  <c r="AZ20" i="10"/>
  <c r="BA20" i="10" s="1"/>
  <c r="G21" i="10"/>
  <c r="BO21" i="10"/>
  <c r="DW21" i="10"/>
  <c r="GT21" i="10"/>
  <c r="TL16" i="10"/>
  <c r="TM16" i="10" s="1"/>
  <c r="TL10" i="10"/>
  <c r="TM10" i="10" s="1"/>
  <c r="TL4" i="10"/>
  <c r="TM4" i="10" s="1"/>
  <c r="SR4" i="10"/>
  <c r="SS4" i="10" s="1"/>
  <c r="TA8" i="10"/>
  <c r="TB8" i="10" s="1"/>
  <c r="RX10" i="10"/>
  <c r="RY10" i="10" s="1"/>
  <c r="RX4" i="10"/>
  <c r="RY4" i="10" s="1"/>
  <c r="RD16" i="10"/>
  <c r="RE16" i="10" s="1"/>
  <c r="RD4" i="10"/>
  <c r="RE4" i="10" s="1"/>
  <c r="QJ16" i="10"/>
  <c r="QK16" i="10" s="1"/>
  <c r="QJ10" i="10"/>
  <c r="QK10" i="10" s="1"/>
  <c r="QJ4" i="10"/>
  <c r="QK4" i="10" s="1"/>
  <c r="PQ17" i="10"/>
  <c r="PQ11" i="10"/>
  <c r="PP4" i="10"/>
  <c r="PQ4" i="10" s="1"/>
  <c r="PY8" i="10"/>
  <c r="PZ8" i="10" s="1"/>
  <c r="OV16" i="10"/>
  <c r="OW16" i="10" s="1"/>
  <c r="OV10" i="10"/>
  <c r="OW10" i="10" s="1"/>
  <c r="OW8" i="10"/>
  <c r="OB16" i="10"/>
  <c r="OC16" i="10" s="1"/>
  <c r="OB4" i="10"/>
  <c r="OC4" i="10" s="1"/>
  <c r="NH16" i="10"/>
  <c r="NI16" i="10" s="1"/>
  <c r="NH10" i="10"/>
  <c r="NI10" i="10" s="1"/>
  <c r="NH4" i="10"/>
  <c r="NI4" i="10" s="1"/>
  <c r="MN10" i="10"/>
  <c r="MO10" i="10" s="1"/>
  <c r="MN4" i="10"/>
  <c r="MO4" i="10" s="1"/>
  <c r="MW8" i="10"/>
  <c r="MX8" i="10" s="1"/>
  <c r="LT16" i="10"/>
  <c r="LU16" i="10" s="1"/>
  <c r="LT10" i="10"/>
  <c r="LU10" i="10" s="1"/>
  <c r="LT4" i="10"/>
  <c r="LU4" i="10" s="1"/>
  <c r="KZ16" i="10"/>
  <c r="LA16" i="10" s="1"/>
  <c r="KZ10" i="10"/>
  <c r="LA10" i="10" s="1"/>
  <c r="KZ4" i="10"/>
  <c r="LA4" i="10" s="1"/>
  <c r="KF16" i="10"/>
  <c r="KG16" i="10" s="1"/>
  <c r="KF10" i="10"/>
  <c r="KG10" i="10" s="1"/>
  <c r="KF4" i="10"/>
  <c r="KG4" i="10" s="1"/>
  <c r="JL10" i="10"/>
  <c r="JM10" i="10" s="1"/>
  <c r="JU8" i="10"/>
  <c r="JV8" i="10" s="1"/>
  <c r="JL4" i="10"/>
  <c r="JM4" i="10" s="1"/>
  <c r="HX16" i="10"/>
  <c r="HY16" i="10" s="1"/>
  <c r="HX10" i="10"/>
  <c r="HY10" i="10" s="1"/>
  <c r="HX4" i="10"/>
  <c r="HY4" i="10" s="1"/>
  <c r="HD16" i="10"/>
  <c r="HE16" i="10" s="1"/>
  <c r="HD10" i="10"/>
  <c r="HE10" i="10" s="1"/>
  <c r="HD4" i="10"/>
  <c r="HE4" i="10" s="1"/>
  <c r="FP10" i="10"/>
  <c r="FQ10" i="10" s="1"/>
  <c r="FP4" i="10"/>
  <c r="FQ4" i="10" s="1"/>
  <c r="EV4" i="10"/>
  <c r="EW4" i="10" s="1"/>
  <c r="EB4" i="10"/>
  <c r="EC4" i="10" s="1"/>
  <c r="DQ8" i="10"/>
  <c r="DR8" i="10" s="1"/>
  <c r="DH4" i="10"/>
  <c r="DI4" i="10" s="1"/>
  <c r="CN10" i="10"/>
  <c r="CO10" i="10" s="1"/>
  <c r="CN4" i="10"/>
  <c r="CO4" i="10" s="1"/>
  <c r="BT4" i="10"/>
  <c r="BU4" i="10" s="1"/>
  <c r="AZ10" i="10"/>
  <c r="BA10" i="10" s="1"/>
  <c r="AZ4" i="10"/>
  <c r="BA4" i="10" s="1"/>
  <c r="AF4" i="10"/>
  <c r="AG4" i="10" s="1"/>
  <c r="L4" i="10"/>
  <c r="M4" i="10" s="1"/>
  <c r="TF10" i="10"/>
  <c r="TG10" i="10" s="1"/>
  <c r="TF4" i="10"/>
  <c r="TG4" i="10" s="1"/>
  <c r="SL10" i="10"/>
  <c r="SM10" i="10" s="1"/>
  <c r="RR16" i="10"/>
  <c r="RS16" i="10" s="1"/>
  <c r="RR10" i="10"/>
  <c r="RS10" i="10" s="1"/>
  <c r="RR4" i="10"/>
  <c r="RS4" i="10" s="1"/>
  <c r="QX10" i="10"/>
  <c r="QY10" i="10" s="1"/>
  <c r="QX4" i="10"/>
  <c r="QY4" i="10" s="1"/>
  <c r="PJ16" i="10"/>
  <c r="PK16" i="10" s="1"/>
  <c r="OP10" i="10"/>
  <c r="OQ10" i="10" s="1"/>
  <c r="NV10" i="10"/>
  <c r="NW10" i="10" s="1"/>
  <c r="NB10" i="10"/>
  <c r="NC10" i="10" s="1"/>
  <c r="MH4" i="10"/>
  <c r="MI4" i="10" s="1"/>
  <c r="LN10" i="10"/>
  <c r="LO10" i="10" s="1"/>
  <c r="LN4" i="10"/>
  <c r="LO4" i="10" s="1"/>
  <c r="KT10" i="10"/>
  <c r="KU10" i="10" s="1"/>
  <c r="JZ16" i="10"/>
  <c r="KA16" i="10" s="1"/>
  <c r="JZ10" i="10"/>
  <c r="KA10" i="10" s="1"/>
  <c r="JF10" i="10"/>
  <c r="JG10" i="10" s="1"/>
  <c r="IL4" i="10"/>
  <c r="IM4" i="10" s="1"/>
  <c r="GX10" i="10"/>
  <c r="GY10" i="10" s="1"/>
  <c r="GD10" i="10"/>
  <c r="GE10" i="10" s="1"/>
  <c r="FJ16" i="10"/>
  <c r="FK16" i="10" s="1"/>
  <c r="EP10" i="10"/>
  <c r="EQ10" i="10" s="1"/>
  <c r="CH16" i="10"/>
  <c r="CI16" i="10" s="1"/>
  <c r="CH10" i="10"/>
  <c r="CI10" i="10" s="1"/>
  <c r="BN10" i="10"/>
  <c r="BO10" i="10" s="1"/>
  <c r="AT10" i="10"/>
  <c r="AU10" i="10" s="1"/>
  <c r="Z16" i="10"/>
  <c r="AA16" i="10" s="1"/>
  <c r="Z10" i="10"/>
  <c r="AA10" i="10" s="1"/>
  <c r="F10" i="10"/>
  <c r="G10" i="10" s="1"/>
  <c r="TF16" i="10"/>
  <c r="TG16" i="10" s="1"/>
  <c r="TG15" i="10"/>
  <c r="SL16" i="10"/>
  <c r="SM16" i="10" s="1"/>
  <c r="SM15" i="10"/>
  <c r="SL4" i="10"/>
  <c r="SM4" i="10" s="1"/>
  <c r="RS15" i="10"/>
  <c r="QX16" i="10"/>
  <c r="QY16" i="10" s="1"/>
  <c r="QX13" i="10"/>
  <c r="QY13" i="10" s="1"/>
  <c r="QD4" i="10"/>
  <c r="QE4" i="10" s="1"/>
  <c r="PJ4" i="10"/>
  <c r="PK4" i="10" s="1"/>
  <c r="OP16" i="10"/>
  <c r="OQ16" i="10" s="1"/>
  <c r="OP4" i="10"/>
  <c r="OQ4" i="10" s="1"/>
  <c r="NV16" i="10"/>
  <c r="NW16" i="10" s="1"/>
  <c r="NV4" i="10"/>
  <c r="NW4" i="10" s="1"/>
  <c r="NB16" i="10"/>
  <c r="NC16" i="10" s="1"/>
  <c r="NB4" i="10"/>
  <c r="NC4" i="10" s="1"/>
  <c r="KT16" i="10"/>
  <c r="KU16" i="10" s="1"/>
  <c r="KT4" i="10"/>
  <c r="KU4" i="10" s="1"/>
  <c r="JZ4" i="10"/>
  <c r="KA4" i="10" s="1"/>
  <c r="JF16" i="10"/>
  <c r="JG16" i="10" s="1"/>
  <c r="JF4" i="10"/>
  <c r="JG4" i="10" s="1"/>
  <c r="IL16" i="10"/>
  <c r="IM16" i="10" s="1"/>
  <c r="HR16" i="10"/>
  <c r="HS16" i="10" s="1"/>
  <c r="HR4" i="10"/>
  <c r="HS4" i="10" s="1"/>
  <c r="GX16" i="10"/>
  <c r="GY16" i="10" s="1"/>
  <c r="GX4" i="10"/>
  <c r="GY4" i="10" s="1"/>
  <c r="GD16" i="10"/>
  <c r="GE16" i="10" s="1"/>
  <c r="GD4" i="10"/>
  <c r="GE4" i="10" s="1"/>
  <c r="FJ4" i="10"/>
  <c r="FK4" i="10" s="1"/>
  <c r="EP16" i="10"/>
  <c r="EQ16" i="10" s="1"/>
  <c r="EP4" i="10"/>
  <c r="EQ4" i="10" s="1"/>
  <c r="DV16" i="10"/>
  <c r="DW16" i="10" s="1"/>
  <c r="DV4" i="10"/>
  <c r="DW4" i="10" s="1"/>
  <c r="DB4" i="10"/>
  <c r="DC4" i="10" s="1"/>
  <c r="CH4" i="10"/>
  <c r="CI4" i="10" s="1"/>
  <c r="BN16" i="10"/>
  <c r="BO16" i="10" s="1"/>
  <c r="BN4" i="10"/>
  <c r="BO4" i="10" s="1"/>
  <c r="AT16" i="10"/>
  <c r="AU16" i="10" s="1"/>
  <c r="AT4" i="10"/>
  <c r="AU4" i="10" s="1"/>
  <c r="Z4" i="10"/>
  <c r="AA4" i="10" s="1"/>
  <c r="F16" i="10"/>
  <c r="G16" i="10" s="1"/>
  <c r="F4" i="10"/>
  <c r="G4" i="10" s="1"/>
  <c r="EM1" i="12"/>
  <c r="EK6" i="10"/>
  <c r="EL6" i="10" s="1"/>
  <c r="DW6" i="10"/>
  <c r="DQ6" i="10"/>
  <c r="DR6" i="10" s="1"/>
  <c r="DC6" i="10"/>
  <c r="GA1" i="10"/>
  <c r="U5" i="10"/>
  <c r="AO5" i="10"/>
  <c r="BI5" i="10"/>
  <c r="CC5" i="10"/>
  <c r="CW5" i="10"/>
  <c r="DQ5" i="10"/>
  <c r="EK5" i="10"/>
  <c r="FE5" i="10"/>
  <c r="FY5" i="10"/>
  <c r="GS5" i="10"/>
  <c r="HM5" i="10"/>
  <c r="IG5" i="10"/>
  <c r="JA5" i="10"/>
  <c r="JU5" i="10"/>
  <c r="KO5" i="10"/>
  <c r="LI5" i="10"/>
  <c r="MC5" i="10"/>
  <c r="MW5" i="10"/>
  <c r="NQ5" i="10"/>
  <c r="OK5" i="10"/>
  <c r="PE5" i="10"/>
  <c r="PY5" i="10"/>
  <c r="QS5" i="10"/>
  <c r="RM5" i="10"/>
  <c r="SG5" i="10"/>
  <c r="TA5" i="10"/>
  <c r="TU5" i="10"/>
  <c r="UL5" i="10"/>
  <c r="VC5" i="10"/>
  <c r="VT5" i="10"/>
  <c r="U6" i="10"/>
  <c r="V6" i="10" s="1"/>
  <c r="AO6" i="10"/>
  <c r="AP6" i="10" s="1"/>
  <c r="BI6" i="10"/>
  <c r="BJ6" i="10" s="1"/>
  <c r="CW6" i="10"/>
  <c r="CX6" i="10" s="1"/>
  <c r="CI6" i="10"/>
  <c r="CC6" i="10"/>
  <c r="CD6" i="10" s="1"/>
  <c r="BO6" i="10"/>
  <c r="OK8" i="10"/>
  <c r="OL8" i="10" s="1"/>
  <c r="UL8" i="10"/>
  <c r="UM8" i="10" s="1"/>
  <c r="EQ6" i="10"/>
  <c r="FK6" i="10"/>
  <c r="GE6" i="10"/>
  <c r="GY6" i="10"/>
  <c r="HS6" i="10"/>
  <c r="IM6" i="10"/>
  <c r="JG6" i="10"/>
  <c r="KU6" i="10"/>
  <c r="MW6" i="10"/>
  <c r="MX6" i="10" s="1"/>
  <c r="OK6" i="10"/>
  <c r="OL6" i="10" s="1"/>
  <c r="PY6" i="10"/>
  <c r="PZ6" i="10" s="1"/>
  <c r="RM6" i="10"/>
  <c r="RN6" i="10" s="1"/>
  <c r="TA6" i="10"/>
  <c r="TB6" i="10" s="1"/>
  <c r="UL6" i="10"/>
  <c r="UM6" i="10" s="1"/>
  <c r="VT6" i="10"/>
  <c r="VU6" i="10" s="1"/>
  <c r="AO7" i="10"/>
  <c r="AP7" i="10" s="1"/>
  <c r="CC7" i="10"/>
  <c r="CD7" i="10" s="1"/>
  <c r="DQ7" i="10"/>
  <c r="DR7" i="10" s="1"/>
  <c r="FE7" i="10"/>
  <c r="FF7" i="10" s="1"/>
  <c r="GS7" i="10"/>
  <c r="GT7" i="10" s="1"/>
  <c r="IG7" i="10"/>
  <c r="IH7" i="10" s="1"/>
  <c r="JU7" i="10"/>
  <c r="JV7" i="10" s="1"/>
  <c r="LI7" i="10"/>
  <c r="LJ7" i="10" s="1"/>
  <c r="MW7" i="10"/>
  <c r="MX7" i="10" s="1"/>
  <c r="OK7" i="10"/>
  <c r="OL7" i="10" s="1"/>
  <c r="PY7" i="10"/>
  <c r="PZ7" i="10" s="1"/>
  <c r="RM7" i="10"/>
  <c r="RN7" i="10" s="1"/>
  <c r="TA7" i="10"/>
  <c r="TB7" i="10" s="1"/>
  <c r="UL7" i="10"/>
  <c r="UM7" i="10" s="1"/>
  <c r="VT7" i="10"/>
  <c r="VU7" i="10" s="1"/>
  <c r="AO8" i="10"/>
  <c r="AP8" i="10" s="1"/>
  <c r="KO6" i="10"/>
  <c r="KP6" i="10" s="1"/>
  <c r="LI8" i="10"/>
  <c r="LJ8" i="10" s="1"/>
  <c r="RM8" i="10"/>
  <c r="RN8" i="10" s="1"/>
  <c r="VT8" i="10"/>
  <c r="VU8" i="10" s="1"/>
  <c r="MC6" i="10"/>
  <c r="MD6" i="10" s="1"/>
  <c r="NQ6" i="10"/>
  <c r="NR6" i="10" s="1"/>
  <c r="PE6" i="10"/>
  <c r="PF6" i="10" s="1"/>
  <c r="QS6" i="10"/>
  <c r="QT6" i="10" s="1"/>
  <c r="SG6" i="10"/>
  <c r="SH6" i="10" s="1"/>
  <c r="TU6" i="10"/>
  <c r="TV6" i="10" s="1"/>
  <c r="VC6" i="10"/>
  <c r="VD6" i="10" s="1"/>
  <c r="U7" i="10"/>
  <c r="V7" i="10" s="1"/>
  <c r="BI7" i="10"/>
  <c r="BJ7" i="10" s="1"/>
  <c r="CW7" i="10"/>
  <c r="CX7" i="10" s="1"/>
  <c r="EK7" i="10"/>
  <c r="EL7" i="10" s="1"/>
  <c r="FY7" i="10"/>
  <c r="FZ7" i="10" s="1"/>
  <c r="HM7" i="10"/>
  <c r="HN7" i="10" s="1"/>
  <c r="JA7" i="10"/>
  <c r="JB7" i="10" s="1"/>
  <c r="KO7" i="10"/>
  <c r="KP7" i="10" s="1"/>
  <c r="MC7" i="10"/>
  <c r="MD7" i="10" s="1"/>
  <c r="NQ7" i="10"/>
  <c r="NR7" i="10" s="1"/>
  <c r="PE7" i="10"/>
  <c r="PF7" i="10" s="1"/>
  <c r="QS7" i="10"/>
  <c r="QT7" i="10" s="1"/>
  <c r="SG7" i="10"/>
  <c r="SH7" i="10" s="1"/>
  <c r="TU7" i="10"/>
  <c r="TV7" i="10" s="1"/>
  <c r="VC7" i="10"/>
  <c r="VD7" i="10" s="1"/>
  <c r="U8" i="10"/>
  <c r="V8" i="10" s="1"/>
  <c r="BI8" i="10"/>
  <c r="BJ8" i="10" s="1"/>
  <c r="AU8" i="10"/>
  <c r="CC8" i="10"/>
  <c r="CD8" i="10" s="1"/>
  <c r="FE8" i="10"/>
  <c r="FF8" i="10" s="1"/>
  <c r="IG8" i="10"/>
  <c r="IH8" i="10" s="1"/>
  <c r="AO9" i="10"/>
  <c r="AP9" i="10" s="1"/>
  <c r="CC9" i="10"/>
  <c r="CD9" i="10" s="1"/>
  <c r="DQ9" i="10"/>
  <c r="DR9" i="10" s="1"/>
  <c r="FE9" i="10"/>
  <c r="FF9" i="10" s="1"/>
  <c r="GS9" i="10"/>
  <c r="GT9" i="10" s="1"/>
  <c r="IG9" i="10"/>
  <c r="IH9" i="10" s="1"/>
  <c r="JU9" i="10"/>
  <c r="JV9" i="10" s="1"/>
  <c r="LI9" i="10"/>
  <c r="LJ9" i="10" s="1"/>
  <c r="MW9" i="10"/>
  <c r="MX9" i="10" s="1"/>
  <c r="OK9" i="10"/>
  <c r="OL9" i="10" s="1"/>
  <c r="PY9" i="10"/>
  <c r="PZ9" i="10" s="1"/>
  <c r="RM9" i="10"/>
  <c r="RN9" i="10" s="1"/>
  <c r="TA9" i="10"/>
  <c r="TB9" i="10" s="1"/>
  <c r="UL9" i="10"/>
  <c r="UM9" i="10" s="1"/>
  <c r="VT9" i="10"/>
  <c r="VU9" i="10" s="1"/>
  <c r="AO11" i="10"/>
  <c r="CC11" i="10"/>
  <c r="DQ11" i="10"/>
  <c r="FE11" i="10"/>
  <c r="GS11" i="10"/>
  <c r="IG11" i="10"/>
  <c r="JU11" i="10"/>
  <c r="LI11" i="10"/>
  <c r="MW11" i="10"/>
  <c r="OK11" i="10"/>
  <c r="PY11" i="10"/>
  <c r="S10" i="10"/>
  <c r="T10" i="10" s="1"/>
  <c r="AF10" i="10"/>
  <c r="AG10" i="10" s="1"/>
  <c r="BG10" i="10"/>
  <c r="BH10" i="10" s="1"/>
  <c r="BT10" i="10"/>
  <c r="BU10" i="10" s="1"/>
  <c r="CU10" i="10"/>
  <c r="CV10" i="10" s="1"/>
  <c r="DH10" i="10"/>
  <c r="DI10" i="10" s="1"/>
  <c r="EI10" i="10"/>
  <c r="EJ10" i="10" s="1"/>
  <c r="EV10" i="10"/>
  <c r="EW10" i="10" s="1"/>
  <c r="QQ10" i="10"/>
  <c r="QR10" i="10" s="1"/>
  <c r="RD10" i="10"/>
  <c r="RE10" i="10" s="1"/>
  <c r="SE10" i="10"/>
  <c r="SF10" i="10" s="1"/>
  <c r="SR10" i="10"/>
  <c r="SS10" i="10" s="1"/>
  <c r="TS10" i="10"/>
  <c r="TT10" i="10" s="1"/>
  <c r="UE10" i="10"/>
  <c r="UF10" i="10" s="1"/>
  <c r="VA10" i="10"/>
  <c r="VB10" i="10" s="1"/>
  <c r="VM10" i="10"/>
  <c r="VN10" i="10" s="1"/>
  <c r="QS11" i="10"/>
  <c r="RM11" i="10"/>
  <c r="SG11" i="10"/>
  <c r="TA11" i="10"/>
  <c r="TU11" i="10"/>
  <c r="UL11" i="10"/>
  <c r="VC11" i="10"/>
  <c r="VT11" i="10"/>
  <c r="U12" i="10"/>
  <c r="V12" i="10" s="1"/>
  <c r="AO12" i="10"/>
  <c r="AP12" i="10" s="1"/>
  <c r="BI12" i="10"/>
  <c r="BJ12" i="10" s="1"/>
  <c r="CC12" i="10"/>
  <c r="CD12" i="10" s="1"/>
  <c r="CW12" i="10"/>
  <c r="CX12" i="10" s="1"/>
  <c r="DQ12" i="10"/>
  <c r="DR12" i="10" s="1"/>
  <c r="EK12" i="10"/>
  <c r="EL12" i="10" s="1"/>
  <c r="FE12" i="10"/>
  <c r="FF12" i="10" s="1"/>
  <c r="FY12" i="10"/>
  <c r="FZ12" i="10" s="1"/>
  <c r="GS12" i="10"/>
  <c r="GT12" i="10" s="1"/>
  <c r="HM12" i="10"/>
  <c r="HN12" i="10" s="1"/>
  <c r="IG12" i="10"/>
  <c r="IH12" i="10" s="1"/>
  <c r="JA12" i="10"/>
  <c r="JB12" i="10" s="1"/>
  <c r="JU12" i="10"/>
  <c r="JV12" i="10" s="1"/>
  <c r="CW8" i="10"/>
  <c r="CX8" i="10" s="1"/>
  <c r="EK8" i="10"/>
  <c r="EL8" i="10" s="1"/>
  <c r="FY8" i="10"/>
  <c r="FZ8" i="10" s="1"/>
  <c r="HM8" i="10"/>
  <c r="HN8" i="10" s="1"/>
  <c r="JA8" i="10"/>
  <c r="JB8" i="10" s="1"/>
  <c r="KO8" i="10"/>
  <c r="KP8" i="10" s="1"/>
  <c r="MC8" i="10"/>
  <c r="MD8" i="10" s="1"/>
  <c r="NQ8" i="10"/>
  <c r="NR8" i="10" s="1"/>
  <c r="PE8" i="10"/>
  <c r="PF8" i="10" s="1"/>
  <c r="QS8" i="10"/>
  <c r="QT8" i="10" s="1"/>
  <c r="SG8" i="10"/>
  <c r="SH8" i="10" s="1"/>
  <c r="TU8" i="10"/>
  <c r="TV8" i="10" s="1"/>
  <c r="VC8" i="10"/>
  <c r="VD8" i="10" s="1"/>
  <c r="U9" i="10"/>
  <c r="V9" i="10" s="1"/>
  <c r="BI9" i="10"/>
  <c r="BJ9" i="10" s="1"/>
  <c r="CW9" i="10"/>
  <c r="CX9" i="10" s="1"/>
  <c r="EK9" i="10"/>
  <c r="EL9" i="10" s="1"/>
  <c r="FY9" i="10"/>
  <c r="FZ9" i="10" s="1"/>
  <c r="HM9" i="10"/>
  <c r="HN9" i="10" s="1"/>
  <c r="JA9" i="10"/>
  <c r="JB9" i="10" s="1"/>
  <c r="KO9" i="10"/>
  <c r="KP9" i="10" s="1"/>
  <c r="MC9" i="10"/>
  <c r="MD9" i="10" s="1"/>
  <c r="NQ9" i="10"/>
  <c r="NR9" i="10" s="1"/>
  <c r="PE9" i="10"/>
  <c r="PF9" i="10" s="1"/>
  <c r="QS9" i="10"/>
  <c r="QT9" i="10" s="1"/>
  <c r="SG9" i="10"/>
  <c r="SH9" i="10" s="1"/>
  <c r="TU9" i="10"/>
  <c r="TV9" i="10" s="1"/>
  <c r="VC9" i="10"/>
  <c r="VD9" i="10" s="1"/>
  <c r="U11" i="10"/>
  <c r="BI11" i="10"/>
  <c r="CW11" i="10"/>
  <c r="EK11" i="10"/>
  <c r="FY11" i="10"/>
  <c r="HM11" i="10"/>
  <c r="JA11" i="10"/>
  <c r="KO11" i="10"/>
  <c r="MC11" i="10"/>
  <c r="NQ11" i="10"/>
  <c r="PE11" i="10"/>
  <c r="KO12" i="10"/>
  <c r="KP12" i="10" s="1"/>
  <c r="KA12" i="10"/>
  <c r="MC12" i="10"/>
  <c r="MD12" i="10" s="1"/>
  <c r="NQ12" i="10"/>
  <c r="NR12" i="10" s="1"/>
  <c r="PE12" i="10"/>
  <c r="PF12" i="10" s="1"/>
  <c r="QS12" i="10"/>
  <c r="QT12" i="10" s="1"/>
  <c r="SG12" i="10"/>
  <c r="SH12" i="10" s="1"/>
  <c r="TU12" i="10"/>
  <c r="TV12" i="10" s="1"/>
  <c r="VC12" i="10"/>
  <c r="VD12" i="10" s="1"/>
  <c r="U14" i="10"/>
  <c r="BI14" i="10"/>
  <c r="CW14" i="10"/>
  <c r="EK14" i="10"/>
  <c r="FY14" i="10"/>
  <c r="HM14" i="10"/>
  <c r="JA14" i="10"/>
  <c r="KO14" i="10"/>
  <c r="MC14" i="10"/>
  <c r="NQ14" i="10"/>
  <c r="PE14" i="10"/>
  <c r="QS14" i="10"/>
  <c r="SG14" i="10"/>
  <c r="TU14" i="10"/>
  <c r="VC14" i="10"/>
  <c r="U15" i="10"/>
  <c r="V15" i="10" s="1"/>
  <c r="LI12" i="10"/>
  <c r="LJ12" i="10" s="1"/>
  <c r="MW12" i="10"/>
  <c r="MX12" i="10" s="1"/>
  <c r="OK12" i="10"/>
  <c r="OL12" i="10" s="1"/>
  <c r="PY12" i="10"/>
  <c r="PZ12" i="10" s="1"/>
  <c r="RM12" i="10"/>
  <c r="RN12" i="10" s="1"/>
  <c r="TA12" i="10"/>
  <c r="TB12" i="10" s="1"/>
  <c r="UL12" i="10"/>
  <c r="UM12" i="10" s="1"/>
  <c r="VT12" i="10"/>
  <c r="VU12" i="10" s="1"/>
  <c r="AO14" i="10"/>
  <c r="CC14" i="10"/>
  <c r="DQ14" i="10"/>
  <c r="FE14" i="10"/>
  <c r="GS14" i="10"/>
  <c r="IG14" i="10"/>
  <c r="JU14" i="10"/>
  <c r="LI14" i="10"/>
  <c r="MW14" i="10"/>
  <c r="OK14" i="10"/>
  <c r="PY14" i="10"/>
  <c r="RM14" i="10"/>
  <c r="TA14" i="10"/>
  <c r="UL14" i="10"/>
  <c r="VT14" i="10"/>
  <c r="AO15" i="10"/>
  <c r="AP15" i="10" s="1"/>
  <c r="AA15" i="10"/>
  <c r="CC15" i="10"/>
  <c r="CD15" i="10" s="1"/>
  <c r="BO15" i="10"/>
  <c r="FE15" i="10"/>
  <c r="FF15" i="10" s="1"/>
  <c r="EQ15" i="10"/>
  <c r="IG15" i="10"/>
  <c r="IH15" i="10" s="1"/>
  <c r="HS15" i="10"/>
  <c r="LI15" i="10"/>
  <c r="LJ15" i="10" s="1"/>
  <c r="KU15" i="10"/>
  <c r="OK15" i="10"/>
  <c r="OL15" i="10" s="1"/>
  <c r="NW15" i="10"/>
  <c r="T17" i="10"/>
  <c r="S16" i="10"/>
  <c r="T16" i="10" s="1"/>
  <c r="CW15" i="10"/>
  <c r="CX15" i="10" s="1"/>
  <c r="CI15" i="10"/>
  <c r="FY15" i="10"/>
  <c r="FZ15" i="10" s="1"/>
  <c r="FK15" i="10"/>
  <c r="JA15" i="10"/>
  <c r="JB15" i="10" s="1"/>
  <c r="IM15" i="10"/>
  <c r="MC15" i="10"/>
  <c r="MD15" i="10" s="1"/>
  <c r="LO15" i="10"/>
  <c r="PE15" i="10"/>
  <c r="PF15" i="10" s="1"/>
  <c r="OQ15" i="10"/>
  <c r="DQ15" i="10"/>
  <c r="DR15" i="10" s="1"/>
  <c r="DC15" i="10"/>
  <c r="GS15" i="10"/>
  <c r="GT15" i="10" s="1"/>
  <c r="GE15" i="10"/>
  <c r="JU15" i="10"/>
  <c r="JV15" i="10" s="1"/>
  <c r="JG15" i="10"/>
  <c r="MW15" i="10"/>
  <c r="MX15" i="10" s="1"/>
  <c r="MI15" i="10"/>
  <c r="PY15" i="10"/>
  <c r="PZ15" i="10" s="1"/>
  <c r="PK15" i="10"/>
  <c r="BI15" i="10"/>
  <c r="BJ15" i="10" s="1"/>
  <c r="AU15" i="10"/>
  <c r="EK15" i="10"/>
  <c r="EL15" i="10" s="1"/>
  <c r="DW15" i="10"/>
  <c r="HM15" i="10"/>
  <c r="HN15" i="10" s="1"/>
  <c r="GY15" i="10"/>
  <c r="KO15" i="10"/>
  <c r="KP15" i="10" s="1"/>
  <c r="KA15" i="10"/>
  <c r="NQ15" i="10"/>
  <c r="NR15" i="10" s="1"/>
  <c r="NC15" i="10"/>
  <c r="QS15" i="10"/>
  <c r="QT15" i="10" s="1"/>
  <c r="QE15" i="10"/>
  <c r="AM16" i="10"/>
  <c r="AN16" i="10" s="1"/>
  <c r="CA16" i="10"/>
  <c r="CB16" i="10" s="1"/>
  <c r="DO16" i="10"/>
  <c r="DP16" i="10" s="1"/>
  <c r="FC16" i="10"/>
  <c r="FD16" i="10" s="1"/>
  <c r="GQ16" i="10"/>
  <c r="GR16" i="10" s="1"/>
  <c r="U17" i="10"/>
  <c r="AG17" i="10"/>
  <c r="BI17" i="10"/>
  <c r="BU17" i="10"/>
  <c r="CW17" i="10"/>
  <c r="DI17" i="10"/>
  <c r="EK17" i="10"/>
  <c r="EW17" i="10"/>
  <c r="FY17" i="10"/>
  <c r="GK17" i="10"/>
  <c r="HM17" i="10"/>
  <c r="JA17" i="10"/>
  <c r="KO17" i="10"/>
  <c r="MC17" i="10"/>
  <c r="NQ17" i="10"/>
  <c r="PE17" i="10"/>
  <c r="QS17" i="10"/>
  <c r="SG17" i="10"/>
  <c r="TU17" i="10"/>
  <c r="VC17" i="10"/>
  <c r="U18" i="10"/>
  <c r="V18" i="10" s="1"/>
  <c r="BI18" i="10"/>
  <c r="BJ18" i="10" s="1"/>
  <c r="CW18" i="10"/>
  <c r="CX18" i="10" s="1"/>
  <c r="EK18" i="10"/>
  <c r="EL18" i="10" s="1"/>
  <c r="FY18" i="10"/>
  <c r="FZ18" i="10" s="1"/>
  <c r="HM18" i="10"/>
  <c r="HN18" i="10" s="1"/>
  <c r="JA18" i="10"/>
  <c r="JB18" i="10" s="1"/>
  <c r="KO18" i="10"/>
  <c r="KP18" i="10" s="1"/>
  <c r="MC18" i="10"/>
  <c r="MD18" i="10" s="1"/>
  <c r="NQ18" i="10"/>
  <c r="NR18" i="10" s="1"/>
  <c r="PE18" i="10"/>
  <c r="PF18" i="10" s="1"/>
  <c r="QY15" i="10"/>
  <c r="L16" i="10"/>
  <c r="M16" i="10" s="1"/>
  <c r="AZ16" i="10"/>
  <c r="BA16" i="10" s="1"/>
  <c r="CN16" i="10"/>
  <c r="CO16" i="10" s="1"/>
  <c r="EB16" i="10"/>
  <c r="EC16" i="10" s="1"/>
  <c r="FP16" i="10"/>
  <c r="FQ16" i="10" s="1"/>
  <c r="AO17" i="10"/>
  <c r="CC17" i="10"/>
  <c r="DQ17" i="10"/>
  <c r="FE17" i="10"/>
  <c r="GS17" i="10"/>
  <c r="IG17" i="10"/>
  <c r="JU17" i="10"/>
  <c r="LI17" i="10"/>
  <c r="MW17" i="10"/>
  <c r="OK17" i="10"/>
  <c r="PY17" i="10"/>
  <c r="RM17" i="10"/>
  <c r="TA17" i="10"/>
  <c r="UL17" i="10"/>
  <c r="VT17" i="10"/>
  <c r="AO18" i="10"/>
  <c r="AP18" i="10" s="1"/>
  <c r="CC18" i="10"/>
  <c r="CD18" i="10" s="1"/>
  <c r="DQ18" i="10"/>
  <c r="DR18" i="10" s="1"/>
  <c r="FE18" i="10"/>
  <c r="FF18" i="10" s="1"/>
  <c r="GS18" i="10"/>
  <c r="GT18" i="10" s="1"/>
  <c r="IG18" i="10"/>
  <c r="IH18" i="10" s="1"/>
  <c r="JU18" i="10"/>
  <c r="JV18" i="10" s="1"/>
  <c r="LI18" i="10"/>
  <c r="LJ18" i="10" s="1"/>
  <c r="MW18" i="10"/>
  <c r="MX18" i="10" s="1"/>
  <c r="OK18" i="10"/>
  <c r="OL18" i="10" s="1"/>
  <c r="PY18" i="10"/>
  <c r="PZ18" i="10" s="1"/>
  <c r="PK18" i="10"/>
  <c r="QS18" i="10"/>
  <c r="QT18" i="10" s="1"/>
  <c r="SG18" i="10"/>
  <c r="SH18" i="10" s="1"/>
  <c r="TU18" i="10"/>
  <c r="TV18" i="10" s="1"/>
  <c r="VC18" i="10"/>
  <c r="VD18" i="10" s="1"/>
  <c r="U19" i="10"/>
  <c r="V19" i="10" s="1"/>
  <c r="BI19" i="10"/>
  <c r="BJ19" i="10" s="1"/>
  <c r="CW19" i="10"/>
  <c r="CX19" i="10" s="1"/>
  <c r="EK19" i="10"/>
  <c r="EL19" i="10" s="1"/>
  <c r="FY19" i="10"/>
  <c r="FZ19" i="10" s="1"/>
  <c r="HM19" i="10"/>
  <c r="HN19" i="10" s="1"/>
  <c r="JA19" i="10"/>
  <c r="JB19" i="10" s="1"/>
  <c r="KO19" i="10"/>
  <c r="KP19" i="10" s="1"/>
  <c r="MC19" i="10"/>
  <c r="MD19" i="10" s="1"/>
  <c r="NQ19" i="10"/>
  <c r="NR19" i="10" s="1"/>
  <c r="NC19" i="10"/>
  <c r="OK19" i="10"/>
  <c r="OL19" i="10" s="1"/>
  <c r="NW19" i="10"/>
  <c r="RM18" i="10"/>
  <c r="RN18" i="10" s="1"/>
  <c r="TA18" i="10"/>
  <c r="TB18" i="10" s="1"/>
  <c r="UL18" i="10"/>
  <c r="UM18" i="10" s="1"/>
  <c r="VT18" i="10"/>
  <c r="VU18" i="10" s="1"/>
  <c r="AO19" i="10"/>
  <c r="AP19" i="10" s="1"/>
  <c r="CC19" i="10"/>
  <c r="CD19" i="10" s="1"/>
  <c r="DQ19" i="10"/>
  <c r="DR19" i="10" s="1"/>
  <c r="FE19" i="10"/>
  <c r="FF19" i="10" s="1"/>
  <c r="GS19" i="10"/>
  <c r="GT19" i="10" s="1"/>
  <c r="IG19" i="10"/>
  <c r="IH19" i="10" s="1"/>
  <c r="JU19" i="10"/>
  <c r="JV19" i="10" s="1"/>
  <c r="LI19" i="10"/>
  <c r="LJ19" i="10" s="1"/>
  <c r="MW19" i="10"/>
  <c r="MX19" i="10" s="1"/>
  <c r="QY19" i="10"/>
  <c r="IE20" i="10"/>
  <c r="IF21" i="10"/>
  <c r="LG20" i="10"/>
  <c r="LH21" i="10"/>
  <c r="OI20" i="10"/>
  <c r="OJ21" i="10"/>
  <c r="RK20" i="10"/>
  <c r="RL21" i="10"/>
  <c r="UF21" i="10"/>
  <c r="UE20" i="10"/>
  <c r="QE19" i="10"/>
  <c r="IG21" i="10"/>
  <c r="IZ21" i="10"/>
  <c r="IY20" i="10"/>
  <c r="LI21" i="10"/>
  <c r="MB21" i="10"/>
  <c r="MA20" i="10"/>
  <c r="OK21" i="10"/>
  <c r="PD21" i="10"/>
  <c r="PC20" i="10"/>
  <c r="RM21" i="10"/>
  <c r="SF21" i="10"/>
  <c r="SE20" i="10"/>
  <c r="PK19" i="10"/>
  <c r="JS20" i="10"/>
  <c r="JT21" i="10"/>
  <c r="MU20" i="10"/>
  <c r="MV21" i="10"/>
  <c r="PW20" i="10"/>
  <c r="PX21" i="10"/>
  <c r="TT21" i="10"/>
  <c r="TS20" i="10"/>
  <c r="RS19" i="10"/>
  <c r="HL21" i="10"/>
  <c r="HK20" i="10"/>
  <c r="JU21" i="10"/>
  <c r="KN21" i="10"/>
  <c r="KM20" i="10"/>
  <c r="MW21" i="10"/>
  <c r="NP21" i="10"/>
  <c r="NO20" i="10"/>
  <c r="PY21" i="10"/>
  <c r="QR21" i="10"/>
  <c r="QQ20" i="10"/>
  <c r="UW21" i="10"/>
  <c r="UV20" i="10"/>
  <c r="VM20" i="10"/>
  <c r="SZ21" i="10"/>
  <c r="TG21" i="10"/>
  <c r="UL21" i="10"/>
  <c r="VC21" i="10"/>
  <c r="VT21" i="10"/>
  <c r="QS20" i="10" l="1"/>
  <c r="QT20" i="10" s="1"/>
  <c r="EL21" i="10"/>
  <c r="SG20" i="10"/>
  <c r="SH20" i="10" s="1"/>
  <c r="FF21" i="10"/>
  <c r="MC20" i="10"/>
  <c r="MD20" i="10" s="1"/>
  <c r="BG22" i="10"/>
  <c r="BH22" i="10" s="1"/>
  <c r="NR21" i="10"/>
  <c r="UQ22" i="10"/>
  <c r="UR22" i="10" s="1"/>
  <c r="VH22" i="10"/>
  <c r="VI22" i="10" s="1"/>
  <c r="TA20" i="10"/>
  <c r="TB20" i="10" s="1"/>
  <c r="EI22" i="10"/>
  <c r="EJ22" i="10" s="1"/>
  <c r="VA22" i="10"/>
  <c r="VB22" i="10" s="1"/>
  <c r="JA20" i="10"/>
  <c r="JB20" i="10" s="1"/>
  <c r="SR22" i="10"/>
  <c r="SS22" i="10" s="1"/>
  <c r="CA22" i="10"/>
  <c r="CB22" i="10" s="1"/>
  <c r="QD22" i="10"/>
  <c r="QE22" i="10" s="1"/>
  <c r="DB22" i="10"/>
  <c r="DC22" i="10" s="1"/>
  <c r="OB22" i="10"/>
  <c r="OC22" i="10" s="1"/>
  <c r="QJ22" i="10"/>
  <c r="QK22" i="10" s="1"/>
  <c r="JL22" i="10"/>
  <c r="JM22" i="10" s="1"/>
  <c r="KO20" i="10"/>
  <c r="KP20" i="10" s="1"/>
  <c r="IR22" i="10"/>
  <c r="IS22" i="10" s="1"/>
  <c r="Z22" i="10"/>
  <c r="AA22" i="10" s="1"/>
  <c r="PE20" i="10"/>
  <c r="PF20" i="10" s="1"/>
  <c r="RR22" i="10"/>
  <c r="RS22" i="10" s="1"/>
  <c r="AT22" i="10"/>
  <c r="AU22" i="10" s="1"/>
  <c r="HM20" i="10"/>
  <c r="HN20" i="10" s="1"/>
  <c r="RD22" i="10"/>
  <c r="RE22" i="10" s="1"/>
  <c r="IL22" i="10"/>
  <c r="IM22" i="10" s="1"/>
  <c r="L22" i="10"/>
  <c r="M22" i="10" s="1"/>
  <c r="GJ22" i="10"/>
  <c r="GK22" i="10" s="1"/>
  <c r="TV21" i="10"/>
  <c r="SY22" i="10"/>
  <c r="SZ22" i="10" s="1"/>
  <c r="PJ22" i="10"/>
  <c r="PK22" i="10" s="1"/>
  <c r="NH22" i="10"/>
  <c r="NI22" i="10" s="1"/>
  <c r="MH22" i="10"/>
  <c r="MI22" i="10" s="1"/>
  <c r="FW22" i="10"/>
  <c r="FX22" i="10" s="1"/>
  <c r="DO22" i="10"/>
  <c r="DP22" i="10" s="1"/>
  <c r="DH22" i="10"/>
  <c r="DI22" i="10" s="1"/>
  <c r="CU22" i="10"/>
  <c r="CV22" i="10" s="1"/>
  <c r="CD21" i="10"/>
  <c r="BJ21" i="10"/>
  <c r="AZ22" i="10"/>
  <c r="BA22" i="10" s="1"/>
  <c r="VR22" i="10"/>
  <c r="VS22" i="10" s="1"/>
  <c r="GD22" i="10"/>
  <c r="GE22" i="10" s="1"/>
  <c r="AM22" i="10"/>
  <c r="AN22" i="10" s="1"/>
  <c r="OP22" i="10"/>
  <c r="OQ22" i="10" s="1"/>
  <c r="KZ22" i="10"/>
  <c r="LA22" i="10" s="1"/>
  <c r="FP22" i="10"/>
  <c r="FQ22" i="10" s="1"/>
  <c r="EP22" i="10"/>
  <c r="EQ22" i="10" s="1"/>
  <c r="RX22" i="10"/>
  <c r="RY22" i="10" s="1"/>
  <c r="JF22" i="10"/>
  <c r="JG22" i="10" s="1"/>
  <c r="U20" i="10"/>
  <c r="V20" i="10" s="1"/>
  <c r="V21" i="10"/>
  <c r="CW20" i="10"/>
  <c r="CX20" i="10" s="1"/>
  <c r="CX21" i="10"/>
  <c r="UJ22" i="10"/>
  <c r="UK22" i="10" s="1"/>
  <c r="MN22" i="10"/>
  <c r="MO22" i="10" s="1"/>
  <c r="CN22" i="10"/>
  <c r="CO22" i="10" s="1"/>
  <c r="TZ22" i="10"/>
  <c r="UA22" i="10" s="1"/>
  <c r="LT22" i="10"/>
  <c r="LU22" i="10" s="1"/>
  <c r="S22" i="10"/>
  <c r="T22" i="10" s="1"/>
  <c r="AO20" i="10"/>
  <c r="AP20" i="10" s="1"/>
  <c r="AP21" i="10"/>
  <c r="FY20" i="10"/>
  <c r="FZ20" i="10" s="1"/>
  <c r="FZ21" i="10"/>
  <c r="GQ22" i="10"/>
  <c r="GR22" i="10" s="1"/>
  <c r="BT22" i="10"/>
  <c r="BU22" i="10" s="1"/>
  <c r="PP22" i="10"/>
  <c r="PQ22" i="10" s="1"/>
  <c r="LN22" i="10"/>
  <c r="LO22" i="10" s="1"/>
  <c r="HX22" i="10"/>
  <c r="HY22" i="10" s="1"/>
  <c r="FC22" i="10"/>
  <c r="FD22" i="10" s="1"/>
  <c r="BN22" i="10"/>
  <c r="BO22" i="10" s="1"/>
  <c r="TL22" i="10"/>
  <c r="TM22" i="10" s="1"/>
  <c r="OV22" i="10"/>
  <c r="OW22" i="10" s="1"/>
  <c r="KT22" i="10"/>
  <c r="KU22" i="10" s="1"/>
  <c r="FJ22" i="10"/>
  <c r="FK22" i="10" s="1"/>
  <c r="F22" i="10"/>
  <c r="G22" i="10" s="1"/>
  <c r="KF22" i="10"/>
  <c r="KG22" i="10" s="1"/>
  <c r="HD22" i="10"/>
  <c r="HE22" i="10" s="1"/>
  <c r="EV22" i="10"/>
  <c r="EW22" i="10" s="1"/>
  <c r="EB22" i="10"/>
  <c r="EC22" i="10" s="1"/>
  <c r="AF22" i="10"/>
  <c r="AG22" i="10" s="1"/>
  <c r="TF22" i="10"/>
  <c r="TG22" i="10" s="1"/>
  <c r="SL22" i="10"/>
  <c r="SM22" i="10" s="1"/>
  <c r="QX22" i="10"/>
  <c r="QY22" i="10" s="1"/>
  <c r="NV22" i="10"/>
  <c r="NW22" i="10" s="1"/>
  <c r="NB22" i="10"/>
  <c r="NC22" i="10" s="1"/>
  <c r="JZ22" i="10"/>
  <c r="KA22" i="10" s="1"/>
  <c r="HR22" i="10"/>
  <c r="HS22" i="10" s="1"/>
  <c r="GX22" i="10"/>
  <c r="GY22" i="10" s="1"/>
  <c r="DV22" i="10"/>
  <c r="DW22" i="10" s="1"/>
  <c r="CH22" i="10"/>
  <c r="CI22" i="10" s="1"/>
  <c r="FG1" i="12"/>
  <c r="UM21" i="10"/>
  <c r="UL20" i="10"/>
  <c r="UM20" i="10" s="1"/>
  <c r="VM22" i="10"/>
  <c r="VN22" i="10" s="1"/>
  <c r="VN20" i="10"/>
  <c r="NO22" i="10"/>
  <c r="NP22" i="10" s="1"/>
  <c r="NP20" i="10"/>
  <c r="PW22" i="10"/>
  <c r="PX22" i="10" s="1"/>
  <c r="PX20" i="10"/>
  <c r="MU22" i="10"/>
  <c r="MV22" i="10" s="1"/>
  <c r="MV20" i="10"/>
  <c r="JS22" i="10"/>
  <c r="JT22" i="10" s="1"/>
  <c r="JT20" i="10"/>
  <c r="OL21" i="10"/>
  <c r="OK20" i="10"/>
  <c r="OL20" i="10" s="1"/>
  <c r="IY22" i="10"/>
  <c r="IZ22" i="10" s="1"/>
  <c r="IZ20" i="10"/>
  <c r="VT16" i="10"/>
  <c r="VU16" i="10" s="1"/>
  <c r="VU17" i="10"/>
  <c r="PY16" i="10"/>
  <c r="PZ16" i="10" s="1"/>
  <c r="PZ17" i="10"/>
  <c r="JU16" i="10"/>
  <c r="JV16" i="10" s="1"/>
  <c r="JV17" i="10"/>
  <c r="DQ16" i="10"/>
  <c r="DR16" i="10" s="1"/>
  <c r="DR17" i="10"/>
  <c r="VD17" i="10"/>
  <c r="VC16" i="10"/>
  <c r="VD16" i="10" s="1"/>
  <c r="PF17" i="10"/>
  <c r="PE16" i="10"/>
  <c r="PF16" i="10" s="1"/>
  <c r="JB17" i="10"/>
  <c r="JA16" i="10"/>
  <c r="JB16" i="10" s="1"/>
  <c r="UL13" i="10"/>
  <c r="UM13" i="10" s="1"/>
  <c r="UM14" i="10"/>
  <c r="OK13" i="10"/>
  <c r="OL13" i="10" s="1"/>
  <c r="OL14" i="10"/>
  <c r="IG13" i="10"/>
  <c r="IH13" i="10" s="1"/>
  <c r="IH14" i="10"/>
  <c r="CC13" i="10"/>
  <c r="CD13" i="10" s="1"/>
  <c r="CD14" i="10"/>
  <c r="TV14" i="10"/>
  <c r="TU13" i="10"/>
  <c r="TV13" i="10" s="1"/>
  <c r="NR14" i="10"/>
  <c r="NQ13" i="10"/>
  <c r="NR13" i="10" s="1"/>
  <c r="HN14" i="10"/>
  <c r="HM13" i="10"/>
  <c r="HN13" i="10" s="1"/>
  <c r="BJ14" i="10"/>
  <c r="BI13" i="10"/>
  <c r="BJ13" i="10" s="1"/>
  <c r="NR11" i="10"/>
  <c r="NQ10" i="10"/>
  <c r="NR10" i="10" s="1"/>
  <c r="HN11" i="10"/>
  <c r="HM10" i="10"/>
  <c r="HN10" i="10" s="1"/>
  <c r="BJ11" i="10"/>
  <c r="BI10" i="10"/>
  <c r="BJ10" i="10" s="1"/>
  <c r="VU11" i="10"/>
  <c r="VT10" i="10"/>
  <c r="VU10" i="10" s="1"/>
  <c r="TB11" i="10"/>
  <c r="TA10" i="10"/>
  <c r="TB10" i="10" s="1"/>
  <c r="PZ11" i="10"/>
  <c r="PY10" i="10"/>
  <c r="PZ10" i="10" s="1"/>
  <c r="JV11" i="10"/>
  <c r="JU10" i="10"/>
  <c r="JV10" i="10" s="1"/>
  <c r="DR11" i="10"/>
  <c r="DQ10" i="10"/>
  <c r="DR10" i="10" s="1"/>
  <c r="VD5" i="10"/>
  <c r="VC4" i="10"/>
  <c r="VD4" i="10" s="1"/>
  <c r="SH5" i="10"/>
  <c r="SG4" i="10"/>
  <c r="SH4" i="10" s="1"/>
  <c r="PF5" i="10"/>
  <c r="PE4" i="10"/>
  <c r="PF4" i="10" s="1"/>
  <c r="MD5" i="10"/>
  <c r="MC4" i="10"/>
  <c r="MD4" i="10" s="1"/>
  <c r="JB5" i="10"/>
  <c r="JA4" i="10"/>
  <c r="JB4" i="10" s="1"/>
  <c r="FZ5" i="10"/>
  <c r="FY4" i="10"/>
  <c r="FZ4" i="10" s="1"/>
  <c r="CX5" i="10"/>
  <c r="CW4" i="10"/>
  <c r="CX4" i="10" s="1"/>
  <c r="V5" i="10"/>
  <c r="U4" i="10"/>
  <c r="V4" i="10" s="1"/>
  <c r="UV22" i="10"/>
  <c r="UW22" i="10" s="1"/>
  <c r="UW20" i="10"/>
  <c r="QQ22" i="10"/>
  <c r="QR22" i="10" s="1"/>
  <c r="QR20" i="10"/>
  <c r="JV21" i="10"/>
  <c r="JU20" i="10"/>
  <c r="JV20" i="10" s="1"/>
  <c r="RN21" i="10"/>
  <c r="RM20" i="10"/>
  <c r="RN20" i="10" s="1"/>
  <c r="MA22" i="10"/>
  <c r="MB22" i="10" s="1"/>
  <c r="MB20" i="10"/>
  <c r="UL16" i="10"/>
  <c r="UM16" i="10" s="1"/>
  <c r="UM17" i="10"/>
  <c r="OK16" i="10"/>
  <c r="OL16" i="10" s="1"/>
  <c r="OL17" i="10"/>
  <c r="IG16" i="10"/>
  <c r="IH16" i="10" s="1"/>
  <c r="IH17" i="10"/>
  <c r="CC16" i="10"/>
  <c r="CD16" i="10" s="1"/>
  <c r="CD17" i="10"/>
  <c r="TV17" i="10"/>
  <c r="TU16" i="10"/>
  <c r="TV16" i="10" s="1"/>
  <c r="NR17" i="10"/>
  <c r="NQ16" i="10"/>
  <c r="NR16" i="10" s="1"/>
  <c r="HN17" i="10"/>
  <c r="HM16" i="10"/>
  <c r="HN16" i="10" s="1"/>
  <c r="EK16" i="10"/>
  <c r="EL16" i="10" s="1"/>
  <c r="EL17" i="10"/>
  <c r="BI16" i="10"/>
  <c r="BJ16" i="10" s="1"/>
  <c r="BJ17" i="10"/>
  <c r="TA13" i="10"/>
  <c r="TB13" i="10" s="1"/>
  <c r="TB14" i="10"/>
  <c r="MW13" i="10"/>
  <c r="MX13" i="10" s="1"/>
  <c r="MX14" i="10"/>
  <c r="GS13" i="10"/>
  <c r="GT13" i="10" s="1"/>
  <c r="GT14" i="10"/>
  <c r="AO13" i="10"/>
  <c r="AP13" i="10" s="1"/>
  <c r="AP14" i="10"/>
  <c r="SH14" i="10"/>
  <c r="SG13" i="10"/>
  <c r="SH13" i="10" s="1"/>
  <c r="MD14" i="10"/>
  <c r="MC13" i="10"/>
  <c r="MD13" i="10" s="1"/>
  <c r="FZ14" i="10"/>
  <c r="FY13" i="10"/>
  <c r="FZ13" i="10" s="1"/>
  <c r="V14" i="10"/>
  <c r="U13" i="10"/>
  <c r="V13" i="10" s="1"/>
  <c r="MD11" i="10"/>
  <c r="MC10" i="10"/>
  <c r="MD10" i="10" s="1"/>
  <c r="FZ11" i="10"/>
  <c r="FY10" i="10"/>
  <c r="FZ10" i="10" s="1"/>
  <c r="V11" i="10"/>
  <c r="U10" i="10"/>
  <c r="V10" i="10" s="1"/>
  <c r="VD11" i="10"/>
  <c r="VC10" i="10"/>
  <c r="VD10" i="10" s="1"/>
  <c r="SH11" i="10"/>
  <c r="SG10" i="10"/>
  <c r="SH10" i="10" s="1"/>
  <c r="OL11" i="10"/>
  <c r="OK10" i="10"/>
  <c r="OL10" i="10" s="1"/>
  <c r="IH11" i="10"/>
  <c r="IG10" i="10"/>
  <c r="IH10" i="10" s="1"/>
  <c r="CD11" i="10"/>
  <c r="CC10" i="10"/>
  <c r="CD10" i="10" s="1"/>
  <c r="UM5" i="10"/>
  <c r="UL4" i="10"/>
  <c r="UM4" i="10" s="1"/>
  <c r="RN5" i="10"/>
  <c r="RM4" i="10"/>
  <c r="RN4" i="10" s="1"/>
  <c r="OL5" i="10"/>
  <c r="OK4" i="10"/>
  <c r="OL4" i="10" s="1"/>
  <c r="LJ5" i="10"/>
  <c r="LI4" i="10"/>
  <c r="LJ4" i="10" s="1"/>
  <c r="IH5" i="10"/>
  <c r="IG4" i="10"/>
  <c r="IH4" i="10" s="1"/>
  <c r="FF5" i="10"/>
  <c r="FE4" i="10"/>
  <c r="FF4" i="10" s="1"/>
  <c r="CD5" i="10"/>
  <c r="CC4" i="10"/>
  <c r="CD4" i="10" s="1"/>
  <c r="VU21" i="10"/>
  <c r="VT20" i="10"/>
  <c r="VU20" i="10" s="1"/>
  <c r="MX21" i="10"/>
  <c r="MW20" i="10"/>
  <c r="MX20" i="10" s="1"/>
  <c r="HK22" i="10"/>
  <c r="HL22" i="10" s="1"/>
  <c r="HL20" i="10"/>
  <c r="TS22" i="10"/>
  <c r="TT22" i="10" s="1"/>
  <c r="TT20" i="10"/>
  <c r="PC22" i="10"/>
  <c r="PD22" i="10" s="1"/>
  <c r="PD20" i="10"/>
  <c r="IH21" i="10"/>
  <c r="IG20" i="10"/>
  <c r="IH20" i="10" s="1"/>
  <c r="UE22" i="10"/>
  <c r="UF22" i="10" s="1"/>
  <c r="UF20" i="10"/>
  <c r="TA16" i="10"/>
  <c r="TB16" i="10" s="1"/>
  <c r="TB17" i="10"/>
  <c r="MW16" i="10"/>
  <c r="MX16" i="10" s="1"/>
  <c r="MX17" i="10"/>
  <c r="GS16" i="10"/>
  <c r="GT16" i="10" s="1"/>
  <c r="GT17" i="10"/>
  <c r="AO16" i="10"/>
  <c r="AP16" i="10" s="1"/>
  <c r="AP17" i="10"/>
  <c r="SH17" i="10"/>
  <c r="SG16" i="10"/>
  <c r="SH16" i="10" s="1"/>
  <c r="MD17" i="10"/>
  <c r="MC16" i="10"/>
  <c r="MD16" i="10" s="1"/>
  <c r="RM13" i="10"/>
  <c r="RN13" i="10" s="1"/>
  <c r="RN14" i="10"/>
  <c r="LI13" i="10"/>
  <c r="LJ13" i="10" s="1"/>
  <c r="LJ14" i="10"/>
  <c r="FE13" i="10"/>
  <c r="FF13" i="10" s="1"/>
  <c r="FF14" i="10"/>
  <c r="QT14" i="10"/>
  <c r="QS13" i="10"/>
  <c r="QT13" i="10" s="1"/>
  <c r="KP14" i="10"/>
  <c r="KO13" i="10"/>
  <c r="KP13" i="10" s="1"/>
  <c r="EL14" i="10"/>
  <c r="EK13" i="10"/>
  <c r="EL13" i="10" s="1"/>
  <c r="KP11" i="10"/>
  <c r="KO10" i="10"/>
  <c r="KP10" i="10" s="1"/>
  <c r="EL11" i="10"/>
  <c r="EK10" i="10"/>
  <c r="EL10" i="10" s="1"/>
  <c r="UM11" i="10"/>
  <c r="UL10" i="10"/>
  <c r="UM10" i="10" s="1"/>
  <c r="RN11" i="10"/>
  <c r="RM10" i="10"/>
  <c r="RN10" i="10" s="1"/>
  <c r="MX11" i="10"/>
  <c r="MW10" i="10"/>
  <c r="MX10" i="10" s="1"/>
  <c r="GT11" i="10"/>
  <c r="GS10" i="10"/>
  <c r="GT10" i="10" s="1"/>
  <c r="AP11" i="10"/>
  <c r="AO10" i="10"/>
  <c r="AP10" i="10" s="1"/>
  <c r="TV5" i="10"/>
  <c r="TU4" i="10"/>
  <c r="TV4" i="10" s="1"/>
  <c r="QT5" i="10"/>
  <c r="QS4" i="10"/>
  <c r="QT4" i="10" s="1"/>
  <c r="NR5" i="10"/>
  <c r="NQ4" i="10"/>
  <c r="NR4" i="10" s="1"/>
  <c r="KP5" i="10"/>
  <c r="KO4" i="10"/>
  <c r="KP4" i="10" s="1"/>
  <c r="HN5" i="10"/>
  <c r="HM4" i="10"/>
  <c r="HN4" i="10" s="1"/>
  <c r="EL5" i="10"/>
  <c r="EK4" i="10"/>
  <c r="EL4" i="10" s="1"/>
  <c r="BJ5" i="10"/>
  <c r="BI4" i="10"/>
  <c r="BJ4" i="10" s="1"/>
  <c r="GU1" i="10"/>
  <c r="VD21" i="10"/>
  <c r="VC20" i="10"/>
  <c r="VD20" i="10" s="1"/>
  <c r="PZ21" i="10"/>
  <c r="PY20" i="10"/>
  <c r="PZ20" i="10" s="1"/>
  <c r="KM22" i="10"/>
  <c r="KN22" i="10" s="1"/>
  <c r="KN20" i="10"/>
  <c r="SE22" i="10"/>
  <c r="SF22" i="10" s="1"/>
  <c r="SF20" i="10"/>
  <c r="LJ21" i="10"/>
  <c r="LI20" i="10"/>
  <c r="LJ20" i="10" s="1"/>
  <c r="RK22" i="10"/>
  <c r="RL22" i="10" s="1"/>
  <c r="RL20" i="10"/>
  <c r="OI22" i="10"/>
  <c r="OJ22" i="10" s="1"/>
  <c r="OJ20" i="10"/>
  <c r="LG22" i="10"/>
  <c r="LH22" i="10" s="1"/>
  <c r="LH20" i="10"/>
  <c r="IE22" i="10"/>
  <c r="IF22" i="10" s="1"/>
  <c r="IF20" i="10"/>
  <c r="RM16" i="10"/>
  <c r="RN16" i="10" s="1"/>
  <c r="RN17" i="10"/>
  <c r="LI16" i="10"/>
  <c r="LJ16" i="10" s="1"/>
  <c r="LJ17" i="10"/>
  <c r="FE16" i="10"/>
  <c r="FF16" i="10" s="1"/>
  <c r="FF17" i="10"/>
  <c r="QT17" i="10"/>
  <c r="QS16" i="10"/>
  <c r="QT16" i="10" s="1"/>
  <c r="KP17" i="10"/>
  <c r="KO16" i="10"/>
  <c r="KP16" i="10" s="1"/>
  <c r="FY16" i="10"/>
  <c r="FZ16" i="10" s="1"/>
  <c r="FZ17" i="10"/>
  <c r="CW16" i="10"/>
  <c r="CX16" i="10" s="1"/>
  <c r="CX17" i="10"/>
  <c r="U16" i="10"/>
  <c r="V16" i="10" s="1"/>
  <c r="V17" i="10"/>
  <c r="VT13" i="10"/>
  <c r="VU13" i="10" s="1"/>
  <c r="VU14" i="10"/>
  <c r="PY13" i="10"/>
  <c r="PZ13" i="10" s="1"/>
  <c r="PZ14" i="10"/>
  <c r="JU13" i="10"/>
  <c r="JV13" i="10" s="1"/>
  <c r="JV14" i="10"/>
  <c r="DQ13" i="10"/>
  <c r="DR13" i="10" s="1"/>
  <c r="DR14" i="10"/>
  <c r="VD14" i="10"/>
  <c r="VC13" i="10"/>
  <c r="VD13" i="10" s="1"/>
  <c r="PF14" i="10"/>
  <c r="PE13" i="10"/>
  <c r="PF13" i="10" s="1"/>
  <c r="JB14" i="10"/>
  <c r="JA13" i="10"/>
  <c r="JB13" i="10" s="1"/>
  <c r="CX14" i="10"/>
  <c r="CW13" i="10"/>
  <c r="CX13" i="10" s="1"/>
  <c r="PF11" i="10"/>
  <c r="PE10" i="10"/>
  <c r="PF10" i="10" s="1"/>
  <c r="JB11" i="10"/>
  <c r="JA10" i="10"/>
  <c r="JB10" i="10" s="1"/>
  <c r="CX11" i="10"/>
  <c r="CW10" i="10"/>
  <c r="CX10" i="10" s="1"/>
  <c r="TV11" i="10"/>
  <c r="TU10" i="10"/>
  <c r="TV10" i="10" s="1"/>
  <c r="QT11" i="10"/>
  <c r="QS10" i="10"/>
  <c r="QT10" i="10" s="1"/>
  <c r="LJ11" i="10"/>
  <c r="LI10" i="10"/>
  <c r="LJ10" i="10" s="1"/>
  <c r="FF11" i="10"/>
  <c r="FE10" i="10"/>
  <c r="FF10" i="10" s="1"/>
  <c r="VU5" i="10"/>
  <c r="VT4" i="10"/>
  <c r="VU4" i="10" s="1"/>
  <c r="TB5" i="10"/>
  <c r="TA4" i="10"/>
  <c r="TB4" i="10" s="1"/>
  <c r="PZ5" i="10"/>
  <c r="PY4" i="10"/>
  <c r="PZ4" i="10" s="1"/>
  <c r="MX5" i="10"/>
  <c r="MW4" i="10"/>
  <c r="MX4" i="10" s="1"/>
  <c r="JV5" i="10"/>
  <c r="JU4" i="10"/>
  <c r="JV4" i="10" s="1"/>
  <c r="GT5" i="10"/>
  <c r="GS4" i="10"/>
  <c r="GT4" i="10" s="1"/>
  <c r="DR5" i="10"/>
  <c r="DQ4" i="10"/>
  <c r="DR4" i="10" s="1"/>
  <c r="AP5" i="10"/>
  <c r="AO4" i="10"/>
  <c r="AP4" i="10" s="1"/>
  <c r="GA1" i="12" l="1"/>
  <c r="HO1" i="10"/>
  <c r="GU1" i="12" l="1"/>
  <c r="II1" i="10"/>
  <c r="HO1" i="12" l="1"/>
  <c r="JC1" i="10"/>
  <c r="II1" i="12" l="1"/>
  <c r="JW1" i="10"/>
  <c r="JC1" i="12" l="1"/>
  <c r="KQ1" i="10"/>
  <c r="JW1" i="12" l="1"/>
  <c r="LK1" i="10"/>
  <c r="KQ1" i="12" l="1"/>
  <c r="ME1" i="10"/>
  <c r="LK1" i="12" l="1"/>
  <c r="MY1" i="10"/>
  <c r="ME1" i="12" l="1"/>
  <c r="NS1" i="10"/>
  <c r="MY1" i="12" l="1"/>
  <c r="OM1" i="10"/>
  <c r="NS1" i="12" l="1"/>
  <c r="PG1" i="10"/>
  <c r="OM1" i="12" l="1"/>
  <c r="QA1" i="10"/>
  <c r="PG1" i="12" l="1"/>
  <c r="QU1" i="10"/>
  <c r="QA1" i="12" l="1"/>
  <c r="RO1" i="10"/>
  <c r="QU1" i="12" l="1"/>
  <c r="SI1" i="10"/>
  <c r="RO1" i="12" l="1"/>
  <c r="TC1" i="10"/>
  <c r="SI1" i="12" l="1"/>
  <c r="TW1" i="10"/>
  <c r="TC1" i="12" l="1"/>
  <c r="UN1" i="10"/>
  <c r="TW1" i="12" l="1"/>
  <c r="VE1" i="10"/>
  <c r="UQ1" i="12" l="1"/>
  <c r="VH1" i="12" l="1"/>
  <c r="I13" i="11"/>
  <c r="Q16" i="11"/>
  <c r="B27" i="9"/>
  <c r="R12" i="11"/>
  <c r="E23" i="11"/>
  <c r="P21" i="9"/>
  <c r="K18" i="9"/>
  <c r="E27" i="9"/>
  <c r="I23" i="11"/>
  <c r="L29" i="9"/>
  <c r="Q11" i="11"/>
  <c r="Y30" i="9"/>
  <c r="U6" i="11"/>
  <c r="S8" i="9"/>
  <c r="Y9" i="11"/>
  <c r="I15" i="9"/>
  <c r="V25" i="11"/>
  <c r="H11" i="11"/>
  <c r="E28" i="11"/>
  <c r="X23" i="9"/>
  <c r="X26" i="9"/>
  <c r="M11" i="11"/>
  <c r="T10" i="11"/>
  <c r="H31" i="11"/>
  <c r="T10" i="9"/>
  <c r="V10" i="9"/>
  <c r="S13" i="9"/>
  <c r="G19" i="9"/>
  <c r="W19" i="9"/>
  <c r="S14" i="11"/>
  <c r="L22" i="11"/>
  <c r="AA28" i="9"/>
  <c r="AA21" i="9"/>
  <c r="E22" i="9"/>
  <c r="K6" i="9"/>
  <c r="P12" i="9"/>
  <c r="S5" i="11"/>
  <c r="H4" i="11"/>
  <c r="Z16" i="11"/>
  <c r="Q10" i="9"/>
  <c r="D30" i="9"/>
  <c r="D17" i="9"/>
  <c r="NS2" i="12"/>
  <c r="B30" i="11"/>
  <c r="B31" i="11"/>
  <c r="C8" i="9"/>
  <c r="Y29" i="11"/>
  <c r="G9" i="11"/>
  <c r="L7" i="9"/>
  <c r="D13" i="11"/>
  <c r="D6" i="9"/>
  <c r="W27" i="9"/>
  <c r="KQ2" i="10"/>
  <c r="N24" i="9"/>
  <c r="X18" i="11"/>
  <c r="X19" i="11"/>
  <c r="N30" i="11"/>
  <c r="AA16" i="9"/>
  <c r="AA22" i="9"/>
  <c r="P23" i="9"/>
  <c r="B25" i="11"/>
  <c r="P7" i="11"/>
  <c r="R22" i="9"/>
  <c r="B28" i="9"/>
  <c r="K24" i="11"/>
  <c r="L7" i="11"/>
  <c r="L24" i="9"/>
  <c r="Z15" i="11"/>
  <c r="F6" i="11"/>
  <c r="FG2" i="12"/>
  <c r="T31" i="11"/>
  <c r="C7" i="11"/>
  <c r="L13" i="9"/>
  <c r="Z28" i="9"/>
  <c r="T25" i="11"/>
  <c r="N9" i="9"/>
  <c r="P21" i="11"/>
  <c r="T20" i="9"/>
  <c r="K13" i="9"/>
  <c r="P28" i="9"/>
  <c r="MY2" i="12"/>
  <c r="M13" i="11"/>
  <c r="Z21" i="11"/>
  <c r="Q19" i="11"/>
  <c r="AA5" i="11"/>
  <c r="Z4" i="11"/>
  <c r="D5" i="9"/>
  <c r="V9" i="11"/>
  <c r="D13" i="9"/>
  <c r="M4" i="11"/>
  <c r="U21" i="11"/>
  <c r="L4" i="11"/>
  <c r="W13" i="11"/>
  <c r="P29" i="11"/>
  <c r="W21" i="11"/>
  <c r="K19" i="9"/>
  <c r="K29" i="9"/>
  <c r="H15" i="9"/>
  <c r="H25" i="11"/>
  <c r="L27" i="11"/>
  <c r="V12" i="9"/>
  <c r="Q15" i="11"/>
  <c r="H24" i="9"/>
  <c r="R17" i="11"/>
  <c r="X13" i="9"/>
  <c r="Y8" i="11"/>
  <c r="X5" i="11"/>
  <c r="G5" i="9"/>
  <c r="K16" i="9"/>
  <c r="C12" i="9"/>
  <c r="V19" i="9"/>
  <c r="S21" i="9"/>
  <c r="T11" i="9"/>
  <c r="W9" i="9"/>
  <c r="K10" i="11"/>
  <c r="MY2" i="10"/>
  <c r="F10" i="11"/>
  <c r="P13" i="11"/>
  <c r="PG2" i="10"/>
  <c r="J16" i="9"/>
  <c r="U21" i="9"/>
  <c r="G21" i="9"/>
  <c r="AA12" i="11"/>
  <c r="G13" i="11"/>
  <c r="B13" i="9"/>
  <c r="C16" i="9"/>
  <c r="AA31" i="11"/>
  <c r="L14" i="11"/>
  <c r="JW2" i="10"/>
  <c r="U14" i="9"/>
  <c r="X11" i="9"/>
  <c r="E14" i="9"/>
  <c r="D21" i="11"/>
  <c r="C17" i="9"/>
  <c r="V11" i="11"/>
  <c r="S20" i="9"/>
  <c r="X24" i="11"/>
  <c r="C6" i="11"/>
  <c r="W28" i="11"/>
  <c r="W9" i="11"/>
  <c r="B9" i="9"/>
  <c r="F22" i="11"/>
  <c r="E21" i="9"/>
  <c r="B23" i="9"/>
  <c r="J25" i="11"/>
  <c r="O14" i="11"/>
  <c r="M5" i="9"/>
  <c r="N6" i="9"/>
  <c r="AA25" i="9"/>
  <c r="R26" i="9"/>
  <c r="Y17" i="9"/>
  <c r="T13" i="9"/>
  <c r="F25" i="11"/>
  <c r="L27" i="9"/>
  <c r="I4" i="11"/>
  <c r="H4" i="9"/>
  <c r="S9" i="11"/>
  <c r="D29" i="11"/>
  <c r="F26" i="9"/>
  <c r="X25" i="9"/>
  <c r="AA30" i="9"/>
  <c r="R26" i="11"/>
  <c r="AA4" i="11"/>
  <c r="D28" i="11"/>
  <c r="X15" i="11"/>
  <c r="C8" i="11"/>
  <c r="I31" i="11"/>
  <c r="N22" i="9"/>
  <c r="K15" i="9"/>
  <c r="T14" i="11"/>
  <c r="J19" i="11"/>
  <c r="N7" i="11"/>
  <c r="T16" i="9"/>
  <c r="D4" i="11"/>
  <c r="G13" i="9"/>
  <c r="E6" i="11"/>
  <c r="O23" i="11"/>
  <c r="N28" i="9"/>
  <c r="AA10" i="11"/>
  <c r="L11" i="9"/>
  <c r="E29" i="11"/>
  <c r="UN2" i="10"/>
  <c r="L25" i="11"/>
  <c r="U22" i="9"/>
  <c r="U13" i="11"/>
  <c r="R7" i="9"/>
  <c r="G17" i="11"/>
  <c r="Z31" i="11"/>
  <c r="E26" i="11"/>
  <c r="D9" i="11"/>
  <c r="I12" i="11"/>
  <c r="J23" i="11"/>
  <c r="X12" i="9"/>
  <c r="AA14" i="11"/>
  <c r="M8" i="9"/>
  <c r="J5" i="11"/>
  <c r="Q12" i="11"/>
  <c r="J10" i="11"/>
  <c r="O18" i="9"/>
  <c r="C5" i="11"/>
  <c r="D26" i="11"/>
  <c r="C27" i="9"/>
  <c r="B29" i="11"/>
  <c r="E11" i="9"/>
  <c r="S19" i="11"/>
  <c r="U6" i="9"/>
  <c r="V4" i="11"/>
  <c r="P30" i="9"/>
  <c r="N14" i="9"/>
  <c r="I24" i="11"/>
  <c r="P5" i="11"/>
  <c r="H27" i="9"/>
  <c r="P8" i="9"/>
  <c r="U4" i="9"/>
  <c r="J24" i="11"/>
  <c r="V17" i="11"/>
  <c r="V14" i="9"/>
  <c r="U23" i="9"/>
  <c r="I30" i="11"/>
  <c r="Z25" i="11"/>
  <c r="B15" i="9"/>
  <c r="O17" i="11"/>
  <c r="Q31" i="11"/>
  <c r="C21" i="9"/>
  <c r="H20" i="11"/>
  <c r="F10" i="9"/>
  <c r="N16" i="11"/>
  <c r="I15" i="11"/>
  <c r="X7" i="11"/>
  <c r="Z4" i="9"/>
  <c r="D20" i="11"/>
  <c r="V20" i="9"/>
  <c r="R16" i="11"/>
  <c r="S13" i="11"/>
  <c r="F8" i="9"/>
  <c r="C7" i="9"/>
  <c r="J29" i="11"/>
  <c r="R6" i="11"/>
  <c r="E24" i="11"/>
  <c r="X14" i="11"/>
  <c r="T8" i="9"/>
  <c r="I12" i="9"/>
  <c r="M31" i="11"/>
  <c r="O28" i="11"/>
  <c r="GU2" i="12"/>
  <c r="T11" i="11"/>
  <c r="F11" i="9"/>
  <c r="U13" i="9"/>
  <c r="E18" i="11"/>
  <c r="R20" i="11"/>
  <c r="S30" i="11"/>
  <c r="R5" i="11"/>
  <c r="R29" i="9"/>
  <c r="O19" i="9"/>
  <c r="B23" i="11"/>
  <c r="U7" i="11"/>
  <c r="V21" i="9"/>
  <c r="GU2" i="10"/>
  <c r="Y16" i="9"/>
  <c r="Y18" i="11"/>
  <c r="F27" i="9"/>
  <c r="P18" i="11"/>
  <c r="N20" i="11"/>
  <c r="Q25" i="9"/>
  <c r="I14" i="9"/>
  <c r="M22" i="9"/>
  <c r="T24" i="11"/>
  <c r="O6" i="11"/>
  <c r="D26" i="9"/>
  <c r="X31" i="11"/>
  <c r="V7" i="11"/>
  <c r="NS2" i="10"/>
  <c r="F21" i="9"/>
  <c r="E27" i="11"/>
  <c r="B9" i="11"/>
  <c r="H29" i="11"/>
  <c r="G19" i="11"/>
  <c r="F23" i="9"/>
  <c r="Z20" i="11"/>
  <c r="T5" i="11"/>
  <c r="O18" i="11"/>
  <c r="U30" i="11"/>
  <c r="L20" i="9"/>
  <c r="N31" i="11"/>
  <c r="Y25" i="11"/>
  <c r="T27" i="9"/>
  <c r="F29" i="11"/>
  <c r="L29" i="11"/>
  <c r="L6" i="11"/>
  <c r="B11" i="11"/>
  <c r="M16" i="11"/>
  <c r="Z18" i="9"/>
  <c r="R9" i="9"/>
  <c r="R27" i="11"/>
  <c r="O24" i="9"/>
  <c r="N14" i="11"/>
  <c r="P15" i="9"/>
  <c r="O28" i="9"/>
  <c r="V15" i="9"/>
  <c r="U8" i="9"/>
  <c r="J6" i="11"/>
  <c r="V31" i="11"/>
  <c r="G15" i="11"/>
  <c r="D17" i="11"/>
  <c r="U25" i="11"/>
  <c r="P29" i="9"/>
  <c r="E21" i="11"/>
  <c r="Y12" i="9"/>
  <c r="X29" i="9"/>
  <c r="T14" i="9"/>
  <c r="B26" i="9"/>
  <c r="N17" i="11"/>
  <c r="X4" i="9"/>
  <c r="O10" i="11"/>
  <c r="M11" i="9"/>
  <c r="Z30" i="9"/>
  <c r="V18" i="11"/>
  <c r="X13" i="11"/>
  <c r="H16" i="11"/>
  <c r="G27" i="9"/>
  <c r="AA30" i="11"/>
  <c r="P4" i="11"/>
  <c r="S26" i="9"/>
  <c r="R8" i="9"/>
  <c r="Z8" i="11"/>
  <c r="S8" i="11"/>
  <c r="T21" i="11"/>
  <c r="E9" i="9"/>
  <c r="Z27" i="9"/>
  <c r="K27" i="9"/>
  <c r="C9" i="11"/>
  <c r="B22" i="9"/>
  <c r="C11" i="11"/>
  <c r="Q4" i="11"/>
  <c r="W20" i="9"/>
  <c r="G12" i="11"/>
  <c r="H30" i="9"/>
  <c r="M15" i="11"/>
  <c r="P10" i="9"/>
  <c r="N19" i="11"/>
  <c r="T19" i="9"/>
  <c r="W11" i="11"/>
  <c r="Y24" i="11"/>
  <c r="H8" i="9"/>
  <c r="Y23" i="11"/>
  <c r="X26" i="11"/>
  <c r="S6" i="9"/>
  <c r="K14" i="11"/>
  <c r="G4" i="9"/>
  <c r="R24" i="9"/>
  <c r="W6" i="9"/>
  <c r="X6" i="9"/>
  <c r="T16" i="11"/>
  <c r="TC2" i="10"/>
  <c r="Q24" i="9"/>
  <c r="W11" i="9"/>
  <c r="I5" i="9"/>
  <c r="W2" i="12"/>
  <c r="X8" i="9"/>
  <c r="U22" i="11"/>
  <c r="S29" i="9"/>
  <c r="FG2" i="10"/>
  <c r="O29" i="11"/>
  <c r="S29" i="11"/>
  <c r="Y26" i="11"/>
  <c r="DS2" i="10"/>
  <c r="D16" i="9"/>
  <c r="M30" i="11"/>
  <c r="N6" i="11"/>
  <c r="L21" i="11"/>
  <c r="S16" i="11"/>
  <c r="Z10" i="9"/>
  <c r="O9" i="9"/>
  <c r="R31" i="11"/>
  <c r="C18" i="11"/>
  <c r="R24" i="11"/>
  <c r="Z29" i="9"/>
  <c r="AA23" i="9"/>
  <c r="W22" i="11"/>
  <c r="U15" i="9"/>
  <c r="H20" i="9"/>
  <c r="N27" i="9"/>
  <c r="J27" i="9"/>
  <c r="R14" i="11"/>
  <c r="Q19" i="9"/>
  <c r="N8" i="9"/>
  <c r="I17" i="11"/>
  <c r="J17" i="9"/>
  <c r="M30" i="9"/>
  <c r="M14" i="9"/>
  <c r="F17" i="9"/>
  <c r="W14" i="9"/>
  <c r="C16" i="11"/>
  <c r="N24" i="11"/>
  <c r="D24" i="9"/>
  <c r="V6" i="11"/>
  <c r="H26" i="11"/>
  <c r="OM2" i="10"/>
  <c r="D30" i="11"/>
  <c r="D12" i="9"/>
  <c r="AA18" i="11"/>
  <c r="N7" i="9"/>
  <c r="S22" i="11"/>
  <c r="TC2" i="12"/>
  <c r="Z19" i="11"/>
  <c r="AA26" i="11"/>
  <c r="V13" i="9"/>
  <c r="I9" i="9"/>
  <c r="E17" i="11"/>
  <c r="J21" i="9"/>
  <c r="I24" i="9"/>
  <c r="AA6" i="11"/>
  <c r="AA28" i="11"/>
  <c r="L12" i="11"/>
  <c r="M8" i="11"/>
  <c r="F4" i="9"/>
  <c r="B14" i="11"/>
  <c r="E12" i="9"/>
  <c r="N5" i="11"/>
  <c r="L16" i="9"/>
  <c r="O4" i="11"/>
  <c r="I8" i="9"/>
  <c r="Y21" i="9"/>
  <c r="J8" i="11"/>
  <c r="P11" i="9"/>
  <c r="B5" i="11"/>
  <c r="E15" i="9"/>
  <c r="Y29" i="9"/>
  <c r="I13" i="9"/>
  <c r="O5" i="9"/>
  <c r="R15" i="11"/>
  <c r="QA2" i="10"/>
  <c r="H14" i="11"/>
  <c r="S27" i="9"/>
  <c r="K12" i="11"/>
  <c r="U14" i="11"/>
  <c r="X9" i="11"/>
  <c r="Y11" i="9"/>
  <c r="E15" i="11"/>
  <c r="F16" i="9"/>
  <c r="Q5" i="9"/>
  <c r="M9" i="9"/>
  <c r="Z24" i="9"/>
  <c r="H14" i="9"/>
  <c r="O12" i="11"/>
  <c r="M17" i="9"/>
  <c r="O6" i="9"/>
  <c r="L23" i="11"/>
  <c r="C4" i="11"/>
  <c r="H28" i="11"/>
  <c r="M27" i="11"/>
  <c r="U10" i="11"/>
  <c r="DS2" i="12"/>
  <c r="G25" i="9"/>
  <c r="Y14" i="9"/>
  <c r="L4" i="9"/>
  <c r="H23" i="11"/>
  <c r="E4" i="9"/>
  <c r="U27" i="11"/>
  <c r="V7" i="9"/>
  <c r="N25" i="11"/>
  <c r="N22" i="11"/>
  <c r="E29" i="9"/>
  <c r="P17" i="9"/>
  <c r="S26" i="11"/>
  <c r="W16" i="9"/>
  <c r="P16" i="9"/>
  <c r="R30" i="11"/>
  <c r="O19" i="11"/>
  <c r="U28" i="11"/>
  <c r="J25" i="9"/>
  <c r="B21" i="11"/>
  <c r="X21" i="9"/>
  <c r="Q23" i="9"/>
  <c r="Z9" i="9"/>
  <c r="S18" i="9"/>
  <c r="G30" i="11"/>
  <c r="C25" i="11"/>
  <c r="Q10" i="11"/>
  <c r="B19" i="9"/>
  <c r="X27" i="9"/>
  <c r="O8" i="11"/>
  <c r="T29" i="11"/>
  <c r="TW2" i="10"/>
  <c r="F13" i="11"/>
  <c r="E14" i="11"/>
  <c r="K8" i="11"/>
  <c r="U12" i="11"/>
  <c r="N30" i="9"/>
  <c r="E25" i="9"/>
  <c r="P26" i="9"/>
  <c r="H5" i="11"/>
  <c r="Q28" i="9"/>
  <c r="K15" i="11"/>
  <c r="CE2" i="10"/>
  <c r="B7" i="11"/>
  <c r="H29" i="9"/>
  <c r="R29" i="11"/>
  <c r="P20" i="9"/>
  <c r="EM2" i="12"/>
  <c r="Y23" i="9"/>
  <c r="O13" i="9"/>
  <c r="LK2" i="12"/>
  <c r="L13" i="11"/>
  <c r="R4" i="9"/>
  <c r="U29" i="9"/>
  <c r="M21" i="11"/>
  <c r="AA6" i="9"/>
  <c r="C14" i="9"/>
  <c r="K4" i="9"/>
  <c r="Q21" i="11"/>
  <c r="B19" i="11"/>
  <c r="M17" i="11"/>
  <c r="S18" i="11"/>
  <c r="Q4" i="9"/>
  <c r="J30" i="11"/>
  <c r="M29" i="11"/>
  <c r="G12" i="9"/>
  <c r="S17" i="11"/>
  <c r="Y22" i="11"/>
  <c r="X18" i="9"/>
  <c r="Q24" i="11"/>
  <c r="V24" i="11"/>
  <c r="T26" i="11"/>
  <c r="C2" i="10"/>
  <c r="L15" i="11"/>
  <c r="V13" i="11"/>
  <c r="X5" i="9"/>
  <c r="W16" i="11"/>
  <c r="Q29" i="11"/>
  <c r="W8" i="11"/>
  <c r="C30" i="9"/>
  <c r="M18" i="11"/>
  <c r="K30" i="9"/>
  <c r="R23" i="11"/>
  <c r="G23" i="9"/>
  <c r="U18" i="11"/>
  <c r="Y31" i="11"/>
  <c r="T22" i="9"/>
  <c r="C22" i="11"/>
  <c r="Q27" i="11"/>
  <c r="P26" i="11"/>
  <c r="G24" i="11"/>
  <c r="I26" i="11"/>
  <c r="E12" i="11"/>
  <c r="Q15" i="9"/>
  <c r="V10" i="11"/>
  <c r="L10" i="11"/>
  <c r="M25" i="11"/>
  <c r="G25" i="11"/>
  <c r="F9" i="11"/>
  <c r="I27" i="9"/>
  <c r="W20" i="11"/>
  <c r="I16" i="11"/>
  <c r="Q13" i="9"/>
  <c r="Z17" i="11"/>
  <c r="Z12" i="11"/>
  <c r="F20" i="9"/>
  <c r="Q13" i="11"/>
  <c r="Y28" i="11"/>
  <c r="F14" i="9"/>
  <c r="X12" i="11"/>
  <c r="W29" i="9"/>
  <c r="W29" i="11"/>
  <c r="W7" i="11"/>
  <c r="O13" i="11"/>
  <c r="K25" i="9"/>
  <c r="M25" i="9"/>
  <c r="D24" i="11"/>
  <c r="X25" i="11"/>
  <c r="AA24" i="11"/>
  <c r="H9" i="11"/>
  <c r="J27" i="11"/>
  <c r="B29" i="9"/>
  <c r="M20" i="11"/>
  <c r="R4" i="11"/>
  <c r="AA17" i="9"/>
  <c r="F31" i="11"/>
  <c r="S12" i="11"/>
  <c r="R12" i="9"/>
  <c r="O10" i="9"/>
  <c r="K26" i="11"/>
  <c r="W7" i="9"/>
  <c r="C23" i="9"/>
  <c r="KQ2" i="12"/>
  <c r="Q9" i="11"/>
  <c r="E16" i="9"/>
  <c r="Y10" i="11"/>
  <c r="Z23" i="11"/>
  <c r="Y4" i="9"/>
  <c r="W12" i="11"/>
  <c r="M14" i="11"/>
  <c r="R10" i="9"/>
  <c r="S27" i="11"/>
  <c r="T25" i="9"/>
  <c r="U18" i="9"/>
  <c r="Y19" i="11"/>
  <c r="V28" i="11"/>
  <c r="J7" i="9"/>
  <c r="AA19" i="11"/>
  <c r="M28" i="9"/>
  <c r="M19" i="9"/>
  <c r="U11" i="11"/>
  <c r="B10" i="9"/>
  <c r="X15" i="9"/>
  <c r="R13" i="9"/>
  <c r="C25" i="9"/>
  <c r="Y28" i="9"/>
  <c r="AA8" i="11"/>
  <c r="T17" i="9"/>
  <c r="K8" i="9"/>
  <c r="N18" i="11"/>
  <c r="AA18" i="9"/>
  <c r="Z28" i="11"/>
  <c r="B27" i="11"/>
  <c r="N19" i="9"/>
  <c r="E19" i="11"/>
  <c r="B11" i="9"/>
  <c r="C15" i="11"/>
  <c r="M7" i="9"/>
  <c r="T30" i="9"/>
  <c r="D23" i="9"/>
  <c r="S15" i="9"/>
  <c r="JC2" i="10"/>
  <c r="X8" i="11"/>
  <c r="Y30" i="11"/>
  <c r="J31" i="11"/>
  <c r="R11" i="11"/>
  <c r="O11" i="9"/>
  <c r="I29" i="9"/>
  <c r="R25" i="11"/>
  <c r="T29" i="9"/>
  <c r="P23" i="11"/>
  <c r="N5" i="9"/>
  <c r="C21" i="11"/>
  <c r="N8" i="11"/>
  <c r="Y8" i="9"/>
  <c r="E30" i="9"/>
  <c r="AA7" i="9"/>
  <c r="P27" i="11"/>
  <c r="E13" i="9"/>
  <c r="Z5" i="11"/>
  <c r="R28" i="11"/>
  <c r="F19" i="9"/>
  <c r="Z19" i="9"/>
  <c r="D27" i="9"/>
  <c r="W30" i="11"/>
  <c r="I16" i="9"/>
  <c r="AA19" i="9"/>
  <c r="I9" i="11"/>
  <c r="H17" i="9"/>
  <c r="T21" i="9"/>
  <c r="V16" i="9"/>
  <c r="I18" i="11"/>
  <c r="Y15" i="11"/>
  <c r="F27" i="11"/>
  <c r="Y27" i="9"/>
  <c r="F17" i="11"/>
  <c r="Y13" i="11"/>
  <c r="B10" i="11"/>
  <c r="V21" i="11"/>
  <c r="W28" i="9"/>
  <c r="I11" i="9"/>
  <c r="Q27" i="9"/>
  <c r="BK2" i="10"/>
  <c r="L9" i="9"/>
  <c r="W19" i="11"/>
  <c r="M29" i="9"/>
  <c r="E20" i="11"/>
  <c r="L18" i="11"/>
  <c r="J14" i="9"/>
  <c r="V15" i="11"/>
  <c r="Q30" i="9"/>
  <c r="E25" i="11"/>
  <c r="X28" i="9"/>
  <c r="B15" i="11"/>
  <c r="C27" i="11"/>
  <c r="O16" i="9"/>
  <c r="W25" i="11"/>
  <c r="CE2" i="12"/>
  <c r="Q8" i="9"/>
  <c r="T4" i="11"/>
  <c r="Z7" i="11"/>
  <c r="W4" i="9"/>
  <c r="Q28" i="11"/>
  <c r="Z26" i="11"/>
  <c r="Y9" i="9"/>
  <c r="Z14" i="9"/>
  <c r="E23" i="9"/>
  <c r="M6" i="9"/>
  <c r="AA20" i="9"/>
  <c r="I22" i="11"/>
  <c r="AA9" i="9"/>
  <c r="G9" i="9"/>
  <c r="N4" i="11"/>
  <c r="V5" i="11"/>
  <c r="R28" i="9"/>
  <c r="I20" i="9"/>
  <c r="X16" i="11"/>
  <c r="L9" i="11"/>
  <c r="M10" i="11"/>
  <c r="B26" i="11"/>
  <c r="S30" i="9"/>
  <c r="Q22" i="11"/>
  <c r="Y18" i="9"/>
  <c r="G23" i="11"/>
  <c r="K28" i="9"/>
  <c r="Z11" i="11"/>
  <c r="U19" i="9"/>
  <c r="G10" i="11"/>
  <c r="O20" i="11"/>
  <c r="F22" i="9"/>
  <c r="G28" i="11"/>
  <c r="Q11" i="9"/>
  <c r="L31" i="11"/>
  <c r="P11" i="11"/>
  <c r="R9" i="11"/>
  <c r="H10" i="11"/>
  <c r="K18" i="11"/>
  <c r="F15" i="9"/>
  <c r="K6" i="11"/>
  <c r="V23" i="11"/>
  <c r="E8" i="9"/>
  <c r="Z9" i="11"/>
  <c r="L14" i="9"/>
  <c r="G26" i="11"/>
  <c r="Z6" i="9"/>
  <c r="N11" i="11"/>
  <c r="K17" i="11"/>
  <c r="D10" i="9"/>
  <c r="K22" i="11"/>
  <c r="D28" i="9"/>
  <c r="N27" i="11"/>
  <c r="K21" i="11"/>
  <c r="W14" i="11"/>
  <c r="L24" i="11"/>
  <c r="M21" i="9"/>
  <c r="E31" i="11"/>
  <c r="W24" i="11"/>
  <c r="J5" i="9"/>
  <c r="D25" i="11"/>
  <c r="F16" i="11"/>
  <c r="I17" i="9"/>
  <c r="I21" i="11"/>
  <c r="Y10" i="9"/>
  <c r="Q7" i="9"/>
  <c r="F30" i="11"/>
  <c r="Q9" i="9"/>
  <c r="K11" i="9"/>
  <c r="P13" i="9"/>
  <c r="W21" i="9"/>
  <c r="Y27" i="11"/>
  <c r="C26" i="11"/>
  <c r="V20" i="11"/>
  <c r="F18" i="11"/>
  <c r="C24" i="9"/>
  <c r="B13" i="11"/>
  <c r="AA11" i="9"/>
  <c r="U17" i="11"/>
  <c r="P28" i="11"/>
  <c r="R11" i="9"/>
  <c r="W15" i="11"/>
  <c r="H15" i="11"/>
  <c r="Z26" i="9"/>
  <c r="H22" i="11"/>
  <c r="T26" i="9"/>
  <c r="K20" i="9"/>
  <c r="P12" i="11"/>
  <c r="H22" i="9"/>
  <c r="U10" i="9"/>
  <c r="B30" i="9"/>
  <c r="M12" i="11"/>
  <c r="G5" i="11"/>
  <c r="I5" i="11"/>
  <c r="L17" i="11"/>
  <c r="AA12" i="9"/>
  <c r="Q21" i="9"/>
  <c r="L23" i="9"/>
  <c r="J18" i="9"/>
  <c r="Z18" i="11"/>
  <c r="H26" i="9"/>
  <c r="O30" i="9"/>
  <c r="N23" i="11"/>
  <c r="N15" i="9"/>
  <c r="G26" i="9"/>
  <c r="Z30" i="11"/>
  <c r="V23" i="9"/>
  <c r="D22" i="11"/>
  <c r="H12" i="9"/>
  <c r="Q20" i="11"/>
  <c r="W10" i="11"/>
  <c r="C6" i="9"/>
  <c r="N13" i="11"/>
  <c r="L15" i="9"/>
  <c r="X16" i="9"/>
  <c r="X17" i="9"/>
  <c r="F12" i="11"/>
  <c r="D27" i="11"/>
  <c r="P18" i="9"/>
  <c r="X20" i="11"/>
  <c r="G8" i="11"/>
  <c r="W2" i="10"/>
  <c r="AA14" i="9"/>
  <c r="O24" i="11"/>
  <c r="X27" i="11"/>
  <c r="L8" i="11"/>
  <c r="I27" i="11"/>
  <c r="J29" i="9"/>
  <c r="S4" i="11"/>
  <c r="R14" i="9"/>
  <c r="S7" i="11"/>
  <c r="K9" i="11"/>
  <c r="C10" i="11"/>
  <c r="O4" i="9"/>
  <c r="J10" i="9"/>
  <c r="O22" i="11"/>
  <c r="T28" i="9"/>
  <c r="V27" i="11"/>
  <c r="F13" i="9"/>
  <c r="AA27" i="9"/>
  <c r="X10" i="11"/>
  <c r="VH2" i="12"/>
  <c r="E6" i="9"/>
  <c r="B12" i="9"/>
  <c r="T20" i="11"/>
  <c r="O27" i="9"/>
  <c r="O26" i="11"/>
  <c r="O23" i="9"/>
  <c r="I25" i="11"/>
  <c r="G20" i="11"/>
  <c r="M18" i="9"/>
  <c r="D14" i="11"/>
  <c r="U25" i="9"/>
  <c r="R10" i="11"/>
  <c r="F19" i="11"/>
  <c r="D16" i="11"/>
  <c r="P31" i="11"/>
  <c r="J15" i="9"/>
  <c r="Q7" i="11"/>
  <c r="K17" i="9"/>
  <c r="R19" i="9"/>
  <c r="QU2" i="12"/>
  <c r="B24" i="9"/>
  <c r="V8" i="9"/>
  <c r="AA9" i="11"/>
  <c r="E5" i="9"/>
  <c r="L8" i="9"/>
  <c r="K22" i="9"/>
  <c r="P30" i="11"/>
  <c r="AA5" i="9"/>
  <c r="K7" i="9"/>
  <c r="H5" i="9"/>
  <c r="Y4" i="11"/>
  <c r="K10" i="9"/>
  <c r="V12" i="11"/>
  <c r="R20" i="9"/>
  <c r="H21" i="9"/>
  <c r="X30" i="11"/>
  <c r="V22" i="9"/>
  <c r="X19" i="9"/>
  <c r="J24" i="9"/>
  <c r="W15" i="9"/>
  <c r="B14" i="9"/>
  <c r="P27" i="9"/>
  <c r="AA23" i="11"/>
  <c r="C20" i="9"/>
  <c r="PG2" i="12"/>
  <c r="BK2" i="12"/>
  <c r="Q5" i="11"/>
  <c r="Y20" i="9"/>
  <c r="AA20" i="11"/>
  <c r="O26" i="9"/>
  <c r="H16" i="9"/>
  <c r="S22" i="9"/>
  <c r="Y15" i="9"/>
  <c r="K23" i="11"/>
  <c r="G15" i="9"/>
  <c r="H13" i="9"/>
  <c r="K23" i="9"/>
  <c r="S12" i="9"/>
  <c r="N12" i="11"/>
  <c r="R8" i="11"/>
  <c r="V17" i="9"/>
  <c r="U11" i="9"/>
  <c r="L28" i="9"/>
  <c r="H28" i="9"/>
  <c r="T19" i="11"/>
  <c r="H18" i="9"/>
  <c r="N26" i="11"/>
  <c r="SI2" i="10"/>
  <c r="G22" i="11"/>
  <c r="K21" i="9"/>
  <c r="R7" i="11"/>
  <c r="S25" i="9"/>
  <c r="R27" i="9"/>
  <c r="Q26" i="11"/>
  <c r="K26" i="9"/>
  <c r="W13" i="9"/>
  <c r="U26" i="11"/>
  <c r="U12" i="9"/>
  <c r="C2" i="12"/>
  <c r="Z20" i="9"/>
  <c r="Z7" i="9"/>
  <c r="Y7" i="9"/>
  <c r="D18" i="11"/>
  <c r="G14" i="11"/>
  <c r="G8" i="9"/>
  <c r="G21" i="11"/>
  <c r="AA24" i="9"/>
  <c r="L20" i="11"/>
  <c r="W17" i="9"/>
  <c r="I22" i="9"/>
  <c r="N15" i="11"/>
  <c r="I20" i="11"/>
  <c r="T5" i="9"/>
  <c r="T9" i="9"/>
  <c r="R18" i="9"/>
  <c r="I21" i="9"/>
  <c r="E16" i="11"/>
  <c r="E5" i="11"/>
  <c r="S31" i="11"/>
  <c r="K13" i="11"/>
  <c r="D21" i="9"/>
  <c r="Z13" i="9"/>
  <c r="L10" i="9"/>
  <c r="W6" i="11"/>
  <c r="H24" i="11"/>
  <c r="AA10" i="9"/>
  <c r="B4" i="9"/>
  <c r="GA2" i="12"/>
  <c r="L18" i="9"/>
  <c r="P19" i="11"/>
  <c r="L17" i="9"/>
  <c r="K4" i="11"/>
  <c r="AA15" i="9"/>
  <c r="E19" i="9"/>
  <c r="W18" i="9"/>
  <c r="H6" i="11"/>
  <c r="Q17" i="11"/>
  <c r="X23" i="11"/>
  <c r="D15" i="9"/>
  <c r="Y12" i="11"/>
  <c r="M20" i="9"/>
  <c r="H23" i="9"/>
  <c r="D8" i="9"/>
  <c r="N13" i="9"/>
  <c r="J14" i="11"/>
  <c r="II2" i="12"/>
  <c r="T22" i="11"/>
  <c r="AA7" i="11"/>
  <c r="T9" i="11"/>
  <c r="H6" i="9"/>
  <c r="G7" i="11"/>
  <c r="F20" i="11"/>
  <c r="Z29" i="11"/>
  <c r="J11" i="11"/>
  <c r="O21" i="9"/>
  <c r="N11" i="9"/>
  <c r="Z12" i="9"/>
  <c r="L30" i="11"/>
  <c r="J4" i="11"/>
  <c r="W30" i="9"/>
  <c r="V16" i="11"/>
  <c r="R21" i="11"/>
  <c r="C19" i="9"/>
  <c r="N17" i="9"/>
  <c r="D12" i="11"/>
  <c r="M22" i="11"/>
  <c r="X28" i="11"/>
  <c r="H7" i="11"/>
  <c r="Y6" i="9"/>
  <c r="W31" i="11"/>
  <c r="M7" i="11"/>
  <c r="W10" i="9"/>
  <c r="P25" i="11"/>
  <c r="L16" i="11"/>
  <c r="C4" i="9"/>
  <c r="TW2" i="12"/>
  <c r="R17" i="9"/>
  <c r="C19" i="11"/>
  <c r="C28" i="11"/>
  <c r="P5" i="9"/>
  <c r="E10" i="9"/>
  <c r="U5" i="11"/>
  <c r="I10" i="11"/>
  <c r="P25" i="9"/>
  <c r="R23" i="9"/>
  <c r="N4" i="9"/>
  <c r="Z23" i="9"/>
  <c r="G30" i="9"/>
  <c r="P20" i="11"/>
  <c r="E13" i="11"/>
  <c r="J20" i="11"/>
  <c r="W5" i="9"/>
  <c r="F29" i="9"/>
  <c r="SI2" i="12"/>
  <c r="Q17" i="9"/>
  <c r="K5" i="9"/>
  <c r="N18" i="9"/>
  <c r="E28" i="9"/>
  <c r="T13" i="11"/>
  <c r="K30" i="11"/>
  <c r="J11" i="9"/>
  <c r="Q16" i="9"/>
  <c r="AQ2" i="12"/>
  <c r="C29" i="9"/>
  <c r="V30" i="11"/>
  <c r="Y17" i="11"/>
  <c r="E26" i="9"/>
  <c r="L26" i="9"/>
  <c r="E4" i="11"/>
  <c r="J16" i="11"/>
  <c r="I18" i="9"/>
  <c r="L6" i="9"/>
  <c r="J15" i="11"/>
  <c r="VE2" i="10"/>
  <c r="C13" i="9"/>
  <c r="P6" i="11"/>
  <c r="G6" i="11"/>
  <c r="Y21" i="11"/>
  <c r="M26" i="9"/>
  <c r="H7" i="9"/>
  <c r="G27" i="11"/>
  <c r="B6" i="9"/>
  <c r="V22" i="11"/>
  <c r="K12" i="9"/>
  <c r="Q26" i="9"/>
  <c r="V30" i="9"/>
  <c r="R25" i="9"/>
  <c r="O5" i="11"/>
  <c r="K25" i="11"/>
  <c r="U5" i="9"/>
  <c r="G16" i="9"/>
  <c r="W17" i="11"/>
  <c r="V29" i="11"/>
  <c r="W18" i="11"/>
  <c r="Y6" i="11"/>
  <c r="K11" i="11"/>
  <c r="O29" i="9"/>
  <c r="F23" i="11"/>
  <c r="C10" i="9"/>
  <c r="M24" i="9"/>
  <c r="Z22" i="11"/>
  <c r="Q8" i="11"/>
  <c r="I25" i="9"/>
  <c r="F9" i="9"/>
  <c r="U9" i="9"/>
  <c r="S16" i="9"/>
  <c r="T17" i="11"/>
  <c r="G28" i="9"/>
  <c r="X10" i="9"/>
  <c r="O15" i="9"/>
  <c r="T18" i="11"/>
  <c r="Z6" i="11"/>
  <c r="F12" i="9"/>
  <c r="O27" i="11"/>
  <c r="U9" i="11"/>
  <c r="R6" i="9"/>
  <c r="P22" i="11"/>
  <c r="B16" i="11"/>
  <c r="C30" i="11"/>
  <c r="Q18" i="11"/>
  <c r="S24" i="9"/>
  <c r="QU2" i="10"/>
  <c r="N25" i="9"/>
  <c r="N21" i="11"/>
  <c r="U31" i="11"/>
  <c r="P10" i="11"/>
  <c r="W4" i="11"/>
  <c r="V5" i="9"/>
  <c r="G16" i="11"/>
  <c r="W5" i="11"/>
  <c r="C20" i="11"/>
  <c r="V28" i="9"/>
  <c r="O20" i="9"/>
  <c r="S11" i="11"/>
  <c r="U28" i="9"/>
  <c r="Y26" i="9"/>
  <c r="I4" i="9"/>
  <c r="X11" i="11"/>
  <c r="W23" i="9"/>
  <c r="Q20" i="9"/>
  <c r="I30" i="9"/>
  <c r="Y16" i="11"/>
  <c r="R21" i="9"/>
  <c r="X24" i="9"/>
  <c r="AA26" i="9"/>
  <c r="F4" i="11"/>
  <c r="B22" i="11"/>
  <c r="S5" i="9"/>
  <c r="T18" i="9"/>
  <c r="E8" i="11"/>
  <c r="M28" i="11"/>
  <c r="S21" i="11"/>
  <c r="F7" i="9"/>
  <c r="R19" i="11"/>
  <c r="J20" i="9"/>
  <c r="J22" i="9"/>
  <c r="L5" i="9"/>
  <c r="W25" i="9"/>
  <c r="I6" i="9"/>
  <c r="V6" i="9"/>
  <c r="AA22" i="11"/>
  <c r="L28" i="11"/>
  <c r="J17" i="11"/>
  <c r="R5" i="9"/>
  <c r="O7" i="9"/>
  <c r="U4" i="11"/>
  <c r="Z10" i="11"/>
  <c r="K29" i="11"/>
  <c r="E17" i="9"/>
  <c r="B18" i="11"/>
  <c r="K19" i="11"/>
  <c r="CY2" i="10"/>
  <c r="E20" i="9"/>
  <c r="H19" i="11"/>
  <c r="G10" i="9"/>
  <c r="X7" i="9"/>
  <c r="J21" i="11"/>
  <c r="C22" i="9"/>
  <c r="L21" i="9"/>
  <c r="V14" i="11"/>
  <c r="X4" i="11"/>
  <c r="M19" i="11"/>
  <c r="B25" i="9"/>
  <c r="H11" i="9"/>
  <c r="C23" i="11"/>
  <c r="D15" i="11"/>
  <c r="O31" i="11"/>
  <c r="T12" i="9"/>
  <c r="Z25" i="9"/>
  <c r="L22" i="9"/>
  <c r="L30" i="9"/>
  <c r="E30" i="11"/>
  <c r="I28" i="9"/>
  <c r="R13" i="11"/>
  <c r="RO2" i="10"/>
  <c r="F15" i="11"/>
  <c r="Q30" i="11"/>
  <c r="U26" i="9"/>
  <c r="Z8" i="9"/>
  <c r="G6" i="9"/>
  <c r="E22" i="11"/>
  <c r="P24" i="11"/>
  <c r="V19" i="11"/>
  <c r="AA13" i="11"/>
  <c r="P4" i="9"/>
  <c r="L11" i="11"/>
  <c r="P7" i="9"/>
  <c r="D31" i="11"/>
  <c r="Z21" i="9"/>
  <c r="D4" i="9"/>
  <c r="J22" i="11"/>
  <c r="H13" i="11"/>
  <c r="M16" i="9"/>
  <c r="T12" i="11"/>
  <c r="N21" i="9"/>
  <c r="U17" i="9"/>
  <c r="Q12" i="9"/>
  <c r="O30" i="11"/>
  <c r="B12" i="11"/>
  <c r="N23" i="9"/>
  <c r="S17" i="9"/>
  <c r="X17" i="11"/>
  <c r="O11" i="11"/>
  <c r="B20" i="11"/>
  <c r="P16" i="11"/>
  <c r="K5" i="11"/>
  <c r="T30" i="11"/>
  <c r="S14" i="9"/>
  <c r="D23" i="11"/>
  <c r="AA4" i="9"/>
  <c r="E24" i="9"/>
  <c r="H10" i="9"/>
  <c r="S10" i="9"/>
  <c r="M12" i="9"/>
  <c r="F5" i="11"/>
  <c r="L19" i="11"/>
  <c r="QA2" i="12"/>
  <c r="V29" i="9"/>
  <c r="GA2" i="10"/>
  <c r="ME2" i="10"/>
  <c r="Z24" i="11"/>
  <c r="M13" i="9"/>
  <c r="G20" i="9"/>
  <c r="B8" i="9"/>
  <c r="X9" i="9"/>
  <c r="U7" i="9"/>
  <c r="Y5" i="9"/>
  <c r="N10" i="11"/>
  <c r="K27" i="11"/>
  <c r="CY2" i="12"/>
  <c r="B18" i="9"/>
  <c r="G31" i="11"/>
  <c r="V26" i="9"/>
  <c r="S19" i="9"/>
  <c r="C31" i="11"/>
  <c r="OM2" i="12"/>
  <c r="II2" i="10"/>
  <c r="I7" i="9"/>
  <c r="JW2" i="12"/>
  <c r="F14" i="11"/>
  <c r="L19" i="9"/>
  <c r="W26" i="9"/>
  <c r="H27" i="11"/>
  <c r="C15" i="9"/>
  <c r="W12" i="9"/>
  <c r="J12" i="9"/>
  <c r="Y19" i="9"/>
  <c r="M26" i="11"/>
  <c r="I7" i="11"/>
  <c r="H17" i="11"/>
  <c r="F7" i="11"/>
  <c r="I8" i="11"/>
  <c r="Y13" i="9"/>
  <c r="T6" i="11"/>
  <c r="HO2" i="10"/>
  <c r="JC2" i="12"/>
  <c r="M9" i="11"/>
  <c r="B24" i="11"/>
  <c r="D19" i="11"/>
  <c r="O9" i="11"/>
  <c r="I19" i="9"/>
  <c r="O17" i="9"/>
  <c r="AA11" i="11"/>
  <c r="I11" i="11"/>
  <c r="V27" i="9"/>
  <c r="X29" i="11"/>
  <c r="B21" i="9"/>
  <c r="J30" i="9"/>
  <c r="H19" i="9"/>
  <c r="E9" i="11"/>
  <c r="Z27" i="11"/>
  <c r="J13" i="11"/>
  <c r="V11" i="9"/>
  <c r="O7" i="11"/>
  <c r="V26" i="11"/>
  <c r="Q22" i="9"/>
  <c r="T15" i="9"/>
  <c r="P9" i="11"/>
  <c r="D7" i="9"/>
  <c r="X20" i="9"/>
  <c r="W26" i="11"/>
  <c r="C5" i="9"/>
  <c r="AA8" i="9"/>
  <c r="S11" i="9"/>
  <c r="Q25" i="11"/>
  <c r="H12" i="11"/>
  <c r="K7" i="11"/>
  <c r="U24" i="11"/>
  <c r="C24" i="11"/>
  <c r="N26" i="9"/>
  <c r="Z14" i="11"/>
  <c r="C26" i="9"/>
  <c r="R18" i="11"/>
  <c r="J26" i="9"/>
  <c r="M23" i="9"/>
  <c r="U24" i="9"/>
  <c r="Y20" i="11"/>
  <c r="S10" i="11"/>
  <c r="M6" i="11"/>
  <c r="ME2" i="12"/>
  <c r="D18" i="9"/>
  <c r="J6" i="9"/>
  <c r="V9" i="9"/>
  <c r="T23" i="11"/>
  <c r="K16" i="11"/>
  <c r="AQ2" i="10"/>
  <c r="Y24" i="9"/>
  <c r="J18" i="11"/>
  <c r="N10" i="9"/>
  <c r="O22" i="9"/>
  <c r="W23" i="11"/>
  <c r="Y5" i="11"/>
  <c r="H18" i="11"/>
  <c r="O8" i="9"/>
  <c r="D29" i="9"/>
  <c r="Y14" i="11"/>
  <c r="G17" i="9"/>
  <c r="B8" i="11"/>
  <c r="AA27" i="11"/>
  <c r="P19" i="9"/>
  <c r="T7" i="11"/>
  <c r="K14" i="9"/>
  <c r="K31" i="11"/>
  <c r="F28" i="9"/>
  <c r="X6" i="11"/>
  <c r="E7" i="9"/>
  <c r="T8" i="11"/>
  <c r="N16" i="9"/>
  <c r="L25" i="9"/>
  <c r="S24" i="11"/>
  <c r="J9" i="9"/>
  <c r="D10" i="11"/>
  <c r="W22" i="9"/>
  <c r="E11" i="11"/>
  <c r="O14" i="9"/>
  <c r="C12" i="11"/>
  <c r="B6" i="11"/>
  <c r="S7" i="9"/>
  <c r="U27" i="9"/>
  <c r="T23" i="9"/>
  <c r="I10" i="9"/>
  <c r="C29" i="11"/>
  <c r="Q14" i="9"/>
  <c r="Y22" i="9"/>
  <c r="O25" i="11"/>
  <c r="E10" i="11"/>
  <c r="B5" i="9"/>
  <c r="Q14" i="11"/>
  <c r="I28" i="11"/>
  <c r="T15" i="11"/>
  <c r="L26" i="11"/>
  <c r="U23" i="11"/>
  <c r="N29" i="11"/>
  <c r="D14" i="9"/>
  <c r="P24" i="9"/>
  <c r="U30" i="9"/>
  <c r="D6" i="11"/>
  <c r="M10" i="9"/>
  <c r="C14" i="11"/>
  <c r="S25" i="11"/>
  <c r="B20" i="9"/>
  <c r="O16" i="11"/>
  <c r="LK2" i="10"/>
  <c r="AA16" i="11"/>
  <c r="U29" i="11"/>
  <c r="F30" i="9"/>
  <c r="S4" i="9"/>
  <c r="Z16" i="9"/>
  <c r="Y7" i="11"/>
  <c r="N20" i="9"/>
  <c r="G24" i="9"/>
  <c r="AA25" i="11"/>
  <c r="T27" i="11"/>
  <c r="U20" i="9"/>
  <c r="V4" i="9"/>
  <c r="X22" i="11"/>
  <c r="C9" i="9"/>
  <c r="M27" i="9"/>
  <c r="S20" i="11"/>
  <c r="W8" i="9"/>
  <c r="AA29" i="11"/>
  <c r="U20" i="11"/>
  <c r="I29" i="11"/>
  <c r="K24" i="9"/>
  <c r="G4" i="11"/>
  <c r="D19" i="9"/>
  <c r="B17" i="11"/>
  <c r="H8" i="11"/>
  <c r="Z13" i="11"/>
  <c r="S15" i="11"/>
  <c r="C17" i="11"/>
  <c r="F6" i="9"/>
  <c r="AA15" i="11"/>
  <c r="J28" i="9"/>
  <c r="G22" i="9"/>
  <c r="P14" i="11"/>
  <c r="AA21" i="11"/>
  <c r="RO2" i="12"/>
  <c r="T24" i="9"/>
  <c r="Q6" i="9"/>
  <c r="D8" i="11"/>
  <c r="H25" i="9"/>
  <c r="O15" i="11"/>
  <c r="X14" i="9"/>
  <c r="Y11" i="11"/>
  <c r="H9" i="9"/>
  <c r="U16" i="9"/>
  <c r="G29" i="9"/>
  <c r="H21" i="11"/>
  <c r="M15" i="9"/>
  <c r="P14" i="9"/>
  <c r="HO2" i="12"/>
  <c r="C13" i="11"/>
  <c r="W24" i="9"/>
  <c r="U15" i="11"/>
  <c r="C18" i="9"/>
  <c r="P8" i="11"/>
  <c r="T28" i="11"/>
  <c r="F21" i="11"/>
  <c r="G7" i="9"/>
  <c r="G18" i="11"/>
  <c r="EM2" i="10"/>
  <c r="B4" i="11"/>
  <c r="D9" i="9"/>
  <c r="M24" i="11"/>
  <c r="J12" i="11"/>
  <c r="T6" i="9"/>
  <c r="U8" i="11"/>
  <c r="D5" i="11"/>
  <c r="Z22" i="9"/>
  <c r="D11" i="11"/>
  <c r="D25" i="9"/>
  <c r="AA17" i="11"/>
  <c r="Q18" i="9"/>
  <c r="J28" i="11"/>
  <c r="Q6" i="11"/>
  <c r="V24" i="9"/>
  <c r="W27" i="11"/>
  <c r="B7" i="9"/>
  <c r="Z5" i="9"/>
  <c r="S28" i="9"/>
  <c r="S9" i="9"/>
  <c r="F24" i="9"/>
  <c r="U16" i="11"/>
  <c r="J7" i="11"/>
  <c r="B28" i="11"/>
  <c r="M5" i="11"/>
  <c r="Z11" i="9"/>
  <c r="N28" i="11"/>
  <c r="F26" i="11"/>
  <c r="J23" i="9"/>
  <c r="Y25" i="9"/>
  <c r="I6" i="11"/>
  <c r="T7" i="9"/>
  <c r="D7" i="11"/>
  <c r="S28" i="11"/>
  <c r="O25" i="9"/>
  <c r="J9" i="11"/>
  <c r="K9" i="9"/>
  <c r="B17" i="9"/>
  <c r="R30" i="9"/>
  <c r="P6" i="9"/>
  <c r="X30" i="9"/>
  <c r="X21" i="11"/>
  <c r="O21" i="11"/>
  <c r="J26" i="11"/>
  <c r="Z15" i="9"/>
  <c r="I26" i="9"/>
  <c r="M4" i="9"/>
  <c r="J8" i="9"/>
  <c r="F25" i="9"/>
  <c r="G18" i="9"/>
  <c r="AA13" i="9"/>
  <c r="G11" i="11"/>
  <c r="L12" i="9"/>
  <c r="G14" i="9"/>
  <c r="UQ2" i="12"/>
  <c r="P22" i="9"/>
  <c r="L5" i="11"/>
  <c r="Q23" i="11"/>
  <c r="F28" i="11"/>
  <c r="T4" i="9"/>
  <c r="D20" i="9"/>
  <c r="X22" i="9"/>
  <c r="S23" i="11"/>
  <c r="V18" i="9"/>
  <c r="G11" i="9"/>
  <c r="F11" i="11"/>
  <c r="Q29" i="9"/>
  <c r="F8" i="11"/>
  <c r="I23" i="9"/>
  <c r="F24" i="11"/>
  <c r="F18" i="9"/>
  <c r="J13" i="9"/>
  <c r="D22" i="9"/>
  <c r="K20" i="11"/>
  <c r="R15" i="9"/>
  <c r="V8" i="11"/>
  <c r="N9" i="11"/>
  <c r="N29" i="9"/>
  <c r="S6" i="11"/>
  <c r="M23" i="11"/>
  <c r="R22" i="11"/>
  <c r="P15" i="11"/>
  <c r="C28" i="9"/>
  <c r="J4" i="9"/>
  <c r="I14" i="11"/>
  <c r="K28" i="11"/>
  <c r="J19" i="9"/>
  <c r="U19" i="11"/>
  <c r="S23" i="9"/>
  <c r="H30" i="11"/>
  <c r="F5" i="9"/>
  <c r="O12" i="9"/>
  <c r="AA29" i="9"/>
  <c r="G29" i="11"/>
  <c r="E7" i="11"/>
  <c r="N12" i="9"/>
  <c r="I19" i="11"/>
  <c r="R16" i="9"/>
  <c r="Z17" i="9"/>
  <c r="D11" i="9"/>
  <c r="V25" i="9"/>
  <c r="P17" i="11"/>
  <c r="E18" i="9"/>
  <c r="P9" i="9"/>
  <c r="C11" i="9"/>
  <c r="B16" i="9"/>
</calcChain>
</file>

<file path=xl/sharedStrings.xml><?xml version="1.0" encoding="utf-8"?>
<sst xmlns="http://schemas.openxmlformats.org/spreadsheetml/2006/main" count="2218" uniqueCount="206">
  <si>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</si>
  <si>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</si>
  <si>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</si>
  <si>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</si>
  <si>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</si>
  <si>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</si>
  <si>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</si>
  <si>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</si>
  <si>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</si>
  <si>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</si>
  <si>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</si>
  <si>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</si>
  <si>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</si>
  <si>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</si>
  <si>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</si>
  <si>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</si>
  <si>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</si>
  <si>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</si>
  <si>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 xml:space="preserve"> D2/1 - AP</t>
  </si>
  <si>
    <t>Domaine 3</t>
  </si>
  <si>
    <t xml:space="preserve"> D3/1</t>
  </si>
  <si>
    <t>D3/2 - AP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</si>
  <si>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</si>
  <si>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</si>
  <si>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</si>
  <si>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</si>
  <si>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</si>
  <si>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</si>
  <si>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</si>
  <si>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</si>
  <si>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</si>
  <si>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</si>
  <si>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</si>
  <si>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</si>
  <si>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</si>
  <si>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</si>
  <si>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</si>
  <si>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</si>
  <si>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</si>
  <si>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D2/1</t>
  </si>
  <si>
    <t>D3/2</t>
  </si>
  <si>
    <t>Note globale</t>
  </si>
  <si>
    <t>Notation</t>
  </si>
  <si>
    <t>Nom de la feuille liée</t>
  </si>
  <si>
    <t>Indice  de liste</t>
  </si>
  <si>
    <t>Lignes des domaines</t>
  </si>
  <si>
    <t>D2/1 - AP</t>
  </si>
  <si>
    <t>Décalage</t>
  </si>
  <si>
    <t>D2/2 - AP</t>
  </si>
  <si>
    <t xml:space="preserve"> D2/2 - AP</t>
  </si>
  <si>
    <t>D2/2</t>
  </si>
  <si>
    <t>AGATHON Cassandre</t>
  </si>
  <si>
    <t>ANDRE Myriam</t>
  </si>
  <si>
    <t>AUBRY Manon</t>
  </si>
  <si>
    <t>BASSEGUY Anaelle</t>
  </si>
  <si>
    <t>BILLOT Honorine</t>
  </si>
  <si>
    <t>BLAUDIN DE THE Jeanne</t>
  </si>
  <si>
    <t>BONNEFOUS Maylis</t>
  </si>
  <si>
    <t>CLEMENT Aubry</t>
  </si>
  <si>
    <t>COMBROUZE Marc</t>
  </si>
  <si>
    <t>DE GERMAY DE CIRFONTAINE Louis</t>
  </si>
  <si>
    <t>DE SAINT MARTIN Jacques</t>
  </si>
  <si>
    <t>DOLET Melvyn</t>
  </si>
  <si>
    <t>DUTEY-HARISPE Marthe</t>
  </si>
  <si>
    <t>GANTET Emilie</t>
  </si>
  <si>
    <t>GEORGET Joseph</t>
  </si>
  <si>
    <t>GERVAIS-PRIMORAC Jeanne</t>
  </si>
  <si>
    <t>JUTEL Leonard</t>
  </si>
  <si>
    <t>LE BOULAIRE Matteo</t>
  </si>
  <si>
    <t>LECHAT Batiste</t>
  </si>
  <si>
    <t>MAUVE Lucrece</t>
  </si>
  <si>
    <t>MAZALEYRAT Joshua</t>
  </si>
  <si>
    <t>PATRYL Cloe</t>
  </si>
  <si>
    <t>PEREIRA Lucie</t>
  </si>
  <si>
    <t>RIVIERE Jean</t>
  </si>
  <si>
    <t>SOLDAT Candyce</t>
  </si>
  <si>
    <t>VUILLEMIN Blanche</t>
  </si>
  <si>
    <t>Classe (4ème2)
2017 2018</t>
  </si>
  <si>
    <t>Elève (4ème2)</t>
  </si>
  <si>
    <t>ANDRE Lucas</t>
  </si>
  <si>
    <t>ARBIB Nolan</t>
  </si>
  <si>
    <t>BARRIETIS Jael</t>
  </si>
  <si>
    <t>BONNEAU Victor</t>
  </si>
  <si>
    <t>BRARD Prune</t>
  </si>
  <si>
    <t>COELHO Bergeline</t>
  </si>
  <si>
    <t>DELBOUSCAS Margaux</t>
  </si>
  <si>
    <t>DELPLACE Gregoire</t>
  </si>
  <si>
    <t>DU FRESNE DE VIREL Constance</t>
  </si>
  <si>
    <t>FARMAN Edgar</t>
  </si>
  <si>
    <t>FRANCOIS Jules</t>
  </si>
  <si>
    <t>GAUCHER Chaya</t>
  </si>
  <si>
    <t>GEAY Baptiste</t>
  </si>
  <si>
    <t>GIRARD--RAZEL Merlin</t>
  </si>
  <si>
    <t>LECCIA Clotilde</t>
  </si>
  <si>
    <t>LECOMTE Emilien</t>
  </si>
  <si>
    <t>LEPRINCE Pierre</t>
  </si>
  <si>
    <t>LUZURIER Raphael</t>
  </si>
  <si>
    <t>MASSUARD Louis</t>
  </si>
  <si>
    <t>MAUVE Juliette</t>
  </si>
  <si>
    <t>MOTILLON Jeanne</t>
  </si>
  <si>
    <t>PHILIPPONNEAU Julia</t>
  </si>
  <si>
    <t>REYNIER Antoine</t>
  </si>
  <si>
    <t>ROCHERY Marguerite</t>
  </si>
  <si>
    <t>TABONE Gaspard</t>
  </si>
  <si>
    <t>TONDEUR Justine</t>
  </si>
  <si>
    <t>VANDIER Achille</t>
  </si>
  <si>
    <t>CHESNEAU Juliette</t>
  </si>
  <si>
    <t>COURAUD Salome</t>
  </si>
  <si>
    <t>COURCIER Eliette</t>
  </si>
  <si>
    <t>DA ROCHA Theo</t>
  </si>
  <si>
    <t>DAUMAIN Louis</t>
  </si>
  <si>
    <t>DE KERHOR Blanche</t>
  </si>
  <si>
    <t>DEFRANCQ Antoine</t>
  </si>
  <si>
    <t>DESCHAMP Clement</t>
  </si>
  <si>
    <t>DORRIERE Blanche</t>
  </si>
  <si>
    <t>DUGUEY Matthias</t>
  </si>
  <si>
    <t>FREMIOT-LUANGPRASEUTH Juliette</t>
  </si>
  <si>
    <t>GENEVEE Remi</t>
  </si>
  <si>
    <t>GOUGEARD Alexandre</t>
  </si>
  <si>
    <t>KUBORNE Antonin</t>
  </si>
  <si>
    <t>LE GOFF Armand</t>
  </si>
  <si>
    <t>LE GOUVELLO DE LA PORTE Blanche</t>
  </si>
  <si>
    <t>LECOMTE Octave</t>
  </si>
  <si>
    <t>LEPREVOST Romane</t>
  </si>
  <si>
    <t>LOUYOT Valentine</t>
  </si>
  <si>
    <t>MENORET Cyprien</t>
  </si>
  <si>
    <t>PICARD Louise</t>
  </si>
  <si>
    <t>PROVOST-DANAIS Alexandre</t>
  </si>
  <si>
    <t>RAGUIN Roxane</t>
  </si>
  <si>
    <t>RATTIER Pauline</t>
  </si>
  <si>
    <t>RIFFAUD Antoine</t>
  </si>
  <si>
    <t>SAILLARD Clara</t>
  </si>
  <si>
    <t>SAVARY Lou</t>
  </si>
  <si>
    <t>ABOURAHIM Adame</t>
  </si>
  <si>
    <t>AUBIN Hermine</t>
  </si>
  <si>
    <t>AVRIL Toanui</t>
  </si>
  <si>
    <t>BOUTET Nathan</t>
  </si>
  <si>
    <t>BRILHAULT Vincent</t>
  </si>
  <si>
    <t>CHARRIER Simon</t>
  </si>
  <si>
    <t>CORNIL Clovis</t>
  </si>
  <si>
    <t>COUTIN Agathe</t>
  </si>
  <si>
    <t>DE PONCHEVILLE Yolaine</t>
  </si>
  <si>
    <t>DE SAINT CERAN Jeanne</t>
  </si>
  <si>
    <t>DREYFUS Hugues</t>
  </si>
  <si>
    <t>DUPONT Gregoire</t>
  </si>
  <si>
    <t>ENGELVIN Blanche</t>
  </si>
  <si>
    <t>HUET Antonin</t>
  </si>
  <si>
    <t>JABOULEY Adrien</t>
  </si>
  <si>
    <t>JOURDAIN Julie</t>
  </si>
  <si>
    <t>KADRIC Emma</t>
  </si>
  <si>
    <t>LE DIEU DE VILLE Constance</t>
  </si>
  <si>
    <t>PEIGNE Orso</t>
  </si>
  <si>
    <t>POIRIER-BEZARD Lucina</t>
  </si>
  <si>
    <t>PUIG Salome</t>
  </si>
  <si>
    <t>ROBIN Anne-Solenne</t>
  </si>
  <si>
    <t>SOLON Emma</t>
  </si>
  <si>
    <t>TALPAIN Olivier</t>
  </si>
  <si>
    <t>TOUZE Valentine</t>
  </si>
  <si>
    <t>VERNIER Paul</t>
  </si>
  <si>
    <t>Elève (4ème5)</t>
  </si>
  <si>
    <t>Classe (4ème5)
2017 2018</t>
  </si>
  <si>
    <t>BOHBOT Juliette</t>
  </si>
  <si>
    <t>COLINOT Anaelle</t>
  </si>
  <si>
    <t>DE BENGY Jean-Baptiste</t>
  </si>
  <si>
    <t>DESEILLE Rose</t>
  </si>
  <si>
    <t>DURVAUX Alexandre</t>
  </si>
  <si>
    <t>ELEAUME Diane</t>
  </si>
  <si>
    <t>GIRAULT Jean-Baptiste</t>
  </si>
  <si>
    <t>GOUVAZE Eglantine</t>
  </si>
  <si>
    <t>JAUZENQUE Charlotte</t>
  </si>
  <si>
    <t>MALLEJAC Antoine</t>
  </si>
  <si>
    <t>MARTINAT Romain</t>
  </si>
  <si>
    <t>MONTEMBAULT Gabrielle</t>
  </si>
  <si>
    <t>MORAINE Quentin</t>
  </si>
  <si>
    <t>MOUNIROU DEEN Adeola</t>
  </si>
  <si>
    <t>PERRIN Anatole</t>
  </si>
  <si>
    <t>PERROTIN Eliott</t>
  </si>
  <si>
    <t>PICHOT Anthony</t>
  </si>
  <si>
    <t>PROFFIT Xavier</t>
  </si>
  <si>
    <t>PROUVOST Marie-Munezero</t>
  </si>
  <si>
    <t>REYES Alessandro</t>
  </si>
  <si>
    <t>ROULLET DE LA BOUILLERIE Hyacinthe</t>
  </si>
  <si>
    <t>ROUZIER Aglae</t>
  </si>
  <si>
    <t>SAA GODOY Benjamin</t>
  </si>
  <si>
    <t>SABOURIN Amelie</t>
  </si>
  <si>
    <t>SCHUMACHER Marie</t>
  </si>
  <si>
    <t>SOUEF Alexis</t>
  </si>
  <si>
    <t>SUZANNE Cleophee</t>
  </si>
  <si>
    <t>ZHENDRE Manon</t>
  </si>
  <si>
    <t>4ème1</t>
  </si>
  <si>
    <t>4ème2</t>
  </si>
  <si>
    <t>4ème3</t>
  </si>
  <si>
    <t>4ème4</t>
  </si>
  <si>
    <t>4ème5</t>
  </si>
  <si>
    <t>Liste 4ème</t>
  </si>
  <si>
    <t>Classe (4ème2)</t>
  </si>
  <si>
    <t>Classe (4ème5)</t>
  </si>
  <si>
    <t>Eval E2</t>
  </si>
  <si>
    <t>Fiche CH6/1</t>
  </si>
  <si>
    <t>Eval CH6</t>
  </si>
  <si>
    <t>Evaluations par trimestre</t>
  </si>
  <si>
    <t>1er tri</t>
  </si>
  <si>
    <t>Fiche CH7/5</t>
  </si>
  <si>
    <t>EC</t>
  </si>
  <si>
    <t>Fiche CH7/6</t>
  </si>
  <si>
    <t>Fiche E3/3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</si>
</sst>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8" fillId="0" borderId="0"/>
  </cellStyleXfs>
  <cellXfs count="258">
    <xf numFmtId="0" fontId="0" fillId="0" borderId="0" xfId="0"/>
    <xf numFmtId="0" fontId="0" fillId="0" borderId="0" xfId="0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77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6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17" borderId="69" xfId="0" applyFill="1" applyBorder="1" applyAlignment="1" applyProtection="1">
      <alignment horizontal="center" vertical="center" wrapText="1"/>
    </xf>
    <xf numFmtId="0" fontId="0" fillId="17" borderId="74" xfId="0" applyFill="1" applyBorder="1" applyAlignment="1" applyProtection="1">
      <alignment horizontal="center" vertical="center" wrapText="1"/>
    </xf>
    <xf numFmtId="0" fontId="0" fillId="12" borderId="72" xfId="0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5" fillId="21" borderId="68" xfId="0" applyFont="1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74" xfId="0" applyFill="1" applyBorder="1" applyAlignment="1" applyProtection="1">
      <alignment horizontal="center" vertical="center" wrapText="1"/>
    </xf>
    <xf numFmtId="0" fontId="0" fillId="12" borderId="74" xfId="0" applyFill="1" applyBorder="1" applyAlignment="1" applyProtection="1">
      <alignment horizontal="center" vertical="center" wrapText="1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center" vertical="center"/>
    </xf>
    <xf numFmtId="0" fontId="2" fillId="20" borderId="89" xfId="0" applyFont="1" applyFill="1" applyBorder="1" applyAlignment="1" applyProtection="1">
      <alignment horizontal="center" vertical="center" wrapText="1"/>
    </xf>
    <xf numFmtId="0" fontId="0" fillId="19" borderId="56" xfId="0" applyFill="1" applyBorder="1" applyAlignment="1" applyProtection="1">
      <alignment horizontal="center" vertical="center"/>
    </xf>
    <xf numFmtId="0" fontId="0" fillId="19" borderId="1" xfId="0" applyFill="1" applyBorder="1" applyAlignment="1" applyProtection="1">
      <alignment horizontal="center" vertical="center"/>
    </xf>
    <xf numFmtId="0" fontId="0" fillId="12" borderId="83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19" borderId="2" xfId="0" applyFill="1" applyBorder="1" applyAlignment="1" applyProtection="1">
      <alignment horizontal="center" vertical="center"/>
    </xf>
    <xf numFmtId="0" fontId="0" fillId="22" borderId="87" xfId="0" applyFill="1" applyBorder="1" applyProtection="1"/>
    <xf numFmtId="0" fontId="3" fillId="2" borderId="86" xfId="1" applyFont="1" applyFill="1" applyBorder="1" applyAlignment="1" applyProtection="1">
      <alignment horizontal="left" vertical="center"/>
    </xf>
    <xf numFmtId="0" fontId="3" fillId="2" borderId="39" xfId="1" applyFont="1" applyFill="1" applyBorder="1" applyAlignment="1" applyProtection="1">
      <alignment horizontal="left" vertical="center"/>
    </xf>
    <xf numFmtId="0" fontId="0" fillId="22" borderId="88" xfId="0" applyFill="1" applyBorder="1" applyProtection="1"/>
    <xf numFmtId="0" fontId="1" fillId="13" borderId="12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8" fillId="22" borderId="86" xfId="2" applyFill="1" applyBorder="1" applyProtection="1"/>
    <xf numFmtId="0" fontId="0" fillId="22" borderId="86" xfId="0" applyFill="1" applyBorder="1" applyProtection="1"/>
    <xf numFmtId="0" fontId="8" fillId="22" borderId="1" xfId="2" applyFill="1" applyBorder="1" applyProtection="1"/>
    <xf numFmtId="0" fontId="0" fillId="22" borderId="1" xfId="0" applyFill="1" applyBorder="1" applyProtection="1"/>
    <xf numFmtId="0" fontId="3" fillId="22" borderId="1" xfId="2" applyFont="1" applyFill="1" applyBorder="1" applyProtection="1"/>
    <xf numFmtId="0" fontId="8" fillId="22" borderId="2" xfId="2" applyFill="1" applyBorder="1" applyProtection="1"/>
    <xf numFmtId="0" fontId="0" fillId="22" borderId="2" xfId="0" applyFill="1" applyBorder="1" applyProtection="1"/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3" borderId="13" xfId="0" applyFill="1" applyBorder="1" applyAlignment="1">
      <alignment horizontal="centerContinuous" vertical="center"/>
    </xf>
    <xf numFmtId="0" fontId="0" fillId="23" borderId="14" xfId="0" applyFill="1" applyBorder="1" applyAlignment="1">
      <alignment horizontal="centerContinuous" vertical="center"/>
    </xf>
    <xf numFmtId="0" fontId="0" fillId="0" borderId="92" xfId="0" applyBorder="1" applyAlignment="1">
      <alignment horizontal="center" vertical="center"/>
    </xf>
    <xf numFmtId="0" fontId="0" fillId="21" borderId="92" xfId="0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21" borderId="82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1" fillId="4" borderId="3" xfId="0" applyFont="1" applyFill="1" applyBorder="1" applyAlignment="1" applyProtection="1">
      <alignment horizontal="center" vertical="center" wrapText="1"/>
      <protection locked="0" hidden="1"/>
    </xf>
    <xf numFmtId="0" fontId="1" fillId="4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1" fillId="10" borderId="3" xfId="0" applyFont="1" applyFill="1" applyBorder="1" applyAlignment="1" applyProtection="1">
      <alignment horizontal="center" vertical="center" wrapText="1"/>
      <protection locked="0" hidden="1"/>
    </xf>
    <xf numFmtId="0" fontId="1" fillId="10" borderId="7" xfId="0" applyFont="1" applyFill="1" applyBorder="1" applyAlignment="1" applyProtection="1">
      <alignment horizontal="center" vertical="center" wrapText="1"/>
      <protection locked="0" hidden="1"/>
    </xf>
    <xf numFmtId="0" fontId="1" fillId="5" borderId="3" xfId="0" applyFont="1" applyFill="1" applyBorder="1" applyAlignment="1" applyProtection="1">
      <alignment horizontal="center" vertical="center" wrapText="1"/>
      <protection locked="0" hidden="1"/>
    </xf>
    <xf numFmtId="0" fontId="1" fillId="5" borderId="7" xfId="0" applyFont="1" applyFill="1" applyBorder="1" applyAlignment="1" applyProtection="1">
      <alignment horizontal="center" vertical="center" wrapText="1"/>
      <protection locked="0" hidden="1"/>
    </xf>
    <xf numFmtId="0" fontId="1" fillId="15" borderId="3" xfId="0" applyFont="1" applyFill="1" applyBorder="1" applyAlignment="1" applyProtection="1">
      <alignment horizontal="center" vertical="center"/>
      <protection locked="0" hidden="1"/>
    </xf>
    <xf numFmtId="0" fontId="1" fillId="15" borderId="5" xfId="0" applyFont="1" applyFill="1" applyBorder="1" applyAlignment="1" applyProtection="1">
      <alignment horizontal="center" vertical="center"/>
      <protection locked="0" hidden="1"/>
    </xf>
    <xf numFmtId="0" fontId="0" fillId="0" borderId="84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center" vertical="center"/>
      <protection locked="0" hidden="1"/>
    </xf>
    <xf numFmtId="0" fontId="1" fillId="0" borderId="60" xfId="0" applyFont="1" applyFill="1" applyBorder="1" applyAlignment="1" applyProtection="1">
      <alignment horizontal="center" vertical="center"/>
      <protection locked="0" hidden="1"/>
    </xf>
    <xf numFmtId="0" fontId="0" fillId="4" borderId="7" xfId="0" applyFont="1" applyFill="1" applyBorder="1" applyAlignment="1" applyProtection="1">
      <alignment horizontal="center" vertical="center"/>
      <protection locked="0" hidden="1"/>
    </xf>
    <xf numFmtId="0" fontId="0" fillId="10" borderId="7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0" fillId="5" borderId="7" xfId="0" applyFont="1" applyFill="1" applyBorder="1" applyAlignment="1" applyProtection="1">
      <alignment horizontal="center" vertical="center"/>
      <protection locked="0" hidden="1"/>
    </xf>
    <xf numFmtId="0" fontId="0" fillId="0" borderId="60" xfId="0" applyFont="1" applyFill="1" applyBorder="1" applyAlignment="1" applyProtection="1">
      <alignment horizontal="center" vertical="center"/>
      <protection locked="0" hidden="1"/>
    </xf>
    <xf numFmtId="0" fontId="5" fillId="15" borderId="5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0" fillId="0" borderId="61" xfId="0" applyFont="1" applyFill="1" applyBorder="1" applyAlignment="1" applyProtection="1">
      <alignment horizontal="center" vertical="center"/>
      <protection locked="0" hidden="1"/>
    </xf>
    <xf numFmtId="0" fontId="0" fillId="6" borderId="62" xfId="0" applyFont="1" applyFill="1" applyBorder="1" applyAlignment="1" applyProtection="1">
      <alignment horizontal="center" vertical="center"/>
      <protection locked="0" hidden="1"/>
    </xf>
    <xf numFmtId="0" fontId="5" fillId="7" borderId="58" xfId="0" applyFont="1" applyFill="1" applyBorder="1" applyAlignment="1" applyProtection="1">
      <alignment horizontal="center" vertical="center"/>
      <protection locked="0" hidden="1"/>
    </xf>
    <xf numFmtId="0" fontId="0" fillId="0" borderId="20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0" fillId="0" borderId="51" xfId="0" applyFont="1" applyFill="1" applyBorder="1" applyAlignment="1" applyProtection="1">
      <alignment horizontal="center" vertical="center"/>
      <protection locked="0" hidden="1"/>
    </xf>
    <xf numFmtId="0" fontId="0" fillId="6" borderId="22" xfId="0" applyFont="1" applyFill="1" applyBorder="1" applyAlignment="1" applyProtection="1">
      <alignment horizontal="center" vertical="center"/>
      <protection locked="0" hidden="1"/>
    </xf>
    <xf numFmtId="0" fontId="5" fillId="7" borderId="64" xfId="0" applyFont="1" applyFill="1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0" fillId="0" borderId="30" xfId="0" applyFont="1" applyBorder="1" applyAlignment="1" applyProtection="1">
      <alignment horizontal="center" vertical="center"/>
      <protection locked="0" hidden="1"/>
    </xf>
    <xf numFmtId="0" fontId="0" fillId="0" borderId="59" xfId="0" applyFont="1" applyFill="1" applyBorder="1" applyAlignment="1" applyProtection="1">
      <alignment horizontal="center" vertical="center"/>
      <protection locked="0" hidden="1"/>
    </xf>
    <xf numFmtId="0" fontId="0" fillId="6" borderId="63" xfId="0" applyFont="1" applyFill="1" applyBorder="1" applyAlignment="1" applyProtection="1">
      <alignment horizontal="center" vertical="center"/>
      <protection locked="0" hidden="1"/>
    </xf>
    <xf numFmtId="0" fontId="5" fillId="7" borderId="57" xfId="0" applyFont="1" applyFill="1" applyBorder="1" applyAlignment="1" applyProtection="1">
      <alignment horizontal="center" vertical="center"/>
      <protection locked="0" hidden="1"/>
    </xf>
    <xf numFmtId="0" fontId="0" fillId="0" borderId="75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0" borderId="61" xfId="0" applyFont="1" applyFill="1" applyBorder="1" applyAlignment="1" applyProtection="1">
      <alignment horizontal="center" vertical="center"/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6" fillId="0" borderId="59" xfId="0" applyFont="1" applyFill="1" applyBorder="1" applyAlignment="1" applyProtection="1">
      <alignment horizontal="center" vertical="center"/>
      <protection locked="0" hidden="1"/>
    </xf>
    <xf numFmtId="0" fontId="5" fillId="11" borderId="58" xfId="0" applyFont="1" applyFill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0" borderId="42" xfId="0" applyFont="1" applyBorder="1" applyAlignment="1" applyProtection="1">
      <alignment horizontal="center" vertical="center"/>
      <protection locked="0" hidden="1"/>
    </xf>
    <xf numFmtId="0" fontId="0" fillId="0" borderId="76" xfId="0" applyFont="1" applyBorder="1" applyAlignment="1" applyProtection="1">
      <alignment horizontal="center" vertical="center"/>
      <protection locked="0" hidden="1"/>
    </xf>
    <xf numFmtId="0" fontId="0" fillId="0" borderId="55" xfId="0" applyFont="1" applyFill="1" applyBorder="1" applyAlignment="1" applyProtection="1">
      <alignment horizontal="center" vertical="center"/>
      <protection locked="0" hidden="1"/>
    </xf>
    <xf numFmtId="0" fontId="0" fillId="6" borderId="31" xfId="0" applyFont="1" applyFill="1" applyBorder="1" applyAlignment="1" applyProtection="1">
      <alignment horizontal="center" vertical="center"/>
      <protection locked="0" hidden="1"/>
    </xf>
    <xf numFmtId="0" fontId="5" fillId="7" borderId="65" xfId="0" applyFont="1" applyFill="1" applyBorder="1" applyAlignment="1" applyProtection="1">
      <alignment horizontal="center" vertical="center"/>
      <protection locked="0" hidden="1"/>
    </xf>
    <xf numFmtId="0" fontId="0" fillId="0" borderId="43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60" xfId="0" applyNumberFormat="1" applyFont="1" applyBorder="1" applyAlignment="1" applyProtection="1">
      <alignment horizontal="center" vertical="center"/>
      <protection locked="0" hidden="1"/>
    </xf>
    <xf numFmtId="2" fontId="0" fillId="9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8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6" borderId="85" xfId="0" applyNumberFormat="1" applyFont="1" applyFill="1" applyBorder="1" applyAlignment="1" applyProtection="1">
      <alignment horizontal="center" vertical="center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19" borderId="14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 applyProtection="1">
      <alignment horizontal="center" vertical="center" textRotation="90"/>
      <protection hidden="1"/>
    </xf>
    <xf numFmtId="0" fontId="0" fillId="0" borderId="80" xfId="0" applyFont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7" xfId="0" applyFont="1" applyFill="1" applyBorder="1" applyAlignment="1" applyProtection="1">
      <alignment horizontal="centerContinuous" vertical="center" wrapText="1"/>
      <protection hidden="1"/>
    </xf>
    <xf numFmtId="0" fontId="1" fillId="0" borderId="60" xfId="0" applyFont="1" applyFill="1" applyBorder="1" applyAlignment="1" applyProtection="1">
      <alignment horizontal="center" vertical="center"/>
      <protection hidden="1"/>
    </xf>
    <xf numFmtId="0" fontId="0" fillId="4" borderId="7" xfId="0" applyFont="1" applyFill="1" applyBorder="1" applyAlignment="1" applyProtection="1">
      <alignment horizontal="center" vertical="center"/>
      <protection hidden="1"/>
    </xf>
    <xf numFmtId="0" fontId="0" fillId="0" borderId="61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22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0" fillId="6" borderId="63" xfId="0" applyFont="1" applyFill="1" applyBorder="1" applyAlignment="1" applyProtection="1">
      <alignment horizontal="center" vertical="center"/>
      <protection hidden="1"/>
    </xf>
    <xf numFmtId="0" fontId="0" fillId="0" borderId="55" xfId="0" applyFont="1" applyFill="1" applyBorder="1" applyAlignment="1" applyProtection="1">
      <alignment horizontal="center" vertical="center"/>
      <protection hidden="1"/>
    </xf>
    <xf numFmtId="0" fontId="0" fillId="6" borderId="31" xfId="0" applyFont="1" applyFill="1" applyBorder="1" applyAlignment="1" applyProtection="1">
      <alignment horizontal="center" vertical="center"/>
      <protection hidden="1"/>
    </xf>
    <xf numFmtId="0" fontId="1" fillId="0" borderId="60" xfId="0" applyNumberFormat="1" applyFont="1" applyBorder="1" applyAlignment="1" applyProtection="1">
      <alignment horizontal="center" vertical="center"/>
      <protection hidden="1"/>
    </xf>
    <xf numFmtId="2" fontId="0" fillId="9" borderId="85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7" xfId="0" applyFont="1" applyFill="1" applyBorder="1" applyAlignment="1" applyProtection="1">
      <alignment horizontal="centerContinuous" vertical="center" wrapText="1"/>
      <protection hidden="1"/>
    </xf>
    <xf numFmtId="0" fontId="0" fillId="10" borderId="7" xfId="0" applyFont="1" applyFill="1" applyBorder="1" applyAlignment="1" applyProtection="1">
      <alignment horizontal="center" vertical="center"/>
      <protection hidden="1"/>
    </xf>
    <xf numFmtId="2" fontId="0" fillId="18" borderId="85" xfId="0" applyNumberFormat="1" applyFont="1" applyFill="1" applyBorder="1" applyAlignment="1" applyProtection="1">
      <alignment horizontal="center" vertical="center"/>
      <protection hidden="1"/>
    </xf>
    <xf numFmtId="0" fontId="1" fillId="0" borderId="65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7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7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8" xfId="0" applyFont="1" applyFill="1" applyBorder="1" applyAlignment="1" applyProtection="1">
      <alignment horizontal="center" vertical="center"/>
      <protection hidden="1"/>
    </xf>
    <xf numFmtId="0" fontId="5" fillId="7" borderId="64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6" fillId="0" borderId="61" xfId="0" applyFont="1" applyFill="1" applyBorder="1" applyAlignment="1" applyProtection="1">
      <alignment horizontal="center" vertical="center"/>
      <protection hidden="1"/>
    </xf>
    <xf numFmtId="0" fontId="6" fillId="0" borderId="59" xfId="0" applyFont="1" applyFill="1" applyBorder="1" applyAlignment="1" applyProtection="1">
      <alignment horizontal="center" vertical="center"/>
      <protection hidden="1"/>
    </xf>
    <xf numFmtId="0" fontId="5" fillId="11" borderId="58" xfId="0" applyFont="1" applyFill="1" applyBorder="1" applyAlignment="1" applyProtection="1">
      <alignment horizontal="center" vertical="center"/>
      <protection hidden="1"/>
    </xf>
    <xf numFmtId="0" fontId="5" fillId="7" borderId="65" xfId="0" applyFont="1" applyFill="1" applyBorder="1" applyAlignment="1" applyProtection="1">
      <alignment horizontal="center" vertical="center"/>
      <protection hidden="1"/>
    </xf>
    <xf numFmtId="2" fontId="0" fillId="16" borderId="85" xfId="0" applyNumberFormat="1" applyFont="1" applyFill="1" applyBorder="1" applyAlignment="1" applyProtection="1">
      <alignment horizontal="center" vertical="center"/>
      <protection hidden="1"/>
    </xf>
    <xf numFmtId="0" fontId="0" fillId="21" borderId="82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0" borderId="93" xfId="0" applyFont="1" applyBorder="1" applyAlignment="1" applyProtection="1">
      <alignment horizontal="center" vertical="center" textRotation="90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0" fillId="0" borderId="95" xfId="0" applyFont="1" applyBorder="1" applyAlignment="1" applyProtection="1">
      <alignment horizontal="center" vertical="center"/>
      <protection locked="0" hidden="1"/>
    </xf>
    <xf numFmtId="0" fontId="0" fillId="0" borderId="96" xfId="0" applyFont="1" applyBorder="1" applyAlignment="1" applyProtection="1">
      <alignment horizontal="center" vertical="center"/>
      <protection locked="0" hidden="1"/>
    </xf>
    <xf numFmtId="0" fontId="0" fillId="0" borderId="97" xfId="0" applyFont="1" applyBorder="1" applyAlignment="1" applyProtection="1">
      <alignment horizontal="center" vertical="center"/>
      <protection locked="0" hidden="1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98" xfId="0" applyFont="1" applyBorder="1" applyAlignment="1" applyProtection="1">
      <alignment horizontal="center" vertical="center" textRotation="90"/>
      <protection locked="0"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0" borderId="10" xfId="0" applyFont="1" applyBorder="1" applyAlignment="1" applyProtection="1">
      <alignment horizontal="center" vertical="center"/>
      <protection locked="0" hidden="1"/>
    </xf>
    <xf numFmtId="0" fontId="0" fillId="0" borderId="14" xfId="0" applyFont="1" applyBorder="1" applyAlignment="1" applyProtection="1">
      <alignment horizontal="center" vertical="center"/>
      <protection locked="0" hidden="1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90" xfId="0" applyFont="1" applyFill="1" applyBorder="1" applyAlignment="1" applyProtection="1">
      <alignment horizontal="center" vertical="center" wrapText="1"/>
    </xf>
    <xf numFmtId="0" fontId="2" fillId="20" borderId="91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21" borderId="50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0" fillId="21" borderId="8" xfId="0" applyFont="1" applyFill="1" applyBorder="1" applyAlignment="1" applyProtection="1">
      <alignment horizontal="center" vertical="center"/>
      <protection hidden="1"/>
    </xf>
    <xf numFmtId="0" fontId="0" fillId="21" borderId="81" xfId="0" applyFont="1" applyFill="1" applyBorder="1" applyAlignment="1" applyProtection="1">
      <alignment horizontal="center" vertical="center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78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79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C30"/>
  <sheetViews>
    <sheetView topLeftCell="A4" zoomScale="90" zoomScaleNormal="90" workbookViewId="0">
      <selection activeCell="E16" sqref="E16"/>
    </sheetView>
  </sheetViews>
  <sheetFormatPr baseColWidth="10" defaultColWidth="11.41796875" defaultRowHeight="14.4" x14ac:dyDescent="0.55000000000000004"/>
  <cols>
    <col min="1" max="1" width="30.68359375" style="15" customWidth="1"/>
    <col min="2" max="27" width="6.68359375" style="15" customWidth="1"/>
    <col min="28" max="28" width="3" style="15" customWidth="1"/>
    <col min="29" max="29" width="20.15625" style="15" customWidth="1"/>
    <col min="30" max="16384" width="11.41796875" style="15"/>
  </cols>
  <sheetData>
    <row r="1" spans="1:29" ht="31.5" customHeight="1" thickBot="1" x14ac:dyDescent="0.6">
      <c r="A1" s="55" t="s">
        <v>77</v>
      </c>
      <c r="B1" s="229" t="s">
        <v>0</v>
      </c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30"/>
      <c r="AC1" s="56" t="s">
        <v>43</v>
      </c>
    </row>
    <row r="2" spans="1:29" ht="25" customHeight="1" thickTop="1" x14ac:dyDescent="0.55000000000000004">
      <c r="A2" s="231" t="s">
        <v>1</v>
      </c>
      <c r="B2" s="233" t="s">
        <v>2</v>
      </c>
      <c r="C2" s="233"/>
      <c r="D2" s="233"/>
      <c r="E2" s="234"/>
      <c r="F2" s="235" t="s">
        <v>3</v>
      </c>
      <c r="G2" s="236"/>
      <c r="H2" s="236"/>
      <c r="I2" s="237"/>
      <c r="J2" s="235" t="s">
        <v>4</v>
      </c>
      <c r="K2" s="236"/>
      <c r="L2" s="236"/>
      <c r="M2" s="237"/>
      <c r="N2" s="235" t="s">
        <v>5</v>
      </c>
      <c r="O2" s="236"/>
      <c r="P2" s="236"/>
      <c r="Q2" s="237"/>
      <c r="R2" s="235" t="s">
        <v>6</v>
      </c>
      <c r="S2" s="236"/>
      <c r="T2" s="236"/>
      <c r="U2" s="237"/>
      <c r="V2" s="238" t="s">
        <v>41</v>
      </c>
      <c r="W2" s="239"/>
      <c r="X2" s="240"/>
      <c r="Y2" s="241" t="s">
        <v>38</v>
      </c>
      <c r="Z2" s="242"/>
      <c r="AA2" s="243"/>
      <c r="AC2" s="57" t="s">
        <v>78</v>
      </c>
    </row>
    <row r="3" spans="1:29" ht="25" customHeight="1" thickBot="1" x14ac:dyDescent="0.6">
      <c r="A3" s="232"/>
      <c r="B3" s="38" t="s">
        <v>33</v>
      </c>
      <c r="C3" s="39" t="s">
        <v>34</v>
      </c>
      <c r="D3" s="38" t="s">
        <v>35</v>
      </c>
      <c r="E3" s="40" t="s">
        <v>10</v>
      </c>
      <c r="F3" s="41" t="s">
        <v>33</v>
      </c>
      <c r="G3" s="42" t="s">
        <v>34</v>
      </c>
      <c r="H3" s="43" t="s">
        <v>35</v>
      </c>
      <c r="I3" s="44" t="s">
        <v>10</v>
      </c>
      <c r="J3" s="45" t="s">
        <v>33</v>
      </c>
      <c r="K3" s="46" t="s">
        <v>34</v>
      </c>
      <c r="L3" s="43" t="s">
        <v>35</v>
      </c>
      <c r="M3" s="44" t="s">
        <v>10</v>
      </c>
      <c r="N3" s="41" t="s">
        <v>33</v>
      </c>
      <c r="O3" s="47" t="s">
        <v>34</v>
      </c>
      <c r="P3" s="43" t="s">
        <v>35</v>
      </c>
      <c r="Q3" s="44" t="s">
        <v>10</v>
      </c>
      <c r="R3" s="41" t="s">
        <v>33</v>
      </c>
      <c r="S3" s="47" t="s">
        <v>34</v>
      </c>
      <c r="T3" s="43" t="s">
        <v>35</v>
      </c>
      <c r="U3" s="44" t="s">
        <v>10</v>
      </c>
      <c r="V3" s="35" t="s">
        <v>33</v>
      </c>
      <c r="W3" s="36" t="s">
        <v>34</v>
      </c>
      <c r="X3" s="36" t="s">
        <v>35</v>
      </c>
      <c r="Y3" s="37" t="s">
        <v>39</v>
      </c>
      <c r="Z3" s="48" t="s">
        <v>50</v>
      </c>
      <c r="AA3" s="58" t="s">
        <v>40</v>
      </c>
      <c r="AB3" s="59"/>
      <c r="AC3" s="60" t="s">
        <v>194</v>
      </c>
    </row>
    <row r="4" spans="1:29" ht="15.75" customHeight="1" thickTop="1" x14ac:dyDescent="0.55000000000000004">
      <c r="A4" s="61" t="str">
        <f ca="1">CELL("contenu",INDIRECT(ADDRESS(ROW()-2,3,1,,CELL("contenu",$AC$3))))</f>
        <v>ANDRE Lucas</v>
      </c>
      <c r="B4" s="2" t="str">
        <f ca="1">CELL("contenu",INDIRECT(ADDRESS(ref!$K$3,ref!E3,1,,CELL("contenu",$AC$2))))</f>
        <v>D</v>
      </c>
      <c r="C4" s="3" t="str">
        <f ca="1">CELL("contenu",INDIRECT(ADDRESS(ref!$K$3,ref!F3,1,,CELL("contenu",$AC$2))))</f>
        <v>A</v>
      </c>
      <c r="D4" s="4" t="str">
        <f ca="1">CELL("contenu",INDIRECT(ADDRESS(ref!$K$3,ref!G3,1,,CELL("contenu",$AC$2))))</f>
        <v>D</v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D</v>
      </c>
      <c r="G4" s="3" t="str">
        <f ca="1">CELL("contenu",INDIRECT(ADDRESS(ref!$K$4,ref!F3,1,,CELL("contenu",$AC$2))))</f>
        <v>B</v>
      </c>
      <c r="H4" s="4" t="str">
        <f ca="1">CELL("contenu",INDIRECT(ADDRESS(ref!$K$4,ref!G3,1,,CELL("contenu",$AC$2))))</f>
        <v>B</v>
      </c>
      <c r="I4" s="5" t="str">
        <f ca="1">CELL("contenu",INDIRECT(ADDRESS(ref!$K$4,ref!H3,1,,CELL("contenu",$AC$2))))</f>
        <v>C</v>
      </c>
      <c r="J4" s="6" t="str">
        <f ca="1">CELL("contenu",INDIRECT(ADDRESS(ref!$K$5,ref!E3,1,,CELL("contenu",$AC$2))))</f>
        <v>D</v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>A</v>
      </c>
      <c r="M4" s="5" t="str">
        <f ca="1">CELL("contenu",INDIRECT(ADDRESS(ref!$K$5,ref!H3,1,,CELL("contenu",$AC$2))))</f>
        <v>C</v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>D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9">
        <f ca="1">CELL("contenu",INDIRECT(ADDRESS(ref!$K$8,ref!E3,1,,CELL("contenu",$AC$2))))</f>
        <v>7.2222222222222223</v>
      </c>
      <c r="W4" s="50">
        <f ca="1">CELL("contenu",INDIRECT(ADDRESS(ref!$K$8,ref!F3,1,,CELL("contenu",$AC$2))))</f>
        <v>13</v>
      </c>
      <c r="X4" s="51">
        <f ca="1">CELL("contenu",INDIRECT(ADDRESS(ref!$K$8,ref!G3,1,,CELL("contenu",$AC$2))))</f>
        <v>12.546296296296298</v>
      </c>
      <c r="Y4" s="7" t="str">
        <f ca="1">CELL("contenu",INDIRECT(ADDRESS(ref!$K$9,ref!H3,1,,CELL("contenu",$AC$2))))</f>
        <v>C</v>
      </c>
      <c r="Z4" s="4" t="str">
        <f ca="1">CELL("contenu",INDIRECT(ADDRESS(ref!$K$10,ref!H3,1,,CELL("contenu",$AC$2))))</f>
        <v>B</v>
      </c>
      <c r="AA4" s="8" t="str">
        <f ca="1">CELL("contenu",INDIRECT(ADDRESS(ref!$K$11,ref!H3,1,,CELL("contenu",$AC$2))))</f>
        <v>C</v>
      </c>
    </row>
    <row r="5" spans="1:29" x14ac:dyDescent="0.55000000000000004">
      <c r="A5" s="61" t="str">
        <f t="shared" ref="A5:A30" ca="1" si="0">CELL("contenu",INDIRECT(ADDRESS(ROW()-2,3,1,,CELL("contenu",$AC$3))))</f>
        <v>ARBIB Nolan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B</v>
      </c>
      <c r="D5" s="4" t="str">
        <f ca="1">CELL("contenu",INDIRECT(ADDRESS(ref!$K$3,ref!G4,1,,CELL("contenu",$AC$2))))</f>
        <v>C</v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C</v>
      </c>
      <c r="G5" s="3" t="str">
        <f ca="1">CELL("contenu",INDIRECT(ADDRESS(ref!$K$4,ref!F4,1,,CELL("contenu",$AC$2))))</f>
        <v>C</v>
      </c>
      <c r="H5" s="4" t="str">
        <f ca="1">CELL("contenu",INDIRECT(ADDRESS(ref!$K$4,ref!G4,1,,CELL("contenu",$AC$2))))</f>
        <v>A</v>
      </c>
      <c r="I5" s="5" t="str">
        <f ca="1">CELL("contenu",INDIRECT(ADDRESS(ref!$K$4,ref!H4,1,,CELL("contenu",$AC$2))))</f>
        <v>B</v>
      </c>
      <c r="J5" s="6" t="str">
        <f ca="1">CELL("contenu",INDIRECT(ADDRESS(ref!$K$5,ref!E4,1,,CELL("contenu",$AC$2))))</f>
        <v>C</v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>A</v>
      </c>
      <c r="M5" s="5" t="str">
        <f ca="1">CELL("contenu",INDIRECT(ADDRESS(ref!$K$5,ref!H4,1,,CELL("contenu",$AC$2))))</f>
        <v>B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>C</v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9">
        <f ca="1">CELL("contenu",INDIRECT(ADDRESS(ref!$K$8,ref!E4,1,,CELL("contenu",$AC$2))))</f>
        <v>10.277777777777779</v>
      </c>
      <c r="W5" s="50">
        <f ca="1">CELL("contenu",INDIRECT(ADDRESS(ref!$K$8,ref!F4,1,,CELL("contenu",$AC$2))))</f>
        <v>12</v>
      </c>
      <c r="X5" s="51">
        <f ca="1">CELL("contenu",INDIRECT(ADDRESS(ref!$K$8,ref!G4,1,,CELL("contenu",$AC$2))))</f>
        <v>15.173611111111109</v>
      </c>
      <c r="Y5" s="7" t="str">
        <f ca="1">CELL("contenu",INDIRECT(ADDRESS(ref!$K$9,ref!H4,1,,CELL("contenu",$AC$2))))</f>
        <v>C</v>
      </c>
      <c r="Z5" s="4" t="str">
        <f ca="1">CELL("contenu",INDIRECT(ADDRESS(ref!$K$10,ref!H4,1,,CELL("contenu",$AC$2))))</f>
        <v>A</v>
      </c>
      <c r="AA5" s="8" t="str">
        <f ca="1">CELL("contenu",INDIRECT(ADDRESS(ref!$K$11,ref!H4,1,,CELL("contenu",$AC$2))))</f>
        <v>B</v>
      </c>
    </row>
    <row r="6" spans="1:29" x14ac:dyDescent="0.55000000000000004">
      <c r="A6" s="61" t="str">
        <f t="shared" ca="1" si="0"/>
        <v>BARRIETIS Jael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C</v>
      </c>
      <c r="D6" s="4" t="str">
        <f ca="1">CELL("contenu",INDIRECT(ADDRESS(ref!$K$3,ref!G5,1,,CELL("contenu",$AC$2))))</f>
        <v>C</v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>B</v>
      </c>
      <c r="G6" s="3" t="str">
        <f ca="1">CELL("contenu",INDIRECT(ADDRESS(ref!$K$4,ref!F5,1,,CELL("contenu",$AC$2))))</f>
        <v>B</v>
      </c>
      <c r="H6" s="4" t="str">
        <f ca="1">CELL("contenu",INDIRECT(ADDRESS(ref!$K$4,ref!G5,1,,CELL("contenu",$AC$2))))</f>
        <v>B</v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>C</v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>C</v>
      </c>
      <c r="M6" s="5" t="str">
        <f ca="1">CELL("contenu",INDIRECT(ADDRESS(ref!$K$5,ref!H5,1,,CELL("contenu",$AC$2))))</f>
        <v>C</v>
      </c>
      <c r="N6" s="6" t="str">
        <f ca="1">CELL("contenu",INDIRECT(ADDRESS(ref!$K$6,ref!E5,1,,CELL("contenu",$AC$2))))</f>
        <v>B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>D</v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9">
        <f ca="1">CELL("contenu",INDIRECT(ADDRESS(ref!$K$8,ref!E5,1,,CELL("contenu",$AC$2))))</f>
        <v>13.055555555555555</v>
      </c>
      <c r="W6" s="50">
        <f ca="1">CELL("contenu",INDIRECT(ADDRESS(ref!$K$8,ref!F5,1,,CELL("contenu",$AC$2))))</f>
        <v>12</v>
      </c>
      <c r="X6" s="51">
        <f ca="1">CELL("contenu",INDIRECT(ADDRESS(ref!$K$8,ref!G5,1,,CELL("contenu",$AC$2))))</f>
        <v>10.833333333333332</v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>A</v>
      </c>
      <c r="AA6" s="8" t="str">
        <f ca="1">CELL("contenu",INDIRECT(ADDRESS(ref!$K$11,ref!H5,1,,CELL("contenu",$AC$2))))</f>
        <v>C</v>
      </c>
    </row>
    <row r="7" spans="1:29" x14ac:dyDescent="0.55000000000000004">
      <c r="A7" s="61" t="str">
        <f t="shared" ca="1" si="0"/>
        <v>BONNEAU Victor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B</v>
      </c>
      <c r="D7" s="4" t="str">
        <f ca="1">CELL("contenu",INDIRECT(ADDRESS(ref!$K$3,ref!G6,1,,CELL("contenu",$AC$2))))</f>
        <v>C</v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B</v>
      </c>
      <c r="G7" s="3" t="str">
        <f ca="1">CELL("contenu",INDIRECT(ADDRESS(ref!$K$4,ref!F6,1,,CELL("contenu",$AC$2))))</f>
        <v>B</v>
      </c>
      <c r="H7" s="4" t="str">
        <f ca="1">CELL("contenu",INDIRECT(ADDRESS(ref!$K$4,ref!G6,1,,CELL("contenu",$AC$2))))</f>
        <v>B</v>
      </c>
      <c r="I7" s="5" t="str">
        <f ca="1">CELL("contenu",INDIRECT(ADDRESS(ref!$K$4,ref!H6,1,,CELL("contenu",$AC$2))))</f>
        <v>B</v>
      </c>
      <c r="J7" s="6" t="str">
        <f ca="1">CELL("contenu",INDIRECT(ADDRESS(ref!$K$5,ref!E6,1,,CELL("contenu",$AC$2))))</f>
        <v>D</v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>A</v>
      </c>
      <c r="M7" s="5" t="str">
        <f ca="1">CELL("contenu",INDIRECT(ADDRESS(ref!$K$5,ref!H6,1,,CELL("contenu",$AC$2))))</f>
        <v>C</v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>B</v>
      </c>
      <c r="P7" s="4" t="str">
        <f ca="1">CELL("contenu",INDIRECT(ADDRESS(ref!$K$6,ref!G6,1,,CELL("contenu",$AC$2))))</f>
        <v>C</v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9">
        <f ca="1">CELL("contenu",INDIRECT(ADDRESS(ref!$K$8,ref!E6,1,,CELL("contenu",$AC$2))))</f>
        <v>11.388888888888891</v>
      </c>
      <c r="W7" s="50">
        <f ca="1">CELL("contenu",INDIRECT(ADDRESS(ref!$K$8,ref!F6,1,,CELL("contenu",$AC$2))))</f>
        <v>16</v>
      </c>
      <c r="X7" s="51">
        <f ca="1">CELL("contenu",INDIRECT(ADDRESS(ref!$K$8,ref!G6,1,,CELL("contenu",$AC$2))))</f>
        <v>13.530092592592593</v>
      </c>
      <c r="Y7" s="7" t="str">
        <f ca="1">CELL("contenu",INDIRECT(ADDRESS(ref!$K$9,ref!H6,1,,CELL("contenu",$AC$2))))</f>
        <v>B</v>
      </c>
      <c r="Z7" s="4" t="str">
        <f ca="1">CELL("contenu",INDIRECT(ADDRESS(ref!$K$10,ref!H6,1,,CELL("contenu",$AC$2))))</f>
        <v>A</v>
      </c>
      <c r="AA7" s="8" t="str">
        <f ca="1">CELL("contenu",INDIRECT(ADDRESS(ref!$K$11,ref!H6,1,,CELL("contenu",$AC$2))))</f>
        <v>C</v>
      </c>
    </row>
    <row r="8" spans="1:29" x14ac:dyDescent="0.55000000000000004">
      <c r="A8" s="61" t="str">
        <f t="shared" ca="1" si="0"/>
        <v>BRARD Prune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A</v>
      </c>
      <c r="D8" s="4" t="str">
        <f ca="1">CELL("contenu",INDIRECT(ADDRESS(ref!$K$3,ref!G7,1,,CELL("contenu",$AC$2))))</f>
        <v>B</v>
      </c>
      <c r="E8" s="5" t="str">
        <f ca="1">CELL("contenu",INDIRECT(ADDRESS(ref!$K$3,ref!H7,1,,CELL("contenu",$AC$2))))</f>
        <v>B</v>
      </c>
      <c r="F8" s="6" t="str">
        <f ca="1">CELL("contenu",INDIRECT(ADDRESS(ref!$K$4,ref!E7,1,,CELL("contenu",$AC$2))))</f>
        <v>B</v>
      </c>
      <c r="G8" s="3" t="str">
        <f ca="1">CELL("contenu",INDIRECT(ADDRESS(ref!$K$4,ref!F7,1,,CELL("contenu",$AC$2))))</f>
        <v>B</v>
      </c>
      <c r="H8" s="4" t="str">
        <f ca="1">CELL("contenu",INDIRECT(ADDRESS(ref!$K$4,ref!G7,1,,CELL("contenu",$AC$2))))</f>
        <v>A</v>
      </c>
      <c r="I8" s="5" t="str">
        <f ca="1">CELL("contenu",INDIRECT(ADDRESS(ref!$K$4,ref!H7,1,,CELL("contenu",$AC$2))))</f>
        <v>B</v>
      </c>
      <c r="J8" s="6" t="str">
        <f ca="1">CELL("contenu",INDIRECT(ADDRESS(ref!$K$5,ref!E7,1,,CELL("contenu",$AC$2))))</f>
        <v>B</v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>A</v>
      </c>
      <c r="M8" s="5" t="str">
        <f ca="1">CELL("contenu",INDIRECT(ADDRESS(ref!$K$5,ref!H7,1,,CELL("contenu",$AC$2))))</f>
        <v>B</v>
      </c>
      <c r="N8" s="6" t="str">
        <f ca="1">CELL("contenu",INDIRECT(ADDRESS(ref!$K$6,ref!E7,1,,CELL("contenu",$AC$2))))</f>
        <v>B</v>
      </c>
      <c r="O8" s="3" t="str">
        <f ca="1">CELL("contenu",INDIRECT(ADDRESS(ref!$K$6,ref!F7,1,,CELL("contenu",$AC$2))))</f>
        <v>A</v>
      </c>
      <c r="P8" s="4" t="str">
        <f ca="1">CELL("contenu",INDIRECT(ADDRESS(ref!$K$6,ref!G7,1,,CELL("contenu",$AC$2))))</f>
        <v>B</v>
      </c>
      <c r="Q8" s="5" t="str">
        <f ca="1">CELL("contenu",INDIRECT(ADDRESS(ref!$K$6,ref!H7,1,,CELL("contenu",$AC$2))))</f>
        <v>B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9">
        <f ca="1">CELL("contenu",INDIRECT(ADDRESS(ref!$K$8,ref!E7,1,,CELL("contenu",$AC$2))))</f>
        <v>15.277777777777777</v>
      </c>
      <c r="W8" s="50">
        <f ca="1">CELL("contenu",INDIRECT(ADDRESS(ref!$K$8,ref!F7,1,,CELL("contenu",$AC$2))))</f>
        <v>19</v>
      </c>
      <c r="X8" s="51">
        <f ca="1">CELL("contenu",INDIRECT(ADDRESS(ref!$K$8,ref!G7,1,,CELL("contenu",$AC$2))))</f>
        <v>17.037037037037035</v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>A</v>
      </c>
      <c r="AA8" s="8" t="str">
        <f ca="1">CELL("contenu",INDIRECT(ADDRESS(ref!$K$11,ref!H7,1,,CELL("contenu",$AC$2))))</f>
        <v>B</v>
      </c>
    </row>
    <row r="9" spans="1:29" x14ac:dyDescent="0.55000000000000004">
      <c r="A9" s="61" t="str">
        <f t="shared" ca="1" si="0"/>
        <v>COELHO Bergeline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C</v>
      </c>
      <c r="D9" s="4" t="str">
        <f ca="1">CELL("contenu",INDIRECT(ADDRESS(ref!$K$3,ref!G8,1,,CELL("contenu",$AC$2))))</f>
        <v>C</v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B</v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>B</v>
      </c>
      <c r="I9" s="5" t="str">
        <f ca="1">CELL("contenu",INDIRECT(ADDRESS(ref!$K$4,ref!H8,1,,CELL("contenu",$AC$2))))</f>
        <v>C</v>
      </c>
      <c r="J9" s="6" t="str">
        <f ca="1">CELL("contenu",INDIRECT(ADDRESS(ref!$K$5,ref!E8,1,,CELL("contenu",$AC$2))))</f>
        <v>C</v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>A</v>
      </c>
      <c r="M9" s="5" t="str">
        <f ca="1">CELL("contenu",INDIRECT(ADDRESS(ref!$K$5,ref!H8,1,,CELL("contenu",$AC$2))))</f>
        <v>B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>D</v>
      </c>
      <c r="Q9" s="5" t="str">
        <f ca="1">CELL("contenu",INDIRECT(ADDRESS(ref!$K$6,ref!H8,1,,CELL("contenu",$AC$2))))</f>
        <v>D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9">
        <f ca="1">CELL("contenu",INDIRECT(ADDRESS(ref!$K$8,ref!E8,1,,CELL("contenu",$AC$2))))</f>
        <v>12.777777777777777</v>
      </c>
      <c r="W9" s="50">
        <f ca="1">CELL("contenu",INDIRECT(ADDRESS(ref!$K$8,ref!F8,1,,CELL("contenu",$AC$2))))</f>
        <v>12</v>
      </c>
      <c r="X9" s="51">
        <f ca="1">CELL("contenu",INDIRECT(ADDRESS(ref!$K$8,ref!G8,1,,CELL("contenu",$AC$2))))</f>
        <v>11.018518518518519</v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>C</v>
      </c>
      <c r="AA9" s="8" t="str">
        <f ca="1">CELL("contenu",INDIRECT(ADDRESS(ref!$K$11,ref!H8,1,,CELL("contenu",$AC$2))))</f>
        <v>B</v>
      </c>
    </row>
    <row r="10" spans="1:29" x14ac:dyDescent="0.55000000000000004">
      <c r="A10" s="61" t="str">
        <f t="shared" ca="1" si="0"/>
        <v>DELBOUSCAS Margaux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B</v>
      </c>
      <c r="D10" s="4" t="str">
        <f ca="1">CELL("contenu",INDIRECT(ADDRESS(ref!$K$3,ref!G9,1,,CELL("contenu",$AC$2))))</f>
        <v>C</v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C</v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>B</v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D</v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>A</v>
      </c>
      <c r="M10" s="5" t="str">
        <f ca="1">CELL("contenu",INDIRECT(ADDRESS(ref!$K$5,ref!H9,1,,CELL("contenu",$AC$2))))</f>
        <v>C</v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>B</v>
      </c>
      <c r="P10" s="4" t="str">
        <f ca="1">CELL("contenu",INDIRECT(ADDRESS(ref!$K$6,ref!G9,1,,CELL("contenu",$AC$2))))</f>
        <v>C</v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9">
        <f ca="1">CELL("contenu",INDIRECT(ADDRESS(ref!$K$8,ref!E9,1,,CELL("contenu",$AC$2))))</f>
        <v>8.6111111111111107</v>
      </c>
      <c r="W10" s="50">
        <f ca="1">CELL("contenu",INDIRECT(ADDRESS(ref!$K$8,ref!F9,1,,CELL("contenu",$AC$2))))</f>
        <v>16</v>
      </c>
      <c r="X10" s="51">
        <f ca="1">CELL("contenu",INDIRECT(ADDRESS(ref!$K$8,ref!G9,1,,CELL("contenu",$AC$2))))</f>
        <v>14.895833333333332</v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>B</v>
      </c>
      <c r="AA10" s="8" t="str">
        <f ca="1">CELL("contenu",INDIRECT(ADDRESS(ref!$K$11,ref!H9,1,,CELL("contenu",$AC$2))))</f>
        <v>C</v>
      </c>
    </row>
    <row r="11" spans="1:29" x14ac:dyDescent="0.55000000000000004">
      <c r="A11" s="61" t="str">
        <f t="shared" ca="1" si="0"/>
        <v>DELPLACE Gregoire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>B</v>
      </c>
      <c r="D11" s="4" t="str">
        <f ca="1">CELL("contenu",INDIRECT(ADDRESS(ref!$K$3,ref!G10,1,,CELL("contenu",$AC$2))))</f>
        <v>B</v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>A</v>
      </c>
      <c r="G11" s="3" t="str">
        <f ca="1">CELL("contenu",INDIRECT(ADDRESS(ref!$K$4,ref!F10,1,,CELL("contenu",$AC$2))))</f>
        <v>B</v>
      </c>
      <c r="H11" s="4" t="str">
        <f ca="1">CELL("contenu",INDIRECT(ADDRESS(ref!$K$4,ref!G10,1,,CELL("contenu",$AC$2))))</f>
        <v>A</v>
      </c>
      <c r="I11" s="5" t="str">
        <f ca="1">CELL("contenu",INDIRECT(ADDRESS(ref!$K$4,ref!H10,1,,CELL("contenu",$AC$2))))</f>
        <v>A</v>
      </c>
      <c r="J11" s="6" t="str">
        <f ca="1">CELL("contenu",INDIRECT(ADDRESS(ref!$K$5,ref!E10,1,,CELL("contenu",$AC$2))))</f>
        <v>B</v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>A</v>
      </c>
      <c r="M11" s="5" t="str">
        <f ca="1">CELL("contenu",INDIRECT(ADDRESS(ref!$K$5,ref!H10,1,,CELL("contenu",$AC$2))))</f>
        <v>B</v>
      </c>
      <c r="N11" s="6" t="str">
        <f ca="1">CELL("contenu",INDIRECT(ADDRESS(ref!$K$6,ref!E10,1,,CELL("contenu",$AC$2))))</f>
        <v>B</v>
      </c>
      <c r="O11" s="3" t="str">
        <f ca="1">CELL("contenu",INDIRECT(ADDRESS(ref!$K$6,ref!F10,1,,CELL("contenu",$AC$2))))</f>
        <v>C</v>
      </c>
      <c r="P11" s="4" t="str">
        <f ca="1">CELL("contenu",INDIRECT(ADDRESS(ref!$K$6,ref!G10,1,,CELL("contenu",$AC$2))))</f>
        <v>B</v>
      </c>
      <c r="Q11" s="5" t="str">
        <f ca="1">CELL("contenu",INDIRECT(ADDRESS(ref!$K$6,ref!H10,1,,CELL("contenu",$AC$2))))</f>
        <v>B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9">
        <f ca="1">CELL("contenu",INDIRECT(ADDRESS(ref!$K$8,ref!E10,1,,CELL("contenu",$AC$2))))</f>
        <v>15.833333333333332</v>
      </c>
      <c r="W11" s="50">
        <f ca="1">CELL("contenu",INDIRECT(ADDRESS(ref!$K$8,ref!F10,1,,CELL("contenu",$AC$2))))</f>
        <v>14</v>
      </c>
      <c r="X11" s="51">
        <f ca="1">CELL("contenu",INDIRECT(ADDRESS(ref!$K$8,ref!G10,1,,CELL("contenu",$AC$2))))</f>
        <v>16.793981481481481</v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>A</v>
      </c>
      <c r="AA11" s="8" t="str">
        <f ca="1">CELL("contenu",INDIRECT(ADDRESS(ref!$K$11,ref!H10,1,,CELL("contenu",$AC$2))))</f>
        <v>B</v>
      </c>
    </row>
    <row r="12" spans="1:29" x14ac:dyDescent="0.55000000000000004">
      <c r="A12" s="61" t="str">
        <f t="shared" ca="1" si="0"/>
        <v>DU FRESNE DE VIREL Constance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>A</v>
      </c>
      <c r="D12" s="4" t="str">
        <f ca="1">CELL("contenu",INDIRECT(ADDRESS(ref!$K$3,ref!G11,1,,CELL("contenu",$AC$2))))</f>
        <v>C</v>
      </c>
      <c r="E12" s="5" t="str">
        <f ca="1">CELL("contenu",INDIRECT(ADDRESS(ref!$K$3,ref!H11,1,,CELL("contenu",$AC$2))))</f>
        <v>B</v>
      </c>
      <c r="F12" s="6" t="str">
        <f ca="1">CELL("contenu",INDIRECT(ADDRESS(ref!$K$4,ref!E11,1,,CELL("contenu",$AC$2))))</f>
        <v>B</v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>B</v>
      </c>
      <c r="I12" s="5" t="str">
        <f ca="1">CELL("contenu",INDIRECT(ADDRESS(ref!$K$4,ref!H11,1,,CELL("contenu",$AC$2))))</f>
        <v>B</v>
      </c>
      <c r="J12" s="6" t="str">
        <f ca="1">CELL("contenu",INDIRECT(ADDRESS(ref!$K$5,ref!E11,1,,CELL("contenu",$AC$2))))</f>
        <v>D</v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>C</v>
      </c>
      <c r="M12" s="5" t="str">
        <f ca="1">CELL("contenu",INDIRECT(ADDRESS(ref!$K$5,ref!H11,1,,CELL("contenu",$AC$2))))</f>
        <v>C</v>
      </c>
      <c r="N12" s="6" t="str">
        <f ca="1">CELL("contenu",INDIRECT(ADDRESS(ref!$K$6,ref!E11,1,,CELL("contenu",$AC$2))))</f>
        <v>B</v>
      </c>
      <c r="O12" s="3" t="str">
        <f ca="1">CELL("contenu",INDIRECT(ADDRESS(ref!$K$6,ref!F11,1,,CELL("contenu",$AC$2))))</f>
        <v>B</v>
      </c>
      <c r="P12" s="4" t="str">
        <f ca="1">CELL("contenu",INDIRECT(ADDRESS(ref!$K$6,ref!G11,1,,CELL("contenu",$AC$2))))</f>
        <v>C</v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9">
        <f ca="1">CELL("contenu",INDIRECT(ADDRESS(ref!$K$8,ref!E11,1,,CELL("contenu",$AC$2))))</f>
        <v>12.222222222222223</v>
      </c>
      <c r="W12" s="50">
        <f ca="1">CELL("contenu",INDIRECT(ADDRESS(ref!$K$8,ref!F11,1,,CELL("contenu",$AC$2))))</f>
        <v>17</v>
      </c>
      <c r="X12" s="51">
        <f ca="1">CELL("contenu",INDIRECT(ADDRESS(ref!$K$8,ref!G11,1,,CELL("contenu",$AC$2))))</f>
        <v>12.465277777777777</v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>A</v>
      </c>
      <c r="AA12" s="8" t="str">
        <f ca="1">CELL("contenu",INDIRECT(ADDRESS(ref!$K$11,ref!H11,1,,CELL("contenu",$AC$2))))</f>
        <v>C</v>
      </c>
    </row>
    <row r="13" spans="1:29" x14ac:dyDescent="0.55000000000000004">
      <c r="A13" s="61" t="str">
        <f t="shared" ca="1" si="0"/>
        <v>FARMAN Edgar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/>
      </c>
      <c r="D13" s="4" t="str">
        <f ca="1">CELL("contenu",INDIRECT(ADDRESS(ref!$K$3,ref!G12,1,,CELL("contenu",$AC$2))))</f>
        <v>C</v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B</v>
      </c>
      <c r="G13" s="3" t="str">
        <f ca="1">CELL("contenu",INDIRECT(ADDRESS(ref!$K$4,ref!F12,1,,CELL("contenu",$AC$2))))</f>
        <v/>
      </c>
      <c r="H13" s="4" t="str">
        <f ca="1">CELL("contenu",INDIRECT(ADDRESS(ref!$K$4,ref!G12,1,,CELL("contenu",$AC$2))))</f>
        <v>A</v>
      </c>
      <c r="I13" s="5" t="str">
        <f ca="1">CELL("contenu",INDIRECT(ADDRESS(ref!$K$4,ref!H12,1,,CELL("contenu",$AC$2))))</f>
        <v>B</v>
      </c>
      <c r="J13" s="6" t="str">
        <f ca="1">CELL("contenu",INDIRECT(ADDRESS(ref!$K$5,ref!E12,1,,CELL("contenu",$AC$2))))</f>
        <v>D</v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>B</v>
      </c>
      <c r="M13" s="5" t="str">
        <f ca="1">CELL("contenu",INDIRECT(ADDRESS(ref!$K$5,ref!H12,1,,CELL("contenu",$AC$2))))</f>
        <v>C</v>
      </c>
      <c r="N13" s="6" t="str">
        <f ca="1">CELL("contenu",INDIRECT(ADDRESS(ref!$K$6,ref!E12,1,,CELL("contenu",$AC$2))))</f>
        <v>D</v>
      </c>
      <c r="O13" s="3" t="str">
        <f ca="1">CELL("contenu",INDIRECT(ADDRESS(ref!$K$6,ref!F12,1,,CELL("contenu",$AC$2))))</f>
        <v/>
      </c>
      <c r="P13" s="4" t="str">
        <f ca="1">CELL("contenu",INDIRECT(ADDRESS(ref!$K$6,ref!G12,1,,CELL("contenu",$AC$2))))</f>
        <v>C</v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9">
        <f ca="1">CELL("contenu",INDIRECT(ADDRESS(ref!$K$8,ref!E12,1,,CELL("contenu",$AC$2))))</f>
        <v>10.277777777777777</v>
      </c>
      <c r="W13" s="50" t="str">
        <f ca="1">CELL("contenu",INDIRECT(ADDRESS(ref!$K$8,ref!F12,1,,CELL("contenu",$AC$2))))</f>
        <v/>
      </c>
      <c r="X13" s="51">
        <f ca="1">CELL("contenu",INDIRECT(ADDRESS(ref!$K$8,ref!G12,1,,CELL("contenu",$AC$2))))</f>
        <v>14.43287037037037</v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>A</v>
      </c>
      <c r="AA13" s="8" t="str">
        <f ca="1">CELL("contenu",INDIRECT(ADDRESS(ref!$K$11,ref!H12,1,,CELL("contenu",$AC$2))))</f>
        <v>C</v>
      </c>
    </row>
    <row r="14" spans="1:29" x14ac:dyDescent="0.55000000000000004">
      <c r="A14" s="61" t="str">
        <f t="shared" ca="1" si="0"/>
        <v>FRANCOIS Jules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>A</v>
      </c>
      <c r="D14" s="4" t="str">
        <f ca="1">CELL("contenu",INDIRECT(ADDRESS(ref!$K$3,ref!G13,1,,CELL("contenu",$AC$2))))</f>
        <v>C</v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B</v>
      </c>
      <c r="G14" s="3" t="str">
        <f ca="1">CELL("contenu",INDIRECT(ADDRESS(ref!$K$4,ref!F13,1,,CELL("contenu",$AC$2))))</f>
        <v>C</v>
      </c>
      <c r="H14" s="4" t="str">
        <f ca="1">CELL("contenu",INDIRECT(ADDRESS(ref!$K$4,ref!G13,1,,CELL("contenu",$AC$2))))</f>
        <v>C</v>
      </c>
      <c r="I14" s="5" t="str">
        <f ca="1">CELL("contenu",INDIRECT(ADDRESS(ref!$K$4,ref!H13,1,,CELL("contenu",$AC$2))))</f>
        <v>C</v>
      </c>
      <c r="J14" s="6" t="str">
        <f ca="1">CELL("contenu",INDIRECT(ADDRESS(ref!$K$5,ref!E13,1,,CELL("contenu",$AC$2))))</f>
        <v>C</v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>B</v>
      </c>
      <c r="M14" s="5" t="str">
        <f ca="1">CELL("contenu",INDIRECT(ADDRESS(ref!$K$5,ref!H13,1,,CELL("contenu",$AC$2))))</f>
        <v>C</v>
      </c>
      <c r="N14" s="6" t="str">
        <f ca="1">CELL("contenu",INDIRECT(ADDRESS(ref!$K$6,ref!E13,1,,CELL("contenu",$AC$2))))</f>
        <v>C</v>
      </c>
      <c r="O14" s="3" t="str">
        <f ca="1">CELL("contenu",INDIRECT(ADDRESS(ref!$K$6,ref!F13,1,,CELL("contenu",$AC$2))))</f>
        <v>C</v>
      </c>
      <c r="P14" s="4" t="str">
        <f ca="1">CELL("contenu",INDIRECT(ADDRESS(ref!$K$6,ref!G13,1,,CELL("contenu",$AC$2))))</f>
        <v>C</v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9">
        <f ca="1">CELL("contenu",INDIRECT(ADDRESS(ref!$K$8,ref!E13,1,,CELL("contenu",$AC$2))))</f>
        <v>11.111111111111111</v>
      </c>
      <c r="W14" s="50">
        <f ca="1">CELL("contenu",INDIRECT(ADDRESS(ref!$K$8,ref!F13,1,,CELL("contenu",$AC$2))))</f>
        <v>14</v>
      </c>
      <c r="X14" s="51">
        <f ca="1">CELL("contenu",INDIRECT(ADDRESS(ref!$K$8,ref!G13,1,,CELL("contenu",$AC$2))))</f>
        <v>12.893518518518519</v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>C</v>
      </c>
      <c r="AA14" s="8" t="str">
        <f ca="1">CELL("contenu",INDIRECT(ADDRESS(ref!$K$11,ref!H13,1,,CELL("contenu",$AC$2))))</f>
        <v>C</v>
      </c>
    </row>
    <row r="15" spans="1:29" x14ac:dyDescent="0.55000000000000004">
      <c r="A15" s="61" t="str">
        <f t="shared" ca="1" si="0"/>
        <v>GAUCHER Chaya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B</v>
      </c>
      <c r="D15" s="4" t="str">
        <f ca="1">CELL("contenu",INDIRECT(ADDRESS(ref!$K$3,ref!G14,1,,CELL("contenu",$AC$2))))</f>
        <v>B</v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C</v>
      </c>
      <c r="G15" s="3" t="str">
        <f ca="1">CELL("contenu",INDIRECT(ADDRESS(ref!$K$4,ref!F14,1,,CELL("contenu",$AC$2))))</f>
        <v>B</v>
      </c>
      <c r="H15" s="4" t="str">
        <f ca="1">CELL("contenu",INDIRECT(ADDRESS(ref!$K$4,ref!G14,1,,CELL("contenu",$AC$2))))</f>
        <v>B</v>
      </c>
      <c r="I15" s="5" t="str">
        <f ca="1">CELL("contenu",INDIRECT(ADDRESS(ref!$K$4,ref!H14,1,,CELL("contenu",$AC$2))))</f>
        <v>B</v>
      </c>
      <c r="J15" s="6" t="str">
        <f ca="1">CELL("contenu",INDIRECT(ADDRESS(ref!$K$5,ref!E14,1,,CELL("contenu",$AC$2))))</f>
        <v>C</v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>A</v>
      </c>
      <c r="M15" s="5" t="str">
        <f ca="1">CELL("contenu",INDIRECT(ADDRESS(ref!$K$5,ref!H14,1,,CELL("contenu",$AC$2))))</f>
        <v>B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B</v>
      </c>
      <c r="P15" s="4" t="str">
        <f ca="1">CELL("contenu",INDIRECT(ADDRESS(ref!$K$6,ref!G14,1,,CELL("contenu",$AC$2))))</f>
        <v>B</v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9">
        <f ca="1">CELL("contenu",INDIRECT(ADDRESS(ref!$K$8,ref!E14,1,,CELL("contenu",$AC$2))))</f>
        <v>10.833333333333332</v>
      </c>
      <c r="W15" s="50">
        <f ca="1">CELL("contenu",INDIRECT(ADDRESS(ref!$K$8,ref!F14,1,,CELL("contenu",$AC$2))))</f>
        <v>16</v>
      </c>
      <c r="X15" s="51">
        <f ca="1">CELL("contenu",INDIRECT(ADDRESS(ref!$K$8,ref!G14,1,,CELL("contenu",$AC$2))))</f>
        <v>15.78703703703704</v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>B</v>
      </c>
      <c r="AA15" s="8" t="str">
        <f ca="1">CELL("contenu",INDIRECT(ADDRESS(ref!$K$11,ref!H14,1,,CELL("contenu",$AC$2))))</f>
        <v>B</v>
      </c>
    </row>
    <row r="16" spans="1:29" x14ac:dyDescent="0.55000000000000004">
      <c r="A16" s="61" t="str">
        <f t="shared" ca="1" si="0"/>
        <v>GEAY Baptiste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/>
      </c>
      <c r="D16" s="4" t="str">
        <f ca="1">CELL("contenu",INDIRECT(ADDRESS(ref!$K$3,ref!G15,1,,CELL("contenu",$AC$2))))</f>
        <v>B</v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>B</v>
      </c>
      <c r="G16" s="3" t="str">
        <f ca="1">CELL("contenu",INDIRECT(ADDRESS(ref!$K$4,ref!F15,1,,CELL("contenu",$AC$2))))</f>
        <v/>
      </c>
      <c r="H16" s="4" t="str">
        <f ca="1">CELL("contenu",INDIRECT(ADDRESS(ref!$K$4,ref!G15,1,,CELL("contenu",$AC$2))))</f>
        <v>A</v>
      </c>
      <c r="I16" s="5" t="str">
        <f ca="1">CELL("contenu",INDIRECT(ADDRESS(ref!$K$4,ref!H15,1,,CELL("contenu",$AC$2))))</f>
        <v>B</v>
      </c>
      <c r="J16" s="6" t="str">
        <f ca="1">CELL("contenu",INDIRECT(ADDRESS(ref!$K$5,ref!E15,1,,CELL("contenu",$AC$2))))</f>
        <v>B</v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>A</v>
      </c>
      <c r="M16" s="5" t="str">
        <f ca="1">CELL("contenu",INDIRECT(ADDRESS(ref!$K$5,ref!H15,1,,CELL("contenu",$AC$2))))</f>
        <v>B</v>
      </c>
      <c r="N16" s="6" t="str">
        <f ca="1">CELL("contenu",INDIRECT(ADDRESS(ref!$K$6,ref!E15,1,,CELL("contenu",$AC$2))))</f>
        <v>B</v>
      </c>
      <c r="O16" s="3" t="str">
        <f ca="1">CELL("contenu",INDIRECT(ADDRESS(ref!$K$6,ref!F15,1,,CELL("contenu",$AC$2))))</f>
        <v/>
      </c>
      <c r="P16" s="4" t="str">
        <f ca="1">CELL("contenu",INDIRECT(ADDRESS(ref!$K$6,ref!G15,1,,CELL("contenu",$AC$2))))</f>
        <v>C</v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9">
        <f ca="1">CELL("contenu",INDIRECT(ADDRESS(ref!$K$8,ref!E15,1,,CELL("contenu",$AC$2))))</f>
        <v>12.777777777777779</v>
      </c>
      <c r="W16" s="50" t="str">
        <f ca="1">CELL("contenu",INDIRECT(ADDRESS(ref!$K$8,ref!F15,1,,CELL("contenu",$AC$2))))</f>
        <v/>
      </c>
      <c r="X16" s="51">
        <f ca="1">CELL("contenu",INDIRECT(ADDRESS(ref!$K$8,ref!G15,1,,CELL("contenu",$AC$2))))</f>
        <v>16.006944444444443</v>
      </c>
      <c r="Y16" s="7" t="str">
        <f ca="1">CELL("contenu",INDIRECT(ADDRESS(ref!$K$9,ref!H15,1,,CELL("contenu",$AC$2))))</f>
        <v>B</v>
      </c>
      <c r="Z16" s="4" t="str">
        <f ca="1">CELL("contenu",INDIRECT(ADDRESS(ref!$K$10,ref!H15,1,,CELL("contenu",$AC$2))))</f>
        <v>A</v>
      </c>
      <c r="AA16" s="8" t="str">
        <f ca="1">CELL("contenu",INDIRECT(ADDRESS(ref!$K$11,ref!H15,1,,CELL("contenu",$AC$2))))</f>
        <v>B</v>
      </c>
    </row>
    <row r="17" spans="1:27" x14ac:dyDescent="0.55000000000000004">
      <c r="A17" s="61" t="str">
        <f t="shared" ca="1" si="0"/>
        <v>GIRARD--RAZEL Merlin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>A</v>
      </c>
      <c r="D17" s="4" t="str">
        <f ca="1">CELL("contenu",INDIRECT(ADDRESS(ref!$K$3,ref!G16,1,,CELL("contenu",$AC$2))))</f>
        <v>B</v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>A</v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>A</v>
      </c>
      <c r="I17" s="5" t="str">
        <f ca="1">CELL("contenu",INDIRECT(ADDRESS(ref!$K$4,ref!H16,1,,CELL("contenu",$AC$2))))</f>
        <v>A</v>
      </c>
      <c r="J17" s="6" t="str">
        <f ca="1">CELL("contenu",INDIRECT(ADDRESS(ref!$K$5,ref!E16,1,,CELL("contenu",$AC$2))))</f>
        <v>B</v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>A</v>
      </c>
      <c r="M17" s="5" t="str">
        <f ca="1">CELL("contenu",INDIRECT(ADDRESS(ref!$K$5,ref!H16,1,,CELL("contenu",$AC$2))))</f>
        <v>B</v>
      </c>
      <c r="N17" s="6" t="str">
        <f ca="1">CELL("contenu",INDIRECT(ADDRESS(ref!$K$6,ref!E16,1,,CELL("contenu",$AC$2))))</f>
        <v>B</v>
      </c>
      <c r="O17" s="3" t="str">
        <f ca="1">CELL("contenu",INDIRECT(ADDRESS(ref!$K$6,ref!F16,1,,CELL("contenu",$AC$2))))</f>
        <v>B</v>
      </c>
      <c r="P17" s="4" t="str">
        <f ca="1">CELL("contenu",INDIRECT(ADDRESS(ref!$K$6,ref!G16,1,,CELL("contenu",$AC$2))))</f>
        <v>B</v>
      </c>
      <c r="Q17" s="5" t="str">
        <f ca="1">CELL("contenu",INDIRECT(ADDRESS(ref!$K$6,ref!H16,1,,CELL("contenu",$AC$2))))</f>
        <v>B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9">
        <f ca="1">CELL("contenu",INDIRECT(ADDRESS(ref!$K$8,ref!E16,1,,CELL("contenu",$AC$2))))</f>
        <v>15.277777777777777</v>
      </c>
      <c r="W17" s="50">
        <f ca="1">CELL("contenu",INDIRECT(ADDRESS(ref!$K$8,ref!F16,1,,CELL("contenu",$AC$2))))</f>
        <v>17</v>
      </c>
      <c r="X17" s="51">
        <f ca="1">CELL("contenu",INDIRECT(ADDRESS(ref!$K$8,ref!G16,1,,CELL("contenu",$AC$2))))</f>
        <v>16.793981481481481</v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>A</v>
      </c>
      <c r="AA17" s="8" t="str">
        <f ca="1">CELL("contenu",INDIRECT(ADDRESS(ref!$K$11,ref!H16,1,,CELL("contenu",$AC$2))))</f>
        <v>B</v>
      </c>
    </row>
    <row r="18" spans="1:27" x14ac:dyDescent="0.55000000000000004">
      <c r="A18" s="61" t="str">
        <f t="shared" ca="1" si="0"/>
        <v>LECCIA Clotilde</v>
      </c>
      <c r="B18" s="2" t="str">
        <f ca="1">CELL("contenu",INDIRECT(ADDRESS(ref!$K$3,ref!E17,1,,CELL("contenu",$AC$2))))</f>
        <v>B</v>
      </c>
      <c r="C18" s="3" t="str">
        <f ca="1">CELL("contenu",INDIRECT(ADDRESS(ref!$K$3,ref!F17,1,,CELL("contenu",$AC$2))))</f>
        <v>A</v>
      </c>
      <c r="D18" s="4" t="str">
        <f ca="1">CELL("contenu",INDIRECT(ADDRESS(ref!$K$3,ref!G17,1,,CELL("contenu",$AC$2))))</f>
        <v>B</v>
      </c>
      <c r="E18" s="5" t="str">
        <f ca="1">CELL("contenu",INDIRECT(ADDRESS(ref!$K$3,ref!H17,1,,CELL("contenu",$AC$2))))</f>
        <v>B</v>
      </c>
      <c r="F18" s="6" t="str">
        <f ca="1">CELL("contenu",INDIRECT(ADDRESS(ref!$K$4,ref!E17,1,,CELL("contenu",$AC$2))))</f>
        <v>B</v>
      </c>
      <c r="G18" s="3" t="str">
        <f ca="1">CELL("contenu",INDIRECT(ADDRESS(ref!$K$4,ref!F17,1,,CELL("contenu",$AC$2))))</f>
        <v>B</v>
      </c>
      <c r="H18" s="4" t="str">
        <f ca="1">CELL("contenu",INDIRECT(ADDRESS(ref!$K$4,ref!G17,1,,CELL("contenu",$AC$2))))</f>
        <v>A</v>
      </c>
      <c r="I18" s="5" t="str">
        <f ca="1">CELL("contenu",INDIRECT(ADDRESS(ref!$K$4,ref!H17,1,,CELL("contenu",$AC$2))))</f>
        <v>B</v>
      </c>
      <c r="J18" s="6" t="str">
        <f ca="1">CELL("contenu",INDIRECT(ADDRESS(ref!$K$5,ref!E17,1,,CELL("contenu",$AC$2))))</f>
        <v>C</v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>B</v>
      </c>
      <c r="M18" s="5" t="str">
        <f ca="1">CELL("contenu",INDIRECT(ADDRESS(ref!$K$5,ref!H17,1,,CELL("contenu",$AC$2))))</f>
        <v>C</v>
      </c>
      <c r="N18" s="6" t="str">
        <f ca="1">CELL("contenu",INDIRECT(ADDRESS(ref!$K$6,ref!E17,1,,CELL("contenu",$AC$2))))</f>
        <v>B</v>
      </c>
      <c r="O18" s="3" t="str">
        <f ca="1">CELL("contenu",INDIRECT(ADDRESS(ref!$K$6,ref!F17,1,,CELL("contenu",$AC$2))))</f>
        <v>B</v>
      </c>
      <c r="P18" s="4" t="str">
        <f ca="1">CELL("contenu",INDIRECT(ADDRESS(ref!$K$6,ref!G17,1,,CELL("contenu",$AC$2))))</f>
        <v>B</v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9">
        <f ca="1">CELL("contenu",INDIRECT(ADDRESS(ref!$K$8,ref!E17,1,,CELL("contenu",$AC$2))))</f>
        <v>14.166666666666668</v>
      </c>
      <c r="W18" s="50">
        <f ca="1">CELL("contenu",INDIRECT(ADDRESS(ref!$K$8,ref!F17,1,,CELL("contenu",$AC$2))))</f>
        <v>17</v>
      </c>
      <c r="X18" s="51">
        <f ca="1">CELL("contenu",INDIRECT(ADDRESS(ref!$K$8,ref!G17,1,,CELL("contenu",$AC$2))))</f>
        <v>15.960648148148149</v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>A</v>
      </c>
      <c r="AA18" s="8" t="str">
        <f ca="1">CELL("contenu",INDIRECT(ADDRESS(ref!$K$11,ref!H17,1,,CELL("contenu",$AC$2))))</f>
        <v>C</v>
      </c>
    </row>
    <row r="19" spans="1:27" x14ac:dyDescent="0.55000000000000004">
      <c r="A19" s="61" t="str">
        <f t="shared" ca="1" si="0"/>
        <v>LECOMTE Emilien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C</v>
      </c>
      <c r="D19" s="4" t="str">
        <f ca="1">CELL("contenu",INDIRECT(ADDRESS(ref!$K$3,ref!G18,1,,CELL("contenu",$AC$2))))</f>
        <v>C</v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C</v>
      </c>
      <c r="G19" s="3" t="str">
        <f ca="1">CELL("contenu",INDIRECT(ADDRESS(ref!$K$4,ref!F18,1,,CELL("contenu",$AC$2))))</f>
        <v>A</v>
      </c>
      <c r="H19" s="4" t="str">
        <f ca="1">CELL("contenu",INDIRECT(ADDRESS(ref!$K$4,ref!G18,1,,CELL("contenu",$AC$2))))</f>
        <v>A</v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>D</v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>A</v>
      </c>
      <c r="M19" s="5" t="str">
        <f ca="1">CELL("contenu",INDIRECT(ADDRESS(ref!$K$5,ref!H18,1,,CELL("contenu",$AC$2))))</f>
        <v>C</v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>B</v>
      </c>
      <c r="P19" s="4" t="str">
        <f ca="1">CELL("contenu",INDIRECT(ADDRESS(ref!$K$6,ref!G18,1,,CELL("contenu",$AC$2))))</f>
        <v>C</v>
      </c>
      <c r="Q19" s="5" t="str">
        <f ca="1">CELL("contenu",INDIRECT(ADDRESS(ref!$K$6,ref!H18,1,,CELL("contenu",$AC$2))))</f>
        <v>B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9">
        <f ca="1">CELL("contenu",INDIRECT(ADDRESS(ref!$K$8,ref!E18,1,,CELL("contenu",$AC$2))))</f>
        <v>9.4444444444444446</v>
      </c>
      <c r="W19" s="50">
        <f ca="1">CELL("contenu",INDIRECT(ADDRESS(ref!$K$8,ref!F18,1,,CELL("contenu",$AC$2))))</f>
        <v>15</v>
      </c>
      <c r="X19" s="51">
        <f ca="1">CELL("contenu",INDIRECT(ADDRESS(ref!$K$8,ref!G18,1,,CELL("contenu",$AC$2))))</f>
        <v>14.050925925925926</v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>A</v>
      </c>
      <c r="AA19" s="8" t="str">
        <f ca="1">CELL("contenu",INDIRECT(ADDRESS(ref!$K$11,ref!H18,1,,CELL("contenu",$AC$2))))</f>
        <v>C</v>
      </c>
    </row>
    <row r="20" spans="1:27" x14ac:dyDescent="0.55000000000000004">
      <c r="A20" s="61" t="str">
        <f t="shared" ca="1" si="0"/>
        <v>LEPRINCE Pierre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>C</v>
      </c>
      <c r="D20" s="4" t="str">
        <f ca="1">CELL("contenu",INDIRECT(ADDRESS(ref!$K$3,ref!G19,1,,CELL("contenu",$AC$2))))</f>
        <v>C</v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>B</v>
      </c>
      <c r="G20" s="3" t="str">
        <f ca="1">CELL("contenu",INDIRECT(ADDRESS(ref!$K$4,ref!F19,1,,CELL("contenu",$AC$2))))</f>
        <v>C</v>
      </c>
      <c r="H20" s="4" t="str">
        <f ca="1">CELL("contenu",INDIRECT(ADDRESS(ref!$K$4,ref!G19,1,,CELL("contenu",$AC$2))))</f>
        <v>C</v>
      </c>
      <c r="I20" s="5" t="str">
        <f ca="1">CELL("contenu",INDIRECT(ADDRESS(ref!$K$4,ref!H19,1,,CELL("contenu",$AC$2))))</f>
        <v>C</v>
      </c>
      <c r="J20" s="6" t="str">
        <f ca="1">CELL("contenu",INDIRECT(ADDRESS(ref!$K$5,ref!E19,1,,CELL("contenu",$AC$2))))</f>
        <v>C</v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>A</v>
      </c>
      <c r="M20" s="5" t="str">
        <f ca="1">CELL("contenu",INDIRECT(ADDRESS(ref!$K$5,ref!H19,1,,CELL("contenu",$AC$2))))</f>
        <v>B</v>
      </c>
      <c r="N20" s="6" t="str">
        <f ca="1">CELL("contenu",INDIRECT(ADDRESS(ref!$K$6,ref!E19,1,,CELL("contenu",$AC$2))))</f>
        <v>D</v>
      </c>
      <c r="O20" s="3" t="str">
        <f ca="1">CELL("contenu",INDIRECT(ADDRESS(ref!$K$6,ref!F19,1,,CELL("contenu",$AC$2))))</f>
        <v>C</v>
      </c>
      <c r="P20" s="4" t="str">
        <f ca="1">CELL("contenu",INDIRECT(ADDRESS(ref!$K$6,ref!G19,1,,CELL("contenu",$AC$2))))</f>
        <v>C</v>
      </c>
      <c r="Q20" s="5" t="str">
        <f ca="1">CELL("contenu",INDIRECT(ADDRESS(ref!$K$6,ref!H19,1,,CELL("contenu",$AC$2))))</f>
        <v>C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9">
        <f ca="1">CELL("contenu",INDIRECT(ADDRESS(ref!$K$8,ref!E19,1,,CELL("contenu",$AC$2))))</f>
        <v>10</v>
      </c>
      <c r="W20" s="50">
        <f ca="1">CELL("contenu",INDIRECT(ADDRESS(ref!$K$8,ref!F19,1,,CELL("contenu",$AC$2))))</f>
        <v>10</v>
      </c>
      <c r="X20" s="51">
        <f ca="1">CELL("contenu",INDIRECT(ADDRESS(ref!$K$8,ref!G19,1,,CELL("contenu",$AC$2))))</f>
        <v>12.141203703703702</v>
      </c>
      <c r="Y20" s="7" t="str">
        <f ca="1">CELL("contenu",INDIRECT(ADDRESS(ref!$K$9,ref!H19,1,,CELL("contenu",$AC$2))))</f>
        <v>C</v>
      </c>
      <c r="Z20" s="4" t="str">
        <f ca="1">CELL("contenu",INDIRECT(ADDRESS(ref!$K$10,ref!H19,1,,CELL("contenu",$AC$2))))</f>
        <v>D</v>
      </c>
      <c r="AA20" s="8" t="str">
        <f ca="1">CELL("contenu",INDIRECT(ADDRESS(ref!$K$11,ref!H19,1,,CELL("contenu",$AC$2))))</f>
        <v>B</v>
      </c>
    </row>
    <row r="21" spans="1:27" x14ac:dyDescent="0.55000000000000004">
      <c r="A21" s="61" t="str">
        <f t="shared" ca="1" si="0"/>
        <v>LUZURIER Raphael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C</v>
      </c>
      <c r="D21" s="4" t="str">
        <f ca="1">CELL("contenu",INDIRECT(ADDRESS(ref!$K$3,ref!G20,1,,CELL("contenu",$AC$2))))</f>
        <v>C</v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>A</v>
      </c>
      <c r="G21" s="3" t="str">
        <f ca="1">CELL("contenu",INDIRECT(ADDRESS(ref!$K$4,ref!F20,1,,CELL("contenu",$AC$2))))</f>
        <v>C</v>
      </c>
      <c r="H21" s="4" t="str">
        <f ca="1">CELL("contenu",INDIRECT(ADDRESS(ref!$K$4,ref!G20,1,,CELL("contenu",$AC$2))))</f>
        <v>C</v>
      </c>
      <c r="I21" s="5" t="str">
        <f ca="1">CELL("contenu",INDIRECT(ADDRESS(ref!$K$4,ref!H20,1,,CELL("contenu",$AC$2))))</f>
        <v>C</v>
      </c>
      <c r="J21" s="6" t="str">
        <f ca="1">CELL("contenu",INDIRECT(ADDRESS(ref!$K$5,ref!E20,1,,CELL("contenu",$AC$2))))</f>
        <v>C</v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>A</v>
      </c>
      <c r="M21" s="5" t="str">
        <f ca="1">CELL("contenu",INDIRECT(ADDRESS(ref!$K$5,ref!H20,1,,CELL("contenu",$AC$2))))</f>
        <v>B</v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>C</v>
      </c>
      <c r="Q21" s="5" t="str">
        <f ca="1">CELL("contenu",INDIRECT(ADDRESS(ref!$K$6,ref!H20,1,,CELL("contenu",$AC$2))))</f>
        <v>C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9">
        <f ca="1">CELL("contenu",INDIRECT(ADDRESS(ref!$K$8,ref!E20,1,,CELL("contenu",$AC$2))))</f>
        <v>11.666666666666668</v>
      </c>
      <c r="W21" s="50">
        <f ca="1">CELL("contenu",INDIRECT(ADDRESS(ref!$K$8,ref!F20,1,,CELL("contenu",$AC$2))))</f>
        <v>11</v>
      </c>
      <c r="X21" s="51">
        <f ca="1">CELL("contenu",INDIRECT(ADDRESS(ref!$K$8,ref!G20,1,,CELL("contenu",$AC$2))))</f>
        <v>12.106481481481481</v>
      </c>
      <c r="Y21" s="7" t="str">
        <f ca="1">CELL("contenu",INDIRECT(ADDRESS(ref!$K$9,ref!H20,1,,CELL("contenu",$AC$2))))</f>
        <v>B</v>
      </c>
      <c r="Z21" s="4" t="str">
        <f ca="1">CELL("contenu",INDIRECT(ADDRESS(ref!$K$10,ref!H20,1,,CELL("contenu",$AC$2))))</f>
        <v>C</v>
      </c>
      <c r="AA21" s="8" t="str">
        <f ca="1">CELL("contenu",INDIRECT(ADDRESS(ref!$K$11,ref!H20,1,,CELL("contenu",$AC$2))))</f>
        <v>B</v>
      </c>
    </row>
    <row r="22" spans="1:27" x14ac:dyDescent="0.55000000000000004">
      <c r="A22" s="61" t="str">
        <f t="shared" ca="1" si="0"/>
        <v>MASSUARD Louis</v>
      </c>
      <c r="B22" s="2" t="str">
        <f ca="1">CELL("contenu",INDIRECT(ADDRESS(ref!$K$3,ref!E21,1,,CELL("contenu",$AC$2))))</f>
        <v>C</v>
      </c>
      <c r="C22" s="3" t="str">
        <f ca="1">CELL("contenu",INDIRECT(ADDRESS(ref!$K$3,ref!F21,1,,CELL("contenu",$AC$2))))</f>
        <v>A</v>
      </c>
      <c r="D22" s="4" t="str">
        <f ca="1">CELL("contenu",INDIRECT(ADDRESS(ref!$K$3,ref!G21,1,,CELL("contenu",$AC$2))))</f>
        <v>C</v>
      </c>
      <c r="E22" s="5" t="str">
        <f ca="1">CELL("contenu",INDIRECT(ADDRESS(ref!$K$3,ref!H21,1,,CELL("contenu",$AC$2))))</f>
        <v>B</v>
      </c>
      <c r="F22" s="6" t="str">
        <f ca="1">CELL("contenu",INDIRECT(ADDRESS(ref!$K$4,ref!E21,1,,CELL("contenu",$AC$2))))</f>
        <v>B</v>
      </c>
      <c r="G22" s="3" t="str">
        <f ca="1">CELL("contenu",INDIRECT(ADDRESS(ref!$K$4,ref!F21,1,,CELL("contenu",$AC$2))))</f>
        <v>B</v>
      </c>
      <c r="H22" s="4" t="str">
        <f ca="1">CELL("contenu",INDIRECT(ADDRESS(ref!$K$4,ref!G21,1,,CELL("contenu",$AC$2))))</f>
        <v>C</v>
      </c>
      <c r="I22" s="5" t="str">
        <f ca="1">CELL("contenu",INDIRECT(ADDRESS(ref!$K$4,ref!H21,1,,CELL("contenu",$AC$2))))</f>
        <v>C</v>
      </c>
      <c r="J22" s="6" t="str">
        <f ca="1">CELL("contenu",INDIRECT(ADDRESS(ref!$K$5,ref!E21,1,,CELL("contenu",$AC$2))))</f>
        <v>B</v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>B</v>
      </c>
      <c r="M22" s="5" t="str">
        <f ca="1">CELL("contenu",INDIRECT(ADDRESS(ref!$K$5,ref!H21,1,,CELL("contenu",$AC$2))))</f>
        <v>B</v>
      </c>
      <c r="N22" s="6" t="str">
        <f ca="1">CELL("contenu",INDIRECT(ADDRESS(ref!$K$6,ref!E21,1,,CELL("contenu",$AC$2))))</f>
        <v>B</v>
      </c>
      <c r="O22" s="3" t="str">
        <f ca="1">CELL("contenu",INDIRECT(ADDRESS(ref!$K$6,ref!F21,1,,CELL("contenu",$AC$2))))</f>
        <v>B</v>
      </c>
      <c r="P22" s="4" t="str">
        <f ca="1">CELL("contenu",INDIRECT(ADDRESS(ref!$K$6,ref!G21,1,,CELL("contenu",$AC$2))))</f>
        <v>B</v>
      </c>
      <c r="Q22" s="5" t="str">
        <f ca="1">CELL("contenu",INDIRECT(ADDRESS(ref!$K$6,ref!H21,1,,CELL("contenu",$AC$2))))</f>
        <v>B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9">
        <f ca="1">CELL("contenu",INDIRECT(ADDRESS(ref!$K$8,ref!E21,1,,CELL("contenu",$AC$2))))</f>
        <v>14.444444444444445</v>
      </c>
      <c r="W22" s="50">
        <f ca="1">CELL("contenu",INDIRECT(ADDRESS(ref!$K$8,ref!F21,1,,CELL("contenu",$AC$2))))</f>
        <v>17</v>
      </c>
      <c r="X22" s="51">
        <f ca="1">CELL("contenu",INDIRECT(ADDRESS(ref!$K$8,ref!G21,1,,CELL("contenu",$AC$2))))</f>
        <v>13.888888888888886</v>
      </c>
      <c r="Y22" s="7" t="str">
        <f ca="1">CELL("contenu",INDIRECT(ADDRESS(ref!$K$9,ref!H21,1,,CELL("contenu",$AC$2))))</f>
        <v>B</v>
      </c>
      <c r="Z22" s="4" t="str">
        <f ca="1">CELL("contenu",INDIRECT(ADDRESS(ref!$K$10,ref!H21,1,,CELL("contenu",$AC$2))))</f>
        <v>D</v>
      </c>
      <c r="AA22" s="8" t="str">
        <f ca="1">CELL("contenu",INDIRECT(ADDRESS(ref!$K$11,ref!H21,1,,CELL("contenu",$AC$2))))</f>
        <v>B</v>
      </c>
    </row>
    <row r="23" spans="1:27" x14ac:dyDescent="0.55000000000000004">
      <c r="A23" s="61" t="str">
        <f t="shared" ca="1" si="0"/>
        <v>MAUVE Juliette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>A</v>
      </c>
      <c r="D23" s="4" t="str">
        <f ca="1">CELL("contenu",INDIRECT(ADDRESS(ref!$K$3,ref!G22,1,,CELL("contenu",$AC$2))))</f>
        <v>B</v>
      </c>
      <c r="E23" s="5" t="str">
        <f ca="1">CELL("contenu",INDIRECT(ADDRESS(ref!$K$3,ref!H22,1,,CELL("contenu",$AC$2))))</f>
        <v>B</v>
      </c>
      <c r="F23" s="6" t="str">
        <f ca="1">CELL("contenu",INDIRECT(ADDRESS(ref!$K$4,ref!E22,1,,CELL("contenu",$AC$2))))</f>
        <v>A</v>
      </c>
      <c r="G23" s="3" t="str">
        <f ca="1">CELL("contenu",INDIRECT(ADDRESS(ref!$K$4,ref!F22,1,,CELL("contenu",$AC$2))))</f>
        <v>B</v>
      </c>
      <c r="H23" s="4" t="str">
        <f ca="1">CELL("contenu",INDIRECT(ADDRESS(ref!$K$4,ref!G22,1,,CELL("contenu",$AC$2))))</f>
        <v>A</v>
      </c>
      <c r="I23" s="5" t="str">
        <f ca="1">CELL("contenu",INDIRECT(ADDRESS(ref!$K$4,ref!H22,1,,CELL("contenu",$AC$2))))</f>
        <v>A</v>
      </c>
      <c r="J23" s="6" t="str">
        <f ca="1">CELL("contenu",INDIRECT(ADDRESS(ref!$K$5,ref!E22,1,,CELL("contenu",$AC$2))))</f>
        <v>B</v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>A</v>
      </c>
      <c r="M23" s="5" t="str">
        <f ca="1">CELL("contenu",INDIRECT(ADDRESS(ref!$K$5,ref!H22,1,,CELL("contenu",$AC$2))))</f>
        <v>B</v>
      </c>
      <c r="N23" s="6" t="str">
        <f ca="1">CELL("contenu",INDIRECT(ADDRESS(ref!$K$6,ref!E22,1,,CELL("contenu",$AC$2))))</f>
        <v>B</v>
      </c>
      <c r="O23" s="3" t="str">
        <f ca="1">CELL("contenu",INDIRECT(ADDRESS(ref!$K$6,ref!F22,1,,CELL("contenu",$AC$2))))</f>
        <v>B</v>
      </c>
      <c r="P23" s="4" t="str">
        <f ca="1">CELL("contenu",INDIRECT(ADDRESS(ref!$K$6,ref!G22,1,,CELL("contenu",$AC$2))))</f>
        <v>B</v>
      </c>
      <c r="Q23" s="5" t="str">
        <f ca="1">CELL("contenu",INDIRECT(ADDRESS(ref!$K$6,ref!H22,1,,CELL("contenu",$AC$2))))</f>
        <v>B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9">
        <f ca="1">CELL("contenu",INDIRECT(ADDRESS(ref!$K$8,ref!E22,1,,CELL("contenu",$AC$2))))</f>
        <v>15.555555555555555</v>
      </c>
      <c r="W23" s="50">
        <f ca="1">CELL("contenu",INDIRECT(ADDRESS(ref!$K$8,ref!F22,1,,CELL("contenu",$AC$2))))</f>
        <v>17</v>
      </c>
      <c r="X23" s="51">
        <f ca="1">CELL("contenu",INDIRECT(ADDRESS(ref!$K$8,ref!G22,1,,CELL("contenu",$AC$2))))</f>
        <v>16.481481481481481</v>
      </c>
      <c r="Y23" s="7" t="str">
        <f ca="1">CELL("contenu",INDIRECT(ADDRESS(ref!$K$9,ref!H22,1,,CELL("contenu",$AC$2))))</f>
        <v>B</v>
      </c>
      <c r="Z23" s="4" t="str">
        <f ca="1">CELL("contenu",INDIRECT(ADDRESS(ref!$K$10,ref!H22,1,,CELL("contenu",$AC$2))))</f>
        <v>A</v>
      </c>
      <c r="AA23" s="8" t="str">
        <f ca="1">CELL("contenu",INDIRECT(ADDRESS(ref!$K$11,ref!H22,1,,CELL("contenu",$AC$2))))</f>
        <v>B</v>
      </c>
    </row>
    <row r="24" spans="1:27" x14ac:dyDescent="0.55000000000000004">
      <c r="A24" s="61" t="str">
        <f t="shared" ca="1" si="0"/>
        <v>MOTILLON Jeanne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>B</v>
      </c>
      <c r="D24" s="4" t="str">
        <f ca="1">CELL("contenu",INDIRECT(ADDRESS(ref!$K$3,ref!G23,1,,CELL("contenu",$AC$2))))</f>
        <v>B</v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>A</v>
      </c>
      <c r="G24" s="3" t="str">
        <f ca="1">CELL("contenu",INDIRECT(ADDRESS(ref!$K$4,ref!F23,1,,CELL("contenu",$AC$2))))</f>
        <v>B</v>
      </c>
      <c r="H24" s="4" t="str">
        <f ca="1">CELL("contenu",INDIRECT(ADDRESS(ref!$K$4,ref!G23,1,,CELL("contenu",$AC$2))))</f>
        <v>A</v>
      </c>
      <c r="I24" s="5" t="str">
        <f ca="1">CELL("contenu",INDIRECT(ADDRESS(ref!$K$4,ref!H23,1,,CELL("contenu",$AC$2))))</f>
        <v>A</v>
      </c>
      <c r="J24" s="6" t="str">
        <f ca="1">CELL("contenu",INDIRECT(ADDRESS(ref!$K$5,ref!E23,1,,CELL("contenu",$AC$2))))</f>
        <v>D</v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>A</v>
      </c>
      <c r="M24" s="5" t="str">
        <f ca="1">CELL("contenu",INDIRECT(ADDRESS(ref!$K$5,ref!H23,1,,CELL("contenu",$AC$2))))</f>
        <v>C</v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>C</v>
      </c>
      <c r="P24" s="4" t="str">
        <f ca="1">CELL("contenu",INDIRECT(ADDRESS(ref!$K$6,ref!G23,1,,CELL("contenu",$AC$2))))</f>
        <v>C</v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9">
        <f ca="1">CELL("contenu",INDIRECT(ADDRESS(ref!$K$8,ref!E23,1,,CELL("contenu",$AC$2))))</f>
        <v>12.222222222222223</v>
      </c>
      <c r="W24" s="50">
        <f ca="1">CELL("contenu",INDIRECT(ADDRESS(ref!$K$8,ref!F23,1,,CELL("contenu",$AC$2))))</f>
        <v>13</v>
      </c>
      <c r="X24" s="51">
        <f ca="1">CELL("contenu",INDIRECT(ADDRESS(ref!$K$8,ref!G23,1,,CELL("contenu",$AC$2))))</f>
        <v>15.451388888888891</v>
      </c>
      <c r="Y24" s="7" t="str">
        <f ca="1">CELL("contenu",INDIRECT(ADDRESS(ref!$K$9,ref!H23,1,,CELL("contenu",$AC$2))))</f>
        <v>B</v>
      </c>
      <c r="Z24" s="4" t="str">
        <f ca="1">CELL("contenu",INDIRECT(ADDRESS(ref!$K$10,ref!H23,1,,CELL("contenu",$AC$2))))</f>
        <v>A</v>
      </c>
      <c r="AA24" s="8" t="str">
        <f ca="1">CELL("contenu",INDIRECT(ADDRESS(ref!$K$11,ref!H23,1,,CELL("contenu",$AC$2))))</f>
        <v>C</v>
      </c>
    </row>
    <row r="25" spans="1:27" x14ac:dyDescent="0.55000000000000004">
      <c r="A25" s="61" t="str">
        <f t="shared" ca="1" si="0"/>
        <v>PHILIPPONNEAU Julia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>B</v>
      </c>
      <c r="D25" s="4" t="str">
        <f ca="1">CELL("contenu",INDIRECT(ADDRESS(ref!$K$3,ref!G24,1,,CELL("contenu",$AC$2))))</f>
        <v>C</v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>A</v>
      </c>
      <c r="G25" s="3" t="str">
        <f ca="1">CELL("contenu",INDIRECT(ADDRESS(ref!$K$4,ref!F24,1,,CELL("contenu",$AC$2))))</f>
        <v>B</v>
      </c>
      <c r="H25" s="4" t="str">
        <f ca="1">CELL("contenu",INDIRECT(ADDRESS(ref!$K$4,ref!G24,1,,CELL("contenu",$AC$2))))</f>
        <v>B</v>
      </c>
      <c r="I25" s="5" t="str">
        <f ca="1">CELL("contenu",INDIRECT(ADDRESS(ref!$K$4,ref!H24,1,,CELL("contenu",$AC$2))))</f>
        <v>B</v>
      </c>
      <c r="J25" s="6" t="str">
        <f ca="1">CELL("contenu",INDIRECT(ADDRESS(ref!$K$5,ref!E24,1,,CELL("contenu",$AC$2))))</f>
        <v>D</v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>B</v>
      </c>
      <c r="M25" s="5" t="str">
        <f ca="1">CELL("contenu",INDIRECT(ADDRESS(ref!$K$5,ref!H24,1,,CELL("contenu",$AC$2))))</f>
        <v>C</v>
      </c>
      <c r="N25" s="6" t="str">
        <f ca="1">CELL("contenu",INDIRECT(ADDRESS(ref!$K$6,ref!E24,1,,CELL("contenu",$AC$2))))</f>
        <v>C</v>
      </c>
      <c r="O25" s="3" t="str">
        <f ca="1">CELL("contenu",INDIRECT(ADDRESS(ref!$K$6,ref!F24,1,,CELL("contenu",$AC$2))))</f>
        <v>C</v>
      </c>
      <c r="P25" s="4" t="str">
        <f ca="1">CELL("contenu",INDIRECT(ADDRESS(ref!$K$6,ref!G24,1,,CELL("contenu",$AC$2))))</f>
        <v>C</v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9">
        <f ca="1">CELL("contenu",INDIRECT(ADDRESS(ref!$K$8,ref!E24,1,,CELL("contenu",$AC$2))))</f>
        <v>11.111111111111111</v>
      </c>
      <c r="W25" s="50">
        <f ca="1">CELL("contenu",INDIRECT(ADDRESS(ref!$K$8,ref!F24,1,,CELL("contenu",$AC$2))))</f>
        <v>14</v>
      </c>
      <c r="X25" s="51">
        <f ca="1">CELL("contenu",INDIRECT(ADDRESS(ref!$K$8,ref!G24,1,,CELL("contenu",$AC$2))))</f>
        <v>11.516203703703702</v>
      </c>
      <c r="Y25" s="7" t="str">
        <f ca="1">CELL("contenu",INDIRECT(ADDRESS(ref!$K$9,ref!H24,1,,CELL("contenu",$AC$2))))</f>
        <v>B</v>
      </c>
      <c r="Z25" s="4" t="str">
        <f ca="1">CELL("contenu",INDIRECT(ADDRESS(ref!$K$10,ref!H24,1,,CELL("contenu",$AC$2))))</f>
        <v>B</v>
      </c>
      <c r="AA25" s="8" t="str">
        <f ca="1">CELL("contenu",INDIRECT(ADDRESS(ref!$K$11,ref!H24,1,,CELL("contenu",$AC$2))))</f>
        <v>C</v>
      </c>
    </row>
    <row r="26" spans="1:27" x14ac:dyDescent="0.55000000000000004">
      <c r="A26" s="61" t="str">
        <f t="shared" ca="1" si="0"/>
        <v>REYNIER Antoine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>B</v>
      </c>
      <c r="D26" s="4" t="str">
        <f ca="1">CELL("contenu",INDIRECT(ADDRESS(ref!$K$3,ref!G25,1,,CELL("contenu",$AC$2))))</f>
        <v>C</v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>B</v>
      </c>
      <c r="G26" s="3" t="str">
        <f ca="1">CELL("contenu",INDIRECT(ADDRESS(ref!$K$4,ref!F25,1,,CELL("contenu",$AC$2))))</f>
        <v>B</v>
      </c>
      <c r="H26" s="4" t="str">
        <f ca="1">CELL("contenu",INDIRECT(ADDRESS(ref!$K$4,ref!G25,1,,CELL("contenu",$AC$2))))</f>
        <v>A</v>
      </c>
      <c r="I26" s="5" t="str">
        <f ca="1">CELL("contenu",INDIRECT(ADDRESS(ref!$K$4,ref!H25,1,,CELL("contenu",$AC$2))))</f>
        <v>B</v>
      </c>
      <c r="J26" s="6" t="str">
        <f ca="1">CELL("contenu",INDIRECT(ADDRESS(ref!$K$5,ref!E25,1,,CELL("contenu",$AC$2))))</f>
        <v>B</v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>B</v>
      </c>
      <c r="M26" s="5" t="str">
        <f ca="1">CELL("contenu",INDIRECT(ADDRESS(ref!$K$5,ref!H25,1,,CELL("contenu",$AC$2))))</f>
        <v>B</v>
      </c>
      <c r="N26" s="6" t="str">
        <f ca="1">CELL("contenu",INDIRECT(ADDRESS(ref!$K$6,ref!E25,1,,CELL("contenu",$AC$2))))</f>
        <v>B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>C</v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9">
        <f ca="1">CELL("contenu",INDIRECT(ADDRESS(ref!$K$8,ref!E25,1,,CELL("contenu",$AC$2))))</f>
        <v>13.888888888888891</v>
      </c>
      <c r="W26" s="50">
        <f ca="1">CELL("contenu",INDIRECT(ADDRESS(ref!$K$8,ref!F25,1,,CELL("contenu",$AC$2))))</f>
        <v>14</v>
      </c>
      <c r="X26" s="51">
        <f ca="1">CELL("contenu",INDIRECT(ADDRESS(ref!$K$8,ref!G25,1,,CELL("contenu",$AC$2))))</f>
        <v>13.090277777777777</v>
      </c>
      <c r="Y26" s="7" t="str">
        <f ca="1">CELL("contenu",INDIRECT(ADDRESS(ref!$K$9,ref!H25,1,,CELL("contenu",$AC$2))))</f>
        <v>B</v>
      </c>
      <c r="Z26" s="4" t="str">
        <f ca="1">CELL("contenu",INDIRECT(ADDRESS(ref!$K$10,ref!H25,1,,CELL("contenu",$AC$2))))</f>
        <v>A</v>
      </c>
      <c r="AA26" s="8" t="str">
        <f ca="1">CELL("contenu",INDIRECT(ADDRESS(ref!$K$11,ref!H25,1,,CELL("contenu",$AC$2))))</f>
        <v>B</v>
      </c>
    </row>
    <row r="27" spans="1:27" x14ac:dyDescent="0.55000000000000004">
      <c r="A27" s="61" t="str">
        <f t="shared" ca="1" si="0"/>
        <v>ROCHERY Marguerite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>B</v>
      </c>
      <c r="D27" s="4" t="str">
        <f ca="1">CELL("contenu",INDIRECT(ADDRESS(ref!$K$3,ref!G26,1,,CELL("contenu",$AC$2))))</f>
        <v>C</v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B</v>
      </c>
      <c r="G27" s="3" t="str">
        <f ca="1">CELL("contenu",INDIRECT(ADDRESS(ref!$K$4,ref!F26,1,,CELL("contenu",$AC$2))))</f>
        <v>C</v>
      </c>
      <c r="H27" s="4" t="str">
        <f ca="1">CELL("contenu",INDIRECT(ADDRESS(ref!$K$4,ref!G26,1,,CELL("contenu",$AC$2))))</f>
        <v>A</v>
      </c>
      <c r="I27" s="5" t="str">
        <f ca="1">CELL("contenu",INDIRECT(ADDRESS(ref!$K$4,ref!H26,1,,CELL("contenu",$AC$2))))</f>
        <v>B</v>
      </c>
      <c r="J27" s="6" t="str">
        <f ca="1">CELL("contenu",INDIRECT(ADDRESS(ref!$K$5,ref!E26,1,,CELL("contenu",$AC$2))))</f>
        <v>C</v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>A</v>
      </c>
      <c r="M27" s="5" t="str">
        <f ca="1">CELL("contenu",INDIRECT(ADDRESS(ref!$K$5,ref!H26,1,,CELL("contenu",$AC$2))))</f>
        <v>B</v>
      </c>
      <c r="N27" s="6" t="str">
        <f ca="1">CELL("contenu",INDIRECT(ADDRESS(ref!$K$6,ref!E26,1,,CELL("contenu",$AC$2))))</f>
        <v>B</v>
      </c>
      <c r="O27" s="3" t="str">
        <f ca="1">CELL("contenu",INDIRECT(ADDRESS(ref!$K$6,ref!F26,1,,CELL("contenu",$AC$2))))</f>
        <v>B</v>
      </c>
      <c r="P27" s="4" t="str">
        <f ca="1">CELL("contenu",INDIRECT(ADDRESS(ref!$K$6,ref!G26,1,,CELL("contenu",$AC$2))))</f>
        <v>C</v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9">
        <f ca="1">CELL("contenu",INDIRECT(ADDRESS(ref!$K$8,ref!E26,1,,CELL("contenu",$AC$2))))</f>
        <v>13.055555555555555</v>
      </c>
      <c r="W27" s="50">
        <f ca="1">CELL("contenu",INDIRECT(ADDRESS(ref!$K$8,ref!F26,1,,CELL("contenu",$AC$2))))</f>
        <v>14</v>
      </c>
      <c r="X27" s="51">
        <f ca="1">CELL("contenu",INDIRECT(ADDRESS(ref!$K$8,ref!G26,1,,CELL("contenu",$AC$2))))</f>
        <v>14.571759259259258</v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>A</v>
      </c>
      <c r="AA27" s="8" t="str">
        <f ca="1">CELL("contenu",INDIRECT(ADDRESS(ref!$K$11,ref!H26,1,,CELL("contenu",$AC$2))))</f>
        <v>B</v>
      </c>
    </row>
    <row r="28" spans="1:27" x14ac:dyDescent="0.55000000000000004">
      <c r="A28" s="61" t="str">
        <f t="shared" ca="1" si="0"/>
        <v>TABONE Gaspard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B</v>
      </c>
      <c r="D28" s="4" t="str">
        <f ca="1">CELL("contenu",INDIRECT(ADDRESS(ref!$K$3,ref!G27,1,,CELL("contenu",$AC$2))))</f>
        <v>B</v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>A</v>
      </c>
      <c r="G28" s="3" t="str">
        <f ca="1">CELL("contenu",INDIRECT(ADDRESS(ref!$K$4,ref!F27,1,,CELL("contenu",$AC$2))))</f>
        <v>B</v>
      </c>
      <c r="H28" s="4" t="str">
        <f ca="1">CELL("contenu",INDIRECT(ADDRESS(ref!$K$4,ref!G27,1,,CELL("contenu",$AC$2))))</f>
        <v>A</v>
      </c>
      <c r="I28" s="5" t="str">
        <f ca="1">CELL("contenu",INDIRECT(ADDRESS(ref!$K$4,ref!H27,1,,CELL("contenu",$AC$2))))</f>
        <v>A</v>
      </c>
      <c r="J28" s="6" t="str">
        <f ca="1">CELL("contenu",INDIRECT(ADDRESS(ref!$K$5,ref!E27,1,,CELL("contenu",$AC$2))))</f>
        <v>D</v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>A</v>
      </c>
      <c r="M28" s="5" t="str">
        <f ca="1">CELL("contenu",INDIRECT(ADDRESS(ref!$K$5,ref!H27,1,,CELL("contenu",$AC$2))))</f>
        <v>C</v>
      </c>
      <c r="N28" s="6" t="str">
        <f ca="1">CELL("contenu",INDIRECT(ADDRESS(ref!$K$6,ref!E27,1,,CELL("contenu",$AC$2))))</f>
        <v>B</v>
      </c>
      <c r="O28" s="3" t="str">
        <f ca="1">CELL("contenu",INDIRECT(ADDRESS(ref!$K$6,ref!F27,1,,CELL("contenu",$AC$2))))</f>
        <v>B</v>
      </c>
      <c r="P28" s="4" t="str">
        <f ca="1">CELL("contenu",INDIRECT(ADDRESS(ref!$K$6,ref!G27,1,,CELL("contenu",$AC$2))))</f>
        <v>B</v>
      </c>
      <c r="Q28" s="5" t="str">
        <f ca="1">CELL("contenu",INDIRECT(ADDRESS(ref!$K$6,ref!H27,1,,CELL("contenu",$AC$2))))</f>
        <v>B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9">
        <f ca="1">CELL("contenu",INDIRECT(ADDRESS(ref!$K$8,ref!E27,1,,CELL("contenu",$AC$2))))</f>
        <v>14.722222222222223</v>
      </c>
      <c r="W28" s="50">
        <f ca="1">CELL("contenu",INDIRECT(ADDRESS(ref!$K$8,ref!F27,1,,CELL("contenu",$AC$2))))</f>
        <v>16</v>
      </c>
      <c r="X28" s="51">
        <f ca="1">CELL("contenu",INDIRECT(ADDRESS(ref!$K$8,ref!G27,1,,CELL("contenu",$AC$2))))</f>
        <v>16.458333333333332</v>
      </c>
      <c r="Y28" s="7" t="str">
        <f ca="1">CELL("contenu",INDIRECT(ADDRESS(ref!$K$9,ref!H27,1,,CELL("contenu",$AC$2))))</f>
        <v>B</v>
      </c>
      <c r="Z28" s="4" t="str">
        <f ca="1">CELL("contenu",INDIRECT(ADDRESS(ref!$K$10,ref!H27,1,,CELL("contenu",$AC$2))))</f>
        <v>A</v>
      </c>
      <c r="AA28" s="8" t="str">
        <f ca="1">CELL("contenu",INDIRECT(ADDRESS(ref!$K$11,ref!H27,1,,CELL("contenu",$AC$2))))</f>
        <v>C</v>
      </c>
    </row>
    <row r="29" spans="1:27" x14ac:dyDescent="0.55000000000000004">
      <c r="A29" s="61" t="str">
        <f t="shared" ca="1" si="0"/>
        <v>TONDEUR Justine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>B</v>
      </c>
      <c r="D29" s="4" t="str">
        <f ca="1">CELL("contenu",INDIRECT(ADDRESS(ref!$K$3,ref!G28,1,,CELL("contenu",$AC$2))))</f>
        <v>B</v>
      </c>
      <c r="E29" s="5" t="str">
        <f ca="1">CELL("contenu",INDIRECT(ADDRESS(ref!$K$3,ref!H28,1,,CELL("contenu",$AC$2))))</f>
        <v>B</v>
      </c>
      <c r="F29" s="6" t="str">
        <f ca="1">CELL("contenu",INDIRECT(ADDRESS(ref!$K$4,ref!E28,1,,CELL("contenu",$AC$2))))</f>
        <v>A</v>
      </c>
      <c r="G29" s="3" t="str">
        <f ca="1">CELL("contenu",INDIRECT(ADDRESS(ref!$K$4,ref!F28,1,,CELL("contenu",$AC$2))))</f>
        <v>B</v>
      </c>
      <c r="H29" s="4" t="str">
        <f ca="1">CELL("contenu",INDIRECT(ADDRESS(ref!$K$4,ref!G28,1,,CELL("contenu",$AC$2))))</f>
        <v>A</v>
      </c>
      <c r="I29" s="5" t="str">
        <f ca="1">CELL("contenu",INDIRECT(ADDRESS(ref!$K$4,ref!H28,1,,CELL("contenu",$AC$2))))</f>
        <v>A</v>
      </c>
      <c r="J29" s="6" t="str">
        <f ca="1">CELL("contenu",INDIRECT(ADDRESS(ref!$K$5,ref!E28,1,,CELL("contenu",$AC$2))))</f>
        <v>B</v>
      </c>
      <c r="K29" s="3" t="str">
        <f ca="1">CELL("contenu",INDIRECT(ADDRESS(ref!$K$5,ref!F28,1,,CELL("contenu",$AC$2))))</f>
        <v/>
      </c>
      <c r="L29" s="4" t="str">
        <f ca="1">CELL("contenu",INDIRECT(ADDRESS(ref!$K$5,ref!G28,1,,CELL("contenu",$AC$2))))</f>
        <v>A</v>
      </c>
      <c r="M29" s="5" t="str">
        <f ca="1">CELL("contenu",INDIRECT(ADDRESS(ref!$K$5,ref!H28,1,,CELL("contenu",$AC$2))))</f>
        <v>B</v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>C</v>
      </c>
      <c r="P29" s="4" t="str">
        <f ca="1">CELL("contenu",INDIRECT(ADDRESS(ref!$K$6,ref!G28,1,,CELL("contenu",$AC$2))))</f>
        <v>B</v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9">
        <f ca="1">CELL("contenu",INDIRECT(ADDRESS(ref!$K$8,ref!E28,1,,CELL("contenu",$AC$2))))</f>
        <v>14.444444444444445</v>
      </c>
      <c r="W29" s="50">
        <f ca="1">CELL("contenu",INDIRECT(ADDRESS(ref!$K$8,ref!F28,1,,CELL("contenu",$AC$2))))</f>
        <v>13</v>
      </c>
      <c r="X29" s="51">
        <f ca="1">CELL("contenu",INDIRECT(ADDRESS(ref!$K$8,ref!G28,1,,CELL("contenu",$AC$2))))</f>
        <v>16.840277777777779</v>
      </c>
      <c r="Y29" s="7" t="str">
        <f ca="1">CELL("contenu",INDIRECT(ADDRESS(ref!$K$9,ref!H28,1,,CELL("contenu",$AC$2))))</f>
        <v>B</v>
      </c>
      <c r="Z29" s="4" t="str">
        <f ca="1">CELL("contenu",INDIRECT(ADDRESS(ref!$K$10,ref!H28,1,,CELL("contenu",$AC$2))))</f>
        <v>A</v>
      </c>
      <c r="AA29" s="8" t="str">
        <f ca="1">CELL("contenu",INDIRECT(ADDRESS(ref!$K$11,ref!H28,1,,CELL("contenu",$AC$2))))</f>
        <v>B</v>
      </c>
    </row>
    <row r="30" spans="1:27" ht="14.7" thickBot="1" x14ac:dyDescent="0.6">
      <c r="A30" s="64" t="str">
        <f t="shared" ca="1" si="0"/>
        <v>VANDIER Achille</v>
      </c>
      <c r="B30" s="23" t="str">
        <f ca="1">CELL("contenu",INDIRECT(ADDRESS(ref!$K$3,ref!E29,1,,CELL("contenu",$AC$2))))</f>
        <v>C</v>
      </c>
      <c r="C30" s="9" t="str">
        <f ca="1">CELL("contenu",INDIRECT(ADDRESS(ref!$K$3,ref!F29,1,,CELL("contenu",$AC$2))))</f>
        <v>A</v>
      </c>
      <c r="D30" s="10" t="str">
        <f ca="1">CELL("contenu",INDIRECT(ADDRESS(ref!$K$3,ref!G29,1,,CELL("contenu",$AC$2))))</f>
        <v>B</v>
      </c>
      <c r="E30" s="11" t="str">
        <f ca="1">CELL("contenu",INDIRECT(ADDRESS(ref!$K$3,ref!H29,1,,CELL("contenu",$AC$2))))</f>
        <v>B</v>
      </c>
      <c r="F30" s="12" t="str">
        <f ca="1">CELL("contenu",INDIRECT(ADDRESS(ref!$K$4,ref!E29,1,,CELL("contenu",$AC$2))))</f>
        <v>B</v>
      </c>
      <c r="G30" s="9" t="str">
        <f ca="1">CELL("contenu",INDIRECT(ADDRESS(ref!$K$4,ref!F29,1,,CELL("contenu",$AC$2))))</f>
        <v>B</v>
      </c>
      <c r="H30" s="10" t="str">
        <f ca="1">CELL("contenu",INDIRECT(ADDRESS(ref!$K$4,ref!G29,1,,CELL("contenu",$AC$2))))</f>
        <v>B</v>
      </c>
      <c r="I30" s="11" t="str">
        <f ca="1">CELL("contenu",INDIRECT(ADDRESS(ref!$K$4,ref!H29,1,,CELL("contenu",$AC$2))))</f>
        <v>B</v>
      </c>
      <c r="J30" s="12" t="str">
        <f ca="1">CELL("contenu",INDIRECT(ADDRESS(ref!$K$5,ref!E29,1,,CELL("contenu",$AC$2))))</f>
        <v>B</v>
      </c>
      <c r="K30" s="9" t="str">
        <f ca="1">CELL("contenu",INDIRECT(ADDRESS(ref!$K$5,ref!F29,1,,CELL("contenu",$AC$2))))</f>
        <v/>
      </c>
      <c r="L30" s="10" t="str">
        <f ca="1">CELL("contenu",INDIRECT(ADDRESS(ref!$K$5,ref!G29,1,,CELL("contenu",$AC$2))))</f>
        <v>A</v>
      </c>
      <c r="M30" s="11" t="str">
        <f ca="1">CELL("contenu",INDIRECT(ADDRESS(ref!$K$5,ref!H29,1,,CELL("contenu",$AC$2))))</f>
        <v>B</v>
      </c>
      <c r="N30" s="12" t="str">
        <f ca="1">CELL("contenu",INDIRECT(ADDRESS(ref!$K$6,ref!E29,1,,CELL("contenu",$AC$2))))</f>
        <v>B</v>
      </c>
      <c r="O30" s="9" t="str">
        <f ca="1">CELL("contenu",INDIRECT(ADDRESS(ref!$K$6,ref!F29,1,,CELL("contenu",$AC$2))))</f>
        <v>C</v>
      </c>
      <c r="P30" s="10" t="str">
        <f ca="1">CELL("contenu",INDIRECT(ADDRESS(ref!$K$6,ref!G29,1,,CELL("contenu",$AC$2))))</f>
        <v>C</v>
      </c>
      <c r="Q30" s="11" t="str">
        <f ca="1">CELL("contenu",INDIRECT(ADDRESS(ref!$K$6,ref!H29,1,,CELL("contenu",$AC$2))))</f>
        <v>C</v>
      </c>
      <c r="R30" s="12" t="str">
        <f ca="1">CELL("contenu",INDIRECT(ADDRESS(ref!$K$7,ref!E29,1,,CELL("contenu",$AC$2))))</f>
        <v/>
      </c>
      <c r="S30" s="9" t="str">
        <f ca="1">CELL("contenu",INDIRECT(ADDRESS(ref!$K$7,ref!F29,1,,CELL("contenu",$AC$2))))</f>
        <v/>
      </c>
      <c r="T30" s="10" t="str">
        <f ca="1">CELL("contenu",INDIRECT(ADDRESS(ref!$K$7,ref!G29,1,,CELL("contenu",$AC$2))))</f>
        <v/>
      </c>
      <c r="U30" s="11" t="str">
        <f ca="1">CELL("contenu",INDIRECT(ADDRESS(ref!$K$7,ref!H29,1,,CELL("contenu",$AC$2))))</f>
        <v/>
      </c>
      <c r="V30" s="52">
        <f ca="1">CELL("contenu",INDIRECT(ADDRESS(ref!$K$8,ref!E29,1,,CELL("contenu",$AC$2))))</f>
        <v>13.888888888888891</v>
      </c>
      <c r="W30" s="53">
        <f ca="1">CELL("contenu",INDIRECT(ADDRESS(ref!$K$8,ref!F29,1,,CELL("contenu",$AC$2))))</f>
        <v>15</v>
      </c>
      <c r="X30" s="54">
        <f ca="1">CELL("contenu",INDIRECT(ADDRESS(ref!$K$8,ref!G29,1,,CELL("contenu",$AC$2))))</f>
        <v>15</v>
      </c>
      <c r="Y30" s="13" t="str">
        <f ca="1">CELL("contenu",INDIRECT(ADDRESS(ref!$K$9,ref!H29,1,,CELL("contenu",$AC$2))))</f>
        <v>B</v>
      </c>
      <c r="Z30" s="10" t="str">
        <f ca="1">CELL("contenu",INDIRECT(ADDRESS(ref!$K$10,ref!H29,1,,CELL("contenu",$AC$2))))</f>
        <v>B</v>
      </c>
      <c r="AA30" s="14" t="str">
        <f ca="1">CELL("contenu",INDIRECT(ADDRESS(ref!$K$11,ref!H29,1,,CELL("contenu",$AC$2))))</f>
        <v>B</v>
      </c>
    </row>
  </sheetData>
  <sheetProtection algorithmName="SHA-512" hashValue="NDelV1X3hYMY28en7CnH1ZXM0Nh7FUUWhkVubvPHbiLazrC455tLAzqlnJDF0Faun5lOetORQv/Xjo26OeOPEQ==" saltValue="g7OeG7XxTYB8reLOIkczvg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VU24"/>
  <sheetViews>
    <sheetView topLeftCell="A2" zoomScale="80" zoomScaleNormal="80" workbookViewId="0">
      <pane xSplit="2" topLeftCell="TC1" activePane="topRight" state="frozen"/>
      <selection activeCell="AB3" sqref="AB3:AC3"/>
      <selection pane="topRight" activeCell="TR19" sqref="TR19"/>
    </sheetView>
  </sheetViews>
  <sheetFormatPr baseColWidth="10" defaultColWidth="5.68359375" defaultRowHeight="14.4" x14ac:dyDescent="0.55000000000000004"/>
  <cols>
    <col min="1" max="1" width="17.68359375" style="168" customWidth="1"/>
    <col min="2" max="2" width="13.68359375" style="168" customWidth="1"/>
    <col min="3" max="5" width="4.68359375" style="159" customWidth="1"/>
    <col min="6" max="6" width="4.68359375" style="190" customWidth="1"/>
    <col min="7" max="7" width="8.68359375" style="191" customWidth="1"/>
    <col min="8" max="11" width="4.68359375" style="158" customWidth="1"/>
    <col min="12" max="12" width="4.68359375" style="191" customWidth="1"/>
    <col min="13" max="13" width="8.68359375" style="191" customWidth="1"/>
    <col min="14" max="18" width="4.68359375" style="158" customWidth="1"/>
    <col min="19" max="19" width="4.68359375" style="191" customWidth="1"/>
    <col min="20" max="20" width="8.68359375" style="191" customWidth="1"/>
    <col min="21" max="21" width="4.68359375" style="191" customWidth="1"/>
    <col min="22" max="22" width="8.68359375" style="191" customWidth="1"/>
    <col min="23" max="25" width="4.68359375" style="159" customWidth="1"/>
    <col min="26" max="26" width="4.68359375" style="190" customWidth="1"/>
    <col min="27" max="27" width="8.68359375" style="191" customWidth="1"/>
    <col min="28" max="31" width="4.68359375" style="158" customWidth="1"/>
    <col min="32" max="32" width="4.68359375" style="191" customWidth="1"/>
    <col min="33" max="33" width="8.68359375" style="191" customWidth="1"/>
    <col min="34" max="38" width="4.68359375" style="158" customWidth="1"/>
    <col min="39" max="39" width="4.68359375" style="191" customWidth="1"/>
    <col min="40" max="40" width="8.68359375" style="191" customWidth="1"/>
    <col min="41" max="41" width="4.68359375" style="191" customWidth="1"/>
    <col min="42" max="42" width="8.68359375" style="191" customWidth="1"/>
    <col min="43" max="46" width="4.68359375" style="159" customWidth="1"/>
    <col min="47" max="47" width="8.68359375" style="157" customWidth="1"/>
    <col min="48" max="51" width="4.68359375" style="158" customWidth="1"/>
    <col min="52" max="52" width="4.68359375" style="157" customWidth="1"/>
    <col min="53" max="53" width="8.68359375" style="157" customWidth="1"/>
    <col min="54" max="58" width="4.68359375" style="158" customWidth="1"/>
    <col min="59" max="59" width="4.68359375" style="157" customWidth="1"/>
    <col min="60" max="60" width="8.68359375" style="157" customWidth="1"/>
    <col min="61" max="61" width="4.68359375" style="157" customWidth="1"/>
    <col min="62" max="62" width="8.68359375" style="157" customWidth="1"/>
    <col min="63" max="66" width="4.68359375" style="159" customWidth="1"/>
    <col min="67" max="67" width="8.68359375" style="157" customWidth="1"/>
    <col min="68" max="71" width="4.68359375" style="158" customWidth="1"/>
    <col min="72" max="72" width="4.68359375" style="157" customWidth="1"/>
    <col min="73" max="73" width="8.68359375" style="157" customWidth="1"/>
    <col min="74" max="78" width="4.68359375" style="158" customWidth="1"/>
    <col min="79" max="79" width="4.68359375" style="157" customWidth="1"/>
    <col min="80" max="80" width="8.68359375" style="157" customWidth="1"/>
    <col min="81" max="81" width="4.68359375" style="157" customWidth="1"/>
    <col min="82" max="82" width="8.68359375" style="157" customWidth="1"/>
    <col min="83" max="86" width="4.68359375" style="159" customWidth="1"/>
    <col min="87" max="87" width="8.68359375" style="157" customWidth="1"/>
    <col min="88" max="91" width="4.68359375" style="158" customWidth="1"/>
    <col min="92" max="92" width="4.68359375" style="157" customWidth="1"/>
    <col min="93" max="93" width="8.68359375" style="157" customWidth="1"/>
    <col min="94" max="98" width="4.68359375" style="158" customWidth="1"/>
    <col min="99" max="99" width="4.68359375" style="157" customWidth="1"/>
    <col min="100" max="100" width="8.68359375" style="157" customWidth="1"/>
    <col min="101" max="101" width="4.68359375" style="157" customWidth="1"/>
    <col min="102" max="102" width="8.68359375" style="157" customWidth="1"/>
    <col min="103" max="106" width="4.68359375" style="159" customWidth="1"/>
    <col min="107" max="107" width="8.68359375" style="157" customWidth="1"/>
    <col min="108" max="111" width="4.68359375" style="158" customWidth="1"/>
    <col min="112" max="112" width="4.68359375" style="157" customWidth="1"/>
    <col min="113" max="113" width="8.68359375" style="157" customWidth="1"/>
    <col min="114" max="118" width="4.68359375" style="158" customWidth="1"/>
    <col min="119" max="119" width="4.68359375" style="157" customWidth="1"/>
    <col min="120" max="120" width="8.68359375" style="157" customWidth="1"/>
    <col min="121" max="121" width="4.68359375" style="157" customWidth="1"/>
    <col min="122" max="122" width="8.68359375" style="157" customWidth="1"/>
    <col min="123" max="126" width="4.68359375" style="159" customWidth="1"/>
    <col min="127" max="127" width="8.68359375" style="157" customWidth="1"/>
    <col min="128" max="131" width="4.68359375" style="158" customWidth="1"/>
    <col min="132" max="132" width="4.68359375" style="157" customWidth="1"/>
    <col min="133" max="133" width="8.68359375" style="157" customWidth="1"/>
    <col min="134" max="138" width="4.68359375" style="158" customWidth="1"/>
    <col min="139" max="139" width="4.68359375" style="157" customWidth="1"/>
    <col min="140" max="140" width="8.68359375" style="157" customWidth="1"/>
    <col min="141" max="141" width="4.68359375" style="157" customWidth="1"/>
    <col min="142" max="142" width="8.68359375" style="157" customWidth="1"/>
    <col min="143" max="146" width="4.68359375" style="159" customWidth="1"/>
    <col min="147" max="147" width="8.68359375" style="157" customWidth="1"/>
    <col min="148" max="151" width="4.68359375" style="158" customWidth="1"/>
    <col min="152" max="152" width="4.68359375" style="157" customWidth="1"/>
    <col min="153" max="153" width="8.68359375" style="157" customWidth="1"/>
    <col min="154" max="158" width="4.68359375" style="158" customWidth="1"/>
    <col min="159" max="159" width="4.68359375" style="157" customWidth="1"/>
    <col min="160" max="160" width="8.68359375" style="157" customWidth="1"/>
    <col min="161" max="161" width="4.68359375" style="157" customWidth="1"/>
    <col min="162" max="162" width="8.68359375" style="157" customWidth="1"/>
    <col min="163" max="166" width="4.68359375" style="159" customWidth="1"/>
    <col min="167" max="167" width="8.68359375" style="157" customWidth="1"/>
    <col min="168" max="171" width="4.68359375" style="158" customWidth="1"/>
    <col min="172" max="172" width="4.68359375" style="157" customWidth="1"/>
    <col min="173" max="173" width="8.68359375" style="157" customWidth="1"/>
    <col min="174" max="178" width="4.68359375" style="158" customWidth="1"/>
    <col min="179" max="179" width="4.68359375" style="157" customWidth="1"/>
    <col min="180" max="180" width="8.68359375" style="157" customWidth="1"/>
    <col min="181" max="181" width="4.68359375" style="157" customWidth="1"/>
    <col min="182" max="182" width="8.68359375" style="157" customWidth="1"/>
    <col min="183" max="186" width="4.68359375" style="159" customWidth="1"/>
    <col min="187" max="187" width="8.68359375" style="157" customWidth="1"/>
    <col min="188" max="191" width="4.68359375" style="158" customWidth="1"/>
    <col min="192" max="192" width="4.68359375" style="157" customWidth="1"/>
    <col min="193" max="193" width="8.68359375" style="157" customWidth="1"/>
    <col min="194" max="198" width="4.68359375" style="158" customWidth="1"/>
    <col min="199" max="199" width="4.68359375" style="157" customWidth="1"/>
    <col min="200" max="200" width="8.68359375" style="157" customWidth="1"/>
    <col min="201" max="201" width="4.68359375" style="157" customWidth="1"/>
    <col min="202" max="202" width="8.68359375" style="157" customWidth="1"/>
    <col min="203" max="206" width="4.68359375" style="159" customWidth="1"/>
    <col min="207" max="207" width="8.68359375" style="157" customWidth="1"/>
    <col min="208" max="211" width="4.68359375" style="158" customWidth="1"/>
    <col min="212" max="212" width="4.68359375" style="157" customWidth="1"/>
    <col min="213" max="213" width="8.68359375" style="157" customWidth="1"/>
    <col min="214" max="218" width="4.68359375" style="158" customWidth="1"/>
    <col min="219" max="219" width="4.68359375" style="157" customWidth="1"/>
    <col min="220" max="220" width="8.68359375" style="157" customWidth="1"/>
    <col min="221" max="221" width="4.68359375" style="157" customWidth="1"/>
    <col min="222" max="222" width="8.68359375" style="157" customWidth="1"/>
    <col min="223" max="226" width="4.68359375" style="159" customWidth="1"/>
    <col min="227" max="227" width="8.68359375" style="157" customWidth="1"/>
    <col min="228" max="231" width="4.68359375" style="158" customWidth="1"/>
    <col min="232" max="232" width="4.68359375" style="157" customWidth="1"/>
    <col min="233" max="233" width="8.68359375" style="157" customWidth="1"/>
    <col min="234" max="238" width="4.68359375" style="158" customWidth="1"/>
    <col min="239" max="239" width="4.68359375" style="157" customWidth="1"/>
    <col min="240" max="240" width="8.68359375" style="157" customWidth="1"/>
    <col min="241" max="241" width="4.68359375" style="157" customWidth="1"/>
    <col min="242" max="242" width="8.68359375" style="157" customWidth="1"/>
    <col min="243" max="246" width="4.68359375" style="159" customWidth="1"/>
    <col min="247" max="247" width="8.68359375" style="157" customWidth="1"/>
    <col min="248" max="251" width="4.68359375" style="158" customWidth="1"/>
    <col min="252" max="252" width="4.68359375" style="157" customWidth="1"/>
    <col min="253" max="253" width="8.68359375" style="157" customWidth="1"/>
    <col min="254" max="258" width="4.68359375" style="158" customWidth="1"/>
    <col min="259" max="259" width="4.68359375" style="157" customWidth="1"/>
    <col min="260" max="260" width="8.68359375" style="157" customWidth="1"/>
    <col min="261" max="261" width="4.68359375" style="157" customWidth="1"/>
    <col min="262" max="262" width="8.68359375" style="157" customWidth="1"/>
    <col min="263" max="266" width="4.68359375" style="159" customWidth="1"/>
    <col min="267" max="267" width="8.68359375" style="157" customWidth="1"/>
    <col min="268" max="271" width="4.68359375" style="158" customWidth="1"/>
    <col min="272" max="272" width="4.68359375" style="157" customWidth="1"/>
    <col min="273" max="273" width="8.68359375" style="157" customWidth="1"/>
    <col min="274" max="278" width="4.68359375" style="158" customWidth="1"/>
    <col min="279" max="279" width="4.68359375" style="157" customWidth="1"/>
    <col min="280" max="280" width="8.68359375" style="157" customWidth="1"/>
    <col min="281" max="281" width="4.68359375" style="157" customWidth="1"/>
    <col min="282" max="282" width="8.68359375" style="157" customWidth="1"/>
    <col min="283" max="286" width="4.68359375" style="159" customWidth="1"/>
    <col min="287" max="287" width="8.68359375" style="157" customWidth="1"/>
    <col min="288" max="291" width="4.68359375" style="158" customWidth="1"/>
    <col min="292" max="292" width="4.68359375" style="157" customWidth="1"/>
    <col min="293" max="293" width="8.68359375" style="157" customWidth="1"/>
    <col min="294" max="298" width="4.68359375" style="158" customWidth="1"/>
    <col min="299" max="299" width="4.68359375" style="157" customWidth="1"/>
    <col min="300" max="300" width="8.68359375" style="157" customWidth="1"/>
    <col min="301" max="301" width="4.68359375" style="157" customWidth="1"/>
    <col min="302" max="302" width="8.68359375" style="157" customWidth="1"/>
    <col min="303" max="306" width="4.68359375" style="159" customWidth="1"/>
    <col min="307" max="307" width="8.68359375" style="157" customWidth="1"/>
    <col min="308" max="311" width="4.68359375" style="158" customWidth="1"/>
    <col min="312" max="312" width="4.68359375" style="157" customWidth="1"/>
    <col min="313" max="313" width="8.68359375" style="157" customWidth="1"/>
    <col min="314" max="318" width="4.68359375" style="158" customWidth="1"/>
    <col min="319" max="319" width="4.68359375" style="157" customWidth="1"/>
    <col min="320" max="320" width="8.68359375" style="157" customWidth="1"/>
    <col min="321" max="321" width="4.68359375" style="157" customWidth="1"/>
    <col min="322" max="322" width="8.68359375" style="157" customWidth="1"/>
    <col min="323" max="326" width="4.68359375" style="159" customWidth="1"/>
    <col min="327" max="327" width="8.68359375" style="157" customWidth="1"/>
    <col min="328" max="331" width="4.68359375" style="158" customWidth="1"/>
    <col min="332" max="332" width="4.68359375" style="157" customWidth="1"/>
    <col min="333" max="333" width="8.68359375" style="157" customWidth="1"/>
    <col min="334" max="338" width="4.68359375" style="158" customWidth="1"/>
    <col min="339" max="339" width="4.68359375" style="157" customWidth="1"/>
    <col min="340" max="340" width="8.68359375" style="157" customWidth="1"/>
    <col min="341" max="341" width="4.68359375" style="157" customWidth="1"/>
    <col min="342" max="342" width="8.68359375" style="157" customWidth="1"/>
    <col min="343" max="346" width="4.68359375" style="159" customWidth="1"/>
    <col min="347" max="347" width="8.68359375" style="157" customWidth="1"/>
    <col min="348" max="351" width="4.68359375" style="158" customWidth="1"/>
    <col min="352" max="352" width="4.68359375" style="157" customWidth="1"/>
    <col min="353" max="353" width="8.68359375" style="157" customWidth="1"/>
    <col min="354" max="358" width="4.68359375" style="158" customWidth="1"/>
    <col min="359" max="359" width="4.68359375" style="157" customWidth="1"/>
    <col min="360" max="360" width="8.68359375" style="157" customWidth="1"/>
    <col min="361" max="361" width="4.68359375" style="157" customWidth="1"/>
    <col min="362" max="362" width="8.68359375" style="157" customWidth="1"/>
    <col min="363" max="366" width="4.68359375" style="159" customWidth="1"/>
    <col min="367" max="367" width="8.68359375" style="157" customWidth="1"/>
    <col min="368" max="371" width="4.68359375" style="158" customWidth="1"/>
    <col min="372" max="372" width="4.68359375" style="157" customWidth="1"/>
    <col min="373" max="373" width="8.68359375" style="157" customWidth="1"/>
    <col min="374" max="378" width="4.68359375" style="158" customWidth="1"/>
    <col min="379" max="379" width="4.68359375" style="157" customWidth="1"/>
    <col min="380" max="380" width="8.68359375" style="157" customWidth="1"/>
    <col min="381" max="381" width="4.68359375" style="157" customWidth="1"/>
    <col min="382" max="382" width="8.68359375" style="157" customWidth="1"/>
    <col min="383" max="386" width="4.68359375" style="159" customWidth="1"/>
    <col min="387" max="387" width="8.68359375" style="157" customWidth="1"/>
    <col min="388" max="391" width="4.68359375" style="158" customWidth="1"/>
    <col min="392" max="392" width="4.68359375" style="157" customWidth="1"/>
    <col min="393" max="393" width="8.68359375" style="157" customWidth="1"/>
    <col min="394" max="398" width="4.68359375" style="158" customWidth="1"/>
    <col min="399" max="399" width="4.68359375" style="157" customWidth="1"/>
    <col min="400" max="400" width="8.68359375" style="157" customWidth="1"/>
    <col min="401" max="401" width="4.68359375" style="157" customWidth="1"/>
    <col min="402" max="402" width="8.68359375" style="157" customWidth="1"/>
    <col min="403" max="406" width="4.68359375" style="159" customWidth="1"/>
    <col min="407" max="407" width="8.68359375" style="157" customWidth="1"/>
    <col min="408" max="411" width="4.68359375" style="158" customWidth="1"/>
    <col min="412" max="412" width="4.68359375" style="157" customWidth="1"/>
    <col min="413" max="413" width="8.68359375" style="157" customWidth="1"/>
    <col min="414" max="418" width="4.68359375" style="158" customWidth="1"/>
    <col min="419" max="419" width="4.68359375" style="157" customWidth="1"/>
    <col min="420" max="420" width="8.68359375" style="157" customWidth="1"/>
    <col min="421" max="421" width="4.68359375" style="157" customWidth="1"/>
    <col min="422" max="422" width="8.68359375" style="157" customWidth="1"/>
    <col min="423" max="426" width="4.68359375" style="159" customWidth="1"/>
    <col min="427" max="427" width="8.68359375" style="157" customWidth="1"/>
    <col min="428" max="431" width="4.68359375" style="158" customWidth="1"/>
    <col min="432" max="432" width="4.68359375" style="157" customWidth="1"/>
    <col min="433" max="433" width="8.68359375" style="157" customWidth="1"/>
    <col min="434" max="438" width="4.68359375" style="158" customWidth="1"/>
    <col min="439" max="439" width="4.68359375" style="157" customWidth="1"/>
    <col min="440" max="440" width="8.68359375" style="157" customWidth="1"/>
    <col min="441" max="441" width="4.68359375" style="157" customWidth="1"/>
    <col min="442" max="442" width="8.68359375" style="157" customWidth="1"/>
    <col min="443" max="446" width="4.68359375" style="159" customWidth="1"/>
    <col min="447" max="447" width="8.68359375" style="157" customWidth="1"/>
    <col min="448" max="451" width="4.68359375" style="158" customWidth="1"/>
    <col min="452" max="452" width="4.68359375" style="157" customWidth="1"/>
    <col min="453" max="453" width="8.68359375" style="157" customWidth="1"/>
    <col min="454" max="458" width="4.68359375" style="158" customWidth="1"/>
    <col min="459" max="459" width="4.68359375" style="157" customWidth="1"/>
    <col min="460" max="460" width="8.68359375" style="157" customWidth="1"/>
    <col min="461" max="461" width="4.68359375" style="157" customWidth="1"/>
    <col min="462" max="462" width="8.68359375" style="157" customWidth="1"/>
    <col min="463" max="466" width="4.68359375" style="159" customWidth="1"/>
    <col min="467" max="467" width="8.68359375" style="157" customWidth="1"/>
    <col min="468" max="471" width="4.68359375" style="158" customWidth="1"/>
    <col min="472" max="472" width="4.68359375" style="157" customWidth="1"/>
    <col min="473" max="473" width="8.68359375" style="157" customWidth="1"/>
    <col min="474" max="478" width="4.68359375" style="158" customWidth="1"/>
    <col min="479" max="479" width="4.68359375" style="157" customWidth="1"/>
    <col min="480" max="480" width="8.68359375" style="157" customWidth="1"/>
    <col min="481" max="481" width="4.68359375" style="157" customWidth="1"/>
    <col min="482" max="482" width="8.68359375" style="157" customWidth="1"/>
    <col min="483" max="486" width="4.68359375" style="159" customWidth="1"/>
    <col min="487" max="487" width="8.68359375" style="157" customWidth="1"/>
    <col min="488" max="491" width="4.68359375" style="158" customWidth="1"/>
    <col min="492" max="492" width="4.68359375" style="157" customWidth="1"/>
    <col min="493" max="493" width="8.68359375" style="157" customWidth="1"/>
    <col min="494" max="498" width="4.68359375" style="158" customWidth="1"/>
    <col min="499" max="499" width="4.68359375" style="157" customWidth="1"/>
    <col min="500" max="500" width="8.68359375" style="157" customWidth="1"/>
    <col min="501" max="501" width="4.68359375" style="157" customWidth="1"/>
    <col min="502" max="502" width="8.68359375" style="157" customWidth="1"/>
    <col min="503" max="506" width="4.68359375" style="159" customWidth="1"/>
    <col min="507" max="507" width="8.68359375" style="157" customWidth="1"/>
    <col min="508" max="511" width="4.68359375" style="158" customWidth="1"/>
    <col min="512" max="512" width="4.68359375" style="157" customWidth="1"/>
    <col min="513" max="513" width="8.68359375" style="157" customWidth="1"/>
    <col min="514" max="518" width="4.68359375" style="158" customWidth="1"/>
    <col min="519" max="519" width="4.68359375" style="157" customWidth="1"/>
    <col min="520" max="520" width="8.68359375" style="157" customWidth="1"/>
    <col min="521" max="521" width="4.68359375" style="157" customWidth="1"/>
    <col min="522" max="522" width="8.68359375" style="157" customWidth="1"/>
    <col min="523" max="526" width="4.68359375" style="159" customWidth="1"/>
    <col min="527" max="527" width="8.68359375" style="157" customWidth="1"/>
    <col min="528" max="531" width="4.68359375" style="158" customWidth="1"/>
    <col min="532" max="532" width="4.68359375" style="157" customWidth="1"/>
    <col min="533" max="533" width="8.68359375" style="157" customWidth="1"/>
    <col min="534" max="538" width="4.68359375" style="158" customWidth="1"/>
    <col min="539" max="539" width="4.68359375" style="157" customWidth="1"/>
    <col min="540" max="540" width="8.68359375" style="157" customWidth="1"/>
    <col min="541" max="541" width="4.68359375" style="157" customWidth="1"/>
    <col min="542" max="542" width="8.68359375" style="157" customWidth="1"/>
    <col min="543" max="546" width="4.68359375" style="159" customWidth="1"/>
    <col min="547" max="547" width="8.68359375" style="157" customWidth="1"/>
    <col min="548" max="550" width="4.68359375" style="158" customWidth="1"/>
    <col min="551" max="551" width="4.68359375" style="157" customWidth="1"/>
    <col min="552" max="552" width="8.68359375" style="157" customWidth="1"/>
    <col min="553" max="555" width="4.68359375" style="158" customWidth="1"/>
    <col min="556" max="556" width="4.68359375" style="157" customWidth="1"/>
    <col min="557" max="557" width="8.68359375" style="157" customWidth="1"/>
    <col min="558" max="558" width="4.68359375" style="157" customWidth="1"/>
    <col min="559" max="559" width="8.68359375" style="157" customWidth="1"/>
    <col min="560" max="563" width="4.68359375" style="159" customWidth="1"/>
    <col min="564" max="564" width="8.68359375" style="157" customWidth="1"/>
    <col min="565" max="567" width="4.68359375" style="158" customWidth="1"/>
    <col min="568" max="568" width="4.68359375" style="157" customWidth="1"/>
    <col min="569" max="569" width="8.68359375" style="157" customWidth="1"/>
    <col min="570" max="572" width="4.68359375" style="158" customWidth="1"/>
    <col min="573" max="573" width="4.68359375" style="157" customWidth="1"/>
    <col min="574" max="574" width="8.68359375" style="157" customWidth="1"/>
    <col min="575" max="575" width="4.68359375" style="157" customWidth="1"/>
    <col min="576" max="576" width="8.68359375" style="157" customWidth="1"/>
    <col min="577" max="580" width="4.68359375" style="159" customWidth="1"/>
    <col min="581" max="581" width="8.68359375" style="157" customWidth="1"/>
    <col min="582" max="584" width="4.68359375" style="158" customWidth="1"/>
    <col min="585" max="585" width="4.68359375" style="157" customWidth="1"/>
    <col min="586" max="586" width="8.68359375" style="157" customWidth="1"/>
    <col min="587" max="589" width="4.68359375" style="158" customWidth="1"/>
    <col min="590" max="590" width="4.68359375" style="157" customWidth="1"/>
    <col min="591" max="591" width="8.68359375" style="157" customWidth="1"/>
    <col min="592" max="592" width="4.68359375" style="157" customWidth="1"/>
    <col min="593" max="593" width="8.68359375" style="157" customWidth="1"/>
    <col min="594" max="16384" width="5.68359375" style="84"/>
  </cols>
  <sheetData>
    <row r="1" spans="1:593" ht="18" customHeight="1" thickBot="1" x14ac:dyDescent="0.6">
      <c r="A1" s="244" t="s">
        <v>44</v>
      </c>
      <c r="B1" s="245"/>
      <c r="C1" s="170">
        <v>4</v>
      </c>
      <c r="D1" s="80"/>
      <c r="E1" s="80"/>
      <c r="F1" s="174"/>
      <c r="G1" s="175"/>
      <c r="H1" s="173"/>
      <c r="I1" s="82"/>
      <c r="J1" s="82"/>
      <c r="K1" s="82"/>
      <c r="L1" s="175"/>
      <c r="M1" s="175"/>
      <c r="N1" s="173"/>
      <c r="O1" s="82"/>
      <c r="P1" s="82"/>
      <c r="Q1" s="82"/>
      <c r="R1" s="82"/>
      <c r="S1" s="175"/>
      <c r="T1" s="175"/>
      <c r="U1" s="175"/>
      <c r="V1" s="196"/>
      <c r="W1" s="213">
        <f>C1+1</f>
        <v>5</v>
      </c>
      <c r="X1" s="80"/>
      <c r="Y1" s="80"/>
      <c r="Z1" s="174"/>
      <c r="AA1" s="175"/>
      <c r="AB1" s="173"/>
      <c r="AC1" s="82"/>
      <c r="AD1" s="82"/>
      <c r="AE1" s="82"/>
      <c r="AF1" s="175"/>
      <c r="AG1" s="175"/>
      <c r="AH1" s="173"/>
      <c r="AI1" s="82"/>
      <c r="AJ1" s="82"/>
      <c r="AK1" s="82"/>
      <c r="AL1" s="82"/>
      <c r="AM1" s="175"/>
      <c r="AN1" s="175"/>
      <c r="AO1" s="175"/>
      <c r="AP1" s="196"/>
      <c r="AQ1" s="213">
        <f>W1+1</f>
        <v>6</v>
      </c>
      <c r="AR1" s="80"/>
      <c r="AS1" s="80"/>
      <c r="AT1" s="174"/>
      <c r="AU1" s="175"/>
      <c r="AV1" s="173"/>
      <c r="AW1" s="82"/>
      <c r="AX1" s="82"/>
      <c r="AY1" s="82"/>
      <c r="AZ1" s="175"/>
      <c r="BA1" s="175"/>
      <c r="BB1" s="173"/>
      <c r="BC1" s="82"/>
      <c r="BD1" s="82"/>
      <c r="BE1" s="82"/>
      <c r="BF1" s="82"/>
      <c r="BG1" s="175"/>
      <c r="BH1" s="175"/>
      <c r="BI1" s="175"/>
      <c r="BJ1" s="196"/>
      <c r="BK1" s="213">
        <f>AQ1+1</f>
        <v>7</v>
      </c>
      <c r="BL1" s="80"/>
      <c r="BM1" s="80"/>
      <c r="BN1" s="174"/>
      <c r="BO1" s="175"/>
      <c r="BP1" s="173"/>
      <c r="BQ1" s="82"/>
      <c r="BR1" s="82"/>
      <c r="BS1" s="82"/>
      <c r="BT1" s="175"/>
      <c r="BU1" s="175"/>
      <c r="BV1" s="173"/>
      <c r="BW1" s="82"/>
      <c r="BX1" s="82"/>
      <c r="BY1" s="82"/>
      <c r="BZ1" s="82"/>
      <c r="CA1" s="175"/>
      <c r="CB1" s="175"/>
      <c r="CC1" s="175"/>
      <c r="CD1" s="196"/>
      <c r="CE1" s="213">
        <f>BK1+1</f>
        <v>8</v>
      </c>
      <c r="CF1" s="80"/>
      <c r="CG1" s="80"/>
      <c r="CH1" s="174"/>
      <c r="CI1" s="175"/>
      <c r="CJ1" s="173"/>
      <c r="CK1" s="82"/>
      <c r="CL1" s="82"/>
      <c r="CM1" s="82"/>
      <c r="CN1" s="175"/>
      <c r="CO1" s="175"/>
      <c r="CP1" s="173"/>
      <c r="CQ1" s="82"/>
      <c r="CR1" s="82"/>
      <c r="CS1" s="82"/>
      <c r="CT1" s="82"/>
      <c r="CU1" s="175"/>
      <c r="CV1" s="175"/>
      <c r="CW1" s="175"/>
      <c r="CX1" s="196"/>
      <c r="CY1" s="213">
        <f>CE1+1</f>
        <v>9</v>
      </c>
      <c r="CZ1" s="80"/>
      <c r="DA1" s="80"/>
      <c r="DB1" s="174"/>
      <c r="DC1" s="175"/>
      <c r="DD1" s="173"/>
      <c r="DE1" s="82"/>
      <c r="DF1" s="82"/>
      <c r="DG1" s="82"/>
      <c r="DH1" s="175"/>
      <c r="DI1" s="175"/>
      <c r="DJ1" s="173"/>
      <c r="DK1" s="82"/>
      <c r="DL1" s="82"/>
      <c r="DM1" s="82"/>
      <c r="DN1" s="82"/>
      <c r="DO1" s="175"/>
      <c r="DP1" s="175"/>
      <c r="DQ1" s="175"/>
      <c r="DR1" s="196"/>
      <c r="DS1" s="213">
        <f>CY1+1</f>
        <v>10</v>
      </c>
      <c r="DT1" s="80"/>
      <c r="DU1" s="80"/>
      <c r="DV1" s="174"/>
      <c r="DW1" s="175"/>
      <c r="DX1" s="173"/>
      <c r="DY1" s="82"/>
      <c r="DZ1" s="82"/>
      <c r="EA1" s="82"/>
      <c r="EB1" s="175"/>
      <c r="EC1" s="175"/>
      <c r="ED1" s="173"/>
      <c r="EE1" s="82"/>
      <c r="EF1" s="82"/>
      <c r="EG1" s="82"/>
      <c r="EH1" s="82"/>
      <c r="EI1" s="175"/>
      <c r="EJ1" s="175"/>
      <c r="EK1" s="175"/>
      <c r="EL1" s="196"/>
      <c r="EM1" s="213">
        <f>DS1+1</f>
        <v>11</v>
      </c>
      <c r="EN1" s="80"/>
      <c r="EO1" s="80"/>
      <c r="EP1" s="174"/>
      <c r="EQ1" s="175"/>
      <c r="ER1" s="173"/>
      <c r="ES1" s="82"/>
      <c r="ET1" s="82"/>
      <c r="EU1" s="82"/>
      <c r="EV1" s="175"/>
      <c r="EW1" s="175"/>
      <c r="EX1" s="173"/>
      <c r="EY1" s="82"/>
      <c r="EZ1" s="82"/>
      <c r="FA1" s="82"/>
      <c r="FB1" s="82"/>
      <c r="FC1" s="175"/>
      <c r="FD1" s="175"/>
      <c r="FE1" s="175"/>
      <c r="FF1" s="196"/>
      <c r="FG1" s="213">
        <f>EM1+1</f>
        <v>12</v>
      </c>
      <c r="FH1" s="80"/>
      <c r="FI1" s="80"/>
      <c r="FJ1" s="174"/>
      <c r="FK1" s="175"/>
      <c r="FL1" s="173"/>
      <c r="FM1" s="82"/>
      <c r="FN1" s="82"/>
      <c r="FO1" s="82"/>
      <c r="FP1" s="175"/>
      <c r="FQ1" s="175"/>
      <c r="FR1" s="173"/>
      <c r="FS1" s="82"/>
      <c r="FT1" s="82"/>
      <c r="FU1" s="82"/>
      <c r="FV1" s="82"/>
      <c r="FW1" s="175"/>
      <c r="FX1" s="175"/>
      <c r="FY1" s="175"/>
      <c r="FZ1" s="196"/>
      <c r="GA1" s="213">
        <f>FG1+1</f>
        <v>13</v>
      </c>
      <c r="GB1" s="80"/>
      <c r="GC1" s="80"/>
      <c r="GD1" s="174"/>
      <c r="GE1" s="175"/>
      <c r="GF1" s="173"/>
      <c r="GG1" s="82"/>
      <c r="GH1" s="82"/>
      <c r="GI1" s="82"/>
      <c r="GJ1" s="175"/>
      <c r="GK1" s="175"/>
      <c r="GL1" s="173"/>
      <c r="GM1" s="82"/>
      <c r="GN1" s="82"/>
      <c r="GO1" s="82"/>
      <c r="GP1" s="82"/>
      <c r="GQ1" s="175"/>
      <c r="GR1" s="175"/>
      <c r="GS1" s="175"/>
      <c r="GT1" s="196"/>
      <c r="GU1" s="213">
        <f>GA1+1</f>
        <v>14</v>
      </c>
      <c r="GV1" s="80"/>
      <c r="GW1" s="80"/>
      <c r="GX1" s="174"/>
      <c r="GY1" s="175"/>
      <c r="GZ1" s="173"/>
      <c r="HA1" s="82"/>
      <c r="HB1" s="82"/>
      <c r="HC1" s="82"/>
      <c r="HD1" s="175"/>
      <c r="HE1" s="175"/>
      <c r="HF1" s="173"/>
      <c r="HG1" s="82"/>
      <c r="HH1" s="82"/>
      <c r="HI1" s="82"/>
      <c r="HJ1" s="82"/>
      <c r="HK1" s="175"/>
      <c r="HL1" s="175"/>
      <c r="HM1" s="175"/>
      <c r="HN1" s="196"/>
      <c r="HO1" s="213">
        <f>GU1+1</f>
        <v>15</v>
      </c>
      <c r="HP1" s="80"/>
      <c r="HQ1" s="80"/>
      <c r="HR1" s="174"/>
      <c r="HS1" s="175"/>
      <c r="HT1" s="173"/>
      <c r="HU1" s="82"/>
      <c r="HV1" s="82"/>
      <c r="HW1" s="82"/>
      <c r="HX1" s="175"/>
      <c r="HY1" s="175"/>
      <c r="HZ1" s="173"/>
      <c r="IA1" s="82"/>
      <c r="IB1" s="82"/>
      <c r="IC1" s="82"/>
      <c r="ID1" s="82"/>
      <c r="IE1" s="175"/>
      <c r="IF1" s="175"/>
      <c r="IG1" s="175"/>
      <c r="IH1" s="196"/>
      <c r="II1" s="213">
        <f>HO1+1</f>
        <v>16</v>
      </c>
      <c r="IJ1" s="80"/>
      <c r="IK1" s="80"/>
      <c r="IL1" s="174"/>
      <c r="IM1" s="175"/>
      <c r="IN1" s="173"/>
      <c r="IO1" s="82"/>
      <c r="IP1" s="82"/>
      <c r="IQ1" s="82"/>
      <c r="IR1" s="175"/>
      <c r="IS1" s="175"/>
      <c r="IT1" s="173"/>
      <c r="IU1" s="82"/>
      <c r="IV1" s="82"/>
      <c r="IW1" s="82"/>
      <c r="IX1" s="82"/>
      <c r="IY1" s="175"/>
      <c r="IZ1" s="175"/>
      <c r="JA1" s="175"/>
      <c r="JB1" s="196"/>
      <c r="JC1" s="213">
        <f>II1+1</f>
        <v>17</v>
      </c>
      <c r="JD1" s="80"/>
      <c r="JE1" s="80"/>
      <c r="JF1" s="174"/>
      <c r="JG1" s="175"/>
      <c r="JH1" s="173"/>
      <c r="JI1" s="82"/>
      <c r="JJ1" s="82"/>
      <c r="JK1" s="82"/>
      <c r="JL1" s="175"/>
      <c r="JM1" s="175"/>
      <c r="JN1" s="173"/>
      <c r="JO1" s="82"/>
      <c r="JP1" s="82"/>
      <c r="JQ1" s="82"/>
      <c r="JR1" s="82"/>
      <c r="JS1" s="175"/>
      <c r="JT1" s="175"/>
      <c r="JU1" s="175"/>
      <c r="JV1" s="196"/>
      <c r="JW1" s="213">
        <f>JC1+1</f>
        <v>18</v>
      </c>
      <c r="JX1" s="80"/>
      <c r="JY1" s="80"/>
      <c r="JZ1" s="174"/>
      <c r="KA1" s="175"/>
      <c r="KB1" s="173"/>
      <c r="KC1" s="82"/>
      <c r="KD1" s="82"/>
      <c r="KE1" s="82"/>
      <c r="KF1" s="175"/>
      <c r="KG1" s="175"/>
      <c r="KH1" s="173"/>
      <c r="KI1" s="82"/>
      <c r="KJ1" s="82"/>
      <c r="KK1" s="82"/>
      <c r="KL1" s="82"/>
      <c r="KM1" s="175"/>
      <c r="KN1" s="175"/>
      <c r="KO1" s="175"/>
      <c r="KP1" s="196"/>
      <c r="KQ1" s="213">
        <f>JW1+1</f>
        <v>19</v>
      </c>
      <c r="KR1" s="80"/>
      <c r="KS1" s="80"/>
      <c r="KT1" s="174"/>
      <c r="KU1" s="175"/>
      <c r="KV1" s="173"/>
      <c r="KW1" s="82"/>
      <c r="KX1" s="82"/>
      <c r="KY1" s="82"/>
      <c r="KZ1" s="175"/>
      <c r="LA1" s="175"/>
      <c r="LB1" s="173"/>
      <c r="LC1" s="82"/>
      <c r="LD1" s="82"/>
      <c r="LE1" s="82"/>
      <c r="LF1" s="82"/>
      <c r="LG1" s="175"/>
      <c r="LH1" s="175"/>
      <c r="LI1" s="175"/>
      <c r="LJ1" s="196"/>
      <c r="LK1" s="213">
        <f>KQ1+1</f>
        <v>20</v>
      </c>
      <c r="LL1" s="80"/>
      <c r="LM1" s="80"/>
      <c r="LN1" s="174"/>
      <c r="LO1" s="175"/>
      <c r="LP1" s="173"/>
      <c r="LQ1" s="82"/>
      <c r="LR1" s="82"/>
      <c r="LS1" s="82"/>
      <c r="LT1" s="175"/>
      <c r="LU1" s="175"/>
      <c r="LV1" s="173"/>
      <c r="LW1" s="82"/>
      <c r="LX1" s="82"/>
      <c r="LY1" s="82"/>
      <c r="LZ1" s="82"/>
      <c r="MA1" s="175"/>
      <c r="MB1" s="175"/>
      <c r="MC1" s="175"/>
      <c r="MD1" s="196"/>
      <c r="ME1" s="213">
        <f>LK1+1</f>
        <v>21</v>
      </c>
      <c r="MF1" s="80"/>
      <c r="MG1" s="80"/>
      <c r="MH1" s="174"/>
      <c r="MI1" s="175"/>
      <c r="MJ1" s="173"/>
      <c r="MK1" s="82"/>
      <c r="ML1" s="82"/>
      <c r="MM1" s="82"/>
      <c r="MN1" s="175"/>
      <c r="MO1" s="175"/>
      <c r="MP1" s="173"/>
      <c r="MQ1" s="82"/>
      <c r="MR1" s="82"/>
      <c r="MS1" s="82"/>
      <c r="MT1" s="82"/>
      <c r="MU1" s="175"/>
      <c r="MV1" s="175"/>
      <c r="MW1" s="175"/>
      <c r="MX1" s="196"/>
      <c r="MY1" s="213">
        <f>ME1+1</f>
        <v>22</v>
      </c>
      <c r="MZ1" s="80"/>
      <c r="NA1" s="80"/>
      <c r="NB1" s="174"/>
      <c r="NC1" s="175"/>
      <c r="ND1" s="173"/>
      <c r="NE1" s="82"/>
      <c r="NF1" s="82"/>
      <c r="NG1" s="82"/>
      <c r="NH1" s="175"/>
      <c r="NI1" s="175"/>
      <c r="NJ1" s="173"/>
      <c r="NK1" s="82"/>
      <c r="NL1" s="82"/>
      <c r="NM1" s="82"/>
      <c r="NN1" s="82"/>
      <c r="NO1" s="175"/>
      <c r="NP1" s="175"/>
      <c r="NQ1" s="175"/>
      <c r="NR1" s="196"/>
      <c r="NS1" s="213">
        <f>MY1+1</f>
        <v>23</v>
      </c>
      <c r="NT1" s="80"/>
      <c r="NU1" s="80"/>
      <c r="NV1" s="174"/>
      <c r="NW1" s="175"/>
      <c r="NX1" s="173"/>
      <c r="NY1" s="82"/>
      <c r="NZ1" s="82"/>
      <c r="OA1" s="82"/>
      <c r="OB1" s="175"/>
      <c r="OC1" s="175"/>
      <c r="OD1" s="173"/>
      <c r="OE1" s="82"/>
      <c r="OF1" s="82"/>
      <c r="OG1" s="82"/>
      <c r="OH1" s="82"/>
      <c r="OI1" s="175"/>
      <c r="OJ1" s="175"/>
      <c r="OK1" s="175"/>
      <c r="OL1" s="196"/>
      <c r="OM1" s="213">
        <f>NS1+1</f>
        <v>24</v>
      </c>
      <c r="ON1" s="80"/>
      <c r="OO1" s="80"/>
      <c r="OP1" s="174"/>
      <c r="OQ1" s="175"/>
      <c r="OR1" s="173"/>
      <c r="OS1" s="82"/>
      <c r="OT1" s="82"/>
      <c r="OU1" s="82"/>
      <c r="OV1" s="175"/>
      <c r="OW1" s="175"/>
      <c r="OX1" s="173"/>
      <c r="OY1" s="82"/>
      <c r="OZ1" s="82"/>
      <c r="PA1" s="82"/>
      <c r="PB1" s="82"/>
      <c r="PC1" s="175"/>
      <c r="PD1" s="175"/>
      <c r="PE1" s="175"/>
      <c r="PF1" s="196"/>
      <c r="PG1" s="213">
        <f>OM1+1</f>
        <v>25</v>
      </c>
      <c r="PH1" s="80"/>
      <c r="PI1" s="80"/>
      <c r="PJ1" s="174"/>
      <c r="PK1" s="175"/>
      <c r="PL1" s="173"/>
      <c r="PM1" s="82"/>
      <c r="PN1" s="82"/>
      <c r="PO1" s="82"/>
      <c r="PP1" s="175"/>
      <c r="PQ1" s="175"/>
      <c r="PR1" s="173"/>
      <c r="PS1" s="82"/>
      <c r="PT1" s="82"/>
      <c r="PU1" s="82"/>
      <c r="PV1" s="82"/>
      <c r="PW1" s="175"/>
      <c r="PX1" s="175"/>
      <c r="PY1" s="175"/>
      <c r="PZ1" s="196"/>
      <c r="QA1" s="213">
        <f>PG1+1</f>
        <v>26</v>
      </c>
      <c r="QB1" s="80"/>
      <c r="QC1" s="80"/>
      <c r="QD1" s="174"/>
      <c r="QE1" s="175"/>
      <c r="QF1" s="173"/>
      <c r="QG1" s="82"/>
      <c r="QH1" s="82"/>
      <c r="QI1" s="82"/>
      <c r="QJ1" s="175"/>
      <c r="QK1" s="175"/>
      <c r="QL1" s="173"/>
      <c r="QM1" s="82"/>
      <c r="QN1" s="82"/>
      <c r="QO1" s="82"/>
      <c r="QP1" s="82"/>
      <c r="QQ1" s="175"/>
      <c r="QR1" s="175"/>
      <c r="QS1" s="175"/>
      <c r="QT1" s="196"/>
      <c r="QU1" s="213">
        <f>QA1+1</f>
        <v>27</v>
      </c>
      <c r="QV1" s="80"/>
      <c r="QW1" s="80"/>
      <c r="QX1" s="174"/>
      <c r="QY1" s="175"/>
      <c r="QZ1" s="173"/>
      <c r="RA1" s="82"/>
      <c r="RB1" s="82"/>
      <c r="RC1" s="82"/>
      <c r="RD1" s="175"/>
      <c r="RE1" s="175"/>
      <c r="RF1" s="173"/>
      <c r="RG1" s="82"/>
      <c r="RH1" s="82"/>
      <c r="RI1" s="82"/>
      <c r="RJ1" s="82"/>
      <c r="RK1" s="175"/>
      <c r="RL1" s="175"/>
      <c r="RM1" s="175"/>
      <c r="RN1" s="196"/>
      <c r="RO1" s="213">
        <f>QU1+1</f>
        <v>28</v>
      </c>
      <c r="RP1" s="80"/>
      <c r="RQ1" s="80"/>
      <c r="RR1" s="174"/>
      <c r="RS1" s="175"/>
      <c r="RT1" s="173"/>
      <c r="RU1" s="82"/>
      <c r="RV1" s="82"/>
      <c r="RW1" s="82"/>
      <c r="RX1" s="175"/>
      <c r="RY1" s="175"/>
      <c r="RZ1" s="173"/>
      <c r="SA1" s="82"/>
      <c r="SB1" s="82"/>
      <c r="SC1" s="82"/>
      <c r="SD1" s="82"/>
      <c r="SE1" s="175"/>
      <c r="SF1" s="175"/>
      <c r="SG1" s="175"/>
      <c r="SH1" s="196"/>
      <c r="SI1" s="213">
        <f>RO1+1</f>
        <v>29</v>
      </c>
      <c r="SJ1" s="80"/>
      <c r="SK1" s="80"/>
      <c r="SL1" s="174"/>
      <c r="SM1" s="175"/>
      <c r="SN1" s="173"/>
      <c r="SO1" s="82"/>
      <c r="SP1" s="82"/>
      <c r="SQ1" s="82"/>
      <c r="SR1" s="175"/>
      <c r="SS1" s="175"/>
      <c r="ST1" s="173"/>
      <c r="SU1" s="82"/>
      <c r="SV1" s="82"/>
      <c r="SW1" s="82"/>
      <c r="SX1" s="82"/>
      <c r="SY1" s="175"/>
      <c r="SZ1" s="175"/>
      <c r="TA1" s="175"/>
      <c r="TB1" s="196"/>
      <c r="TC1" s="213">
        <f>SI1+1</f>
        <v>30</v>
      </c>
      <c r="TD1" s="80"/>
      <c r="TE1" s="80"/>
      <c r="TF1" s="174"/>
      <c r="TG1" s="175"/>
      <c r="TH1" s="173"/>
      <c r="TI1" s="82"/>
      <c r="TJ1" s="82"/>
      <c r="TK1" s="82"/>
      <c r="TL1" s="175"/>
      <c r="TM1" s="175"/>
      <c r="TN1" s="173"/>
      <c r="TO1" s="82"/>
      <c r="TP1" s="82"/>
      <c r="TQ1" s="82"/>
      <c r="TR1" s="82"/>
      <c r="TS1" s="175"/>
      <c r="TT1" s="175"/>
      <c r="TU1" s="175"/>
      <c r="TV1" s="196"/>
      <c r="TW1" s="83">
        <f>TC1+1</f>
        <v>31</v>
      </c>
      <c r="TX1" s="80"/>
      <c r="TY1" s="80"/>
      <c r="TZ1" s="80"/>
      <c r="UA1" s="81"/>
      <c r="UB1" s="82"/>
      <c r="UC1" s="82"/>
      <c r="UD1" s="82"/>
      <c r="UE1" s="81"/>
      <c r="UF1" s="81"/>
      <c r="UG1" s="82"/>
      <c r="UH1" s="82"/>
      <c r="UI1" s="82"/>
      <c r="UJ1" s="81"/>
      <c r="UK1" s="81"/>
      <c r="UL1" s="81"/>
      <c r="UM1" s="81"/>
      <c r="UN1" s="83">
        <f>TW1+1</f>
        <v>32</v>
      </c>
      <c r="UO1" s="80"/>
      <c r="UP1" s="80"/>
      <c r="UQ1" s="80"/>
      <c r="UR1" s="81"/>
      <c r="US1" s="82"/>
      <c r="UT1" s="82"/>
      <c r="UU1" s="82"/>
      <c r="UV1" s="81"/>
      <c r="UW1" s="81"/>
      <c r="UX1" s="82"/>
      <c r="UY1" s="82"/>
      <c r="UZ1" s="82"/>
      <c r="VA1" s="81"/>
      <c r="VB1" s="81"/>
      <c r="VC1" s="81"/>
      <c r="VD1" s="81"/>
      <c r="VE1" s="83">
        <f>UN1+1</f>
        <v>33</v>
      </c>
      <c r="VF1" s="80"/>
      <c r="VG1" s="80"/>
      <c r="VH1" s="80"/>
      <c r="VI1" s="81"/>
      <c r="VJ1" s="82"/>
      <c r="VK1" s="82"/>
      <c r="VL1" s="82"/>
      <c r="VM1" s="81"/>
      <c r="VN1" s="81"/>
      <c r="VO1" s="82"/>
      <c r="VP1" s="82"/>
      <c r="VQ1" s="82"/>
      <c r="VR1" s="81"/>
      <c r="VS1" s="81"/>
      <c r="VT1" s="81"/>
      <c r="VU1" s="81"/>
    </row>
    <row r="2" spans="1:593" ht="60" customHeight="1" thickBot="1" x14ac:dyDescent="0.6">
      <c r="A2" s="160" t="s">
        <v>43</v>
      </c>
      <c r="B2" s="161" t="s">
        <v>195</v>
      </c>
      <c r="C2" s="171" t="str">
        <f ca="1">IF(CELL("contenu",INDIRECT(ADDRESS(C1,1,1,1,CELL("contenu",$B$2))))="","----",CELL("contenu",INDIRECT(ADDRESS(C1,1,1,1,CELL("contenu",$B$2)))))</f>
        <v>ANDRE Lucas</v>
      </c>
      <c r="D2" s="169"/>
      <c r="E2" s="169"/>
      <c r="F2" s="171"/>
      <c r="G2" s="171"/>
      <c r="H2" s="171"/>
      <c r="I2" s="169"/>
      <c r="J2" s="169"/>
      <c r="K2" s="169"/>
      <c r="L2" s="171"/>
      <c r="M2" s="171"/>
      <c r="N2" s="171"/>
      <c r="O2" s="169"/>
      <c r="P2" s="169"/>
      <c r="Q2" s="169"/>
      <c r="R2" s="169"/>
      <c r="S2" s="171"/>
      <c r="T2" s="171"/>
      <c r="U2" s="171"/>
      <c r="V2" s="197"/>
      <c r="W2" s="171" t="str">
        <f ca="1">IF(CELL("contenu",INDIRECT(ADDRESS(W1,1,1,1,CELL("contenu",$B$2))))="","----",CELL("contenu",INDIRECT(ADDRESS(W1,1,1,1,CELL("contenu",$B$2)))))</f>
        <v>ARBIB Nolan</v>
      </c>
      <c r="X2" s="169"/>
      <c r="Y2" s="169"/>
      <c r="Z2" s="171"/>
      <c r="AA2" s="171"/>
      <c r="AB2" s="171"/>
      <c r="AC2" s="169"/>
      <c r="AD2" s="169"/>
      <c r="AE2" s="169"/>
      <c r="AF2" s="171"/>
      <c r="AG2" s="171"/>
      <c r="AH2" s="171"/>
      <c r="AI2" s="169"/>
      <c r="AJ2" s="169"/>
      <c r="AK2" s="169"/>
      <c r="AL2" s="169"/>
      <c r="AM2" s="171"/>
      <c r="AN2" s="171"/>
      <c r="AO2" s="171"/>
      <c r="AP2" s="197"/>
      <c r="AQ2" s="171" t="str">
        <f ca="1">IF(CELL("contenu",INDIRECT(ADDRESS(AQ1,1,1,1,CELL("contenu",$B$2))))="","----",CELL("contenu",INDIRECT(ADDRESS(AQ1,1,1,1,CELL("contenu",$B$2)))))</f>
        <v>BARRIETIS Jael</v>
      </c>
      <c r="AR2" s="169"/>
      <c r="AS2" s="169"/>
      <c r="AT2" s="171"/>
      <c r="AU2" s="171"/>
      <c r="AV2" s="171"/>
      <c r="AW2" s="169"/>
      <c r="AX2" s="169"/>
      <c r="AY2" s="169"/>
      <c r="AZ2" s="171"/>
      <c r="BA2" s="171"/>
      <c r="BB2" s="171"/>
      <c r="BC2" s="169"/>
      <c r="BD2" s="169"/>
      <c r="BE2" s="169"/>
      <c r="BF2" s="169"/>
      <c r="BG2" s="171"/>
      <c r="BH2" s="171"/>
      <c r="BI2" s="171"/>
      <c r="BJ2" s="197"/>
      <c r="BK2" s="171" t="str">
        <f ca="1">IF(CELL("contenu",INDIRECT(ADDRESS(BK1,1,1,1,CELL("contenu",$B$2))))="","----",CELL("contenu",INDIRECT(ADDRESS(BK1,1,1,1,CELL("contenu",$B$2)))))</f>
        <v>BONNEAU Victor</v>
      </c>
      <c r="BL2" s="169"/>
      <c r="BM2" s="169"/>
      <c r="BN2" s="171"/>
      <c r="BO2" s="171"/>
      <c r="BP2" s="171"/>
      <c r="BQ2" s="169"/>
      <c r="BR2" s="169"/>
      <c r="BS2" s="169"/>
      <c r="BT2" s="171"/>
      <c r="BU2" s="171"/>
      <c r="BV2" s="171"/>
      <c r="BW2" s="169"/>
      <c r="BX2" s="169"/>
      <c r="BY2" s="169"/>
      <c r="BZ2" s="169"/>
      <c r="CA2" s="171"/>
      <c r="CB2" s="171"/>
      <c r="CC2" s="171"/>
      <c r="CD2" s="197"/>
      <c r="CE2" s="171" t="str">
        <f ca="1">IF(CELL("contenu",INDIRECT(ADDRESS(CE1,1,1,1,CELL("contenu",$B$2))))="","----",CELL("contenu",INDIRECT(ADDRESS(CE1,1,1,1,CELL("contenu",$B$2)))))</f>
        <v>BRARD Prune</v>
      </c>
      <c r="CF2" s="169"/>
      <c r="CG2" s="169"/>
      <c r="CH2" s="171"/>
      <c r="CI2" s="171"/>
      <c r="CJ2" s="171"/>
      <c r="CK2" s="169"/>
      <c r="CL2" s="169"/>
      <c r="CM2" s="169"/>
      <c r="CN2" s="171"/>
      <c r="CO2" s="171"/>
      <c r="CP2" s="171"/>
      <c r="CQ2" s="169"/>
      <c r="CR2" s="169"/>
      <c r="CS2" s="169"/>
      <c r="CT2" s="169"/>
      <c r="CU2" s="171"/>
      <c r="CV2" s="171"/>
      <c r="CW2" s="171"/>
      <c r="CX2" s="197"/>
      <c r="CY2" s="171" t="str">
        <f ca="1">IF(CELL("contenu",INDIRECT(ADDRESS(CY1,1,1,1,CELL("contenu",$B$2))))="","----",CELL("contenu",INDIRECT(ADDRESS(CY1,1,1,1,CELL("contenu",$B$2)))))</f>
        <v>COELHO Bergeline</v>
      </c>
      <c r="CZ2" s="169"/>
      <c r="DA2" s="169"/>
      <c r="DB2" s="171"/>
      <c r="DC2" s="171"/>
      <c r="DD2" s="171"/>
      <c r="DE2" s="169"/>
      <c r="DF2" s="169"/>
      <c r="DG2" s="169"/>
      <c r="DH2" s="171"/>
      <c r="DI2" s="171"/>
      <c r="DJ2" s="171"/>
      <c r="DK2" s="169"/>
      <c r="DL2" s="169"/>
      <c r="DM2" s="169"/>
      <c r="DN2" s="169"/>
      <c r="DO2" s="171"/>
      <c r="DP2" s="171"/>
      <c r="DQ2" s="171"/>
      <c r="DR2" s="197"/>
      <c r="DS2" s="171" t="str">
        <f ca="1">IF(CELL("contenu",INDIRECT(ADDRESS(DS1,1,1,1,CELL("contenu",$B$2))))="","----",CELL("contenu",INDIRECT(ADDRESS(DS1,1,1,1,CELL("contenu",$B$2)))))</f>
        <v>DELBOUSCAS Margaux</v>
      </c>
      <c r="DT2" s="169"/>
      <c r="DU2" s="169"/>
      <c r="DV2" s="171"/>
      <c r="DW2" s="171"/>
      <c r="DX2" s="171"/>
      <c r="DY2" s="169"/>
      <c r="DZ2" s="169"/>
      <c r="EA2" s="169"/>
      <c r="EB2" s="171"/>
      <c r="EC2" s="171"/>
      <c r="ED2" s="171"/>
      <c r="EE2" s="169"/>
      <c r="EF2" s="169"/>
      <c r="EG2" s="169"/>
      <c r="EH2" s="169"/>
      <c r="EI2" s="171"/>
      <c r="EJ2" s="171"/>
      <c r="EK2" s="171"/>
      <c r="EL2" s="197"/>
      <c r="EM2" s="171" t="str">
        <f ca="1">IF(CELL("contenu",INDIRECT(ADDRESS(EM1,1,1,1,CELL("contenu",$B$2))))="","----",CELL("contenu",INDIRECT(ADDRESS(EM1,1,1,1,CELL("contenu",$B$2)))))</f>
        <v>DELPLACE Gregoire</v>
      </c>
      <c r="EN2" s="169"/>
      <c r="EO2" s="169"/>
      <c r="EP2" s="171"/>
      <c r="EQ2" s="171"/>
      <c r="ER2" s="171"/>
      <c r="ES2" s="169"/>
      <c r="ET2" s="169"/>
      <c r="EU2" s="169"/>
      <c r="EV2" s="171"/>
      <c r="EW2" s="171"/>
      <c r="EX2" s="171"/>
      <c r="EY2" s="169"/>
      <c r="EZ2" s="169"/>
      <c r="FA2" s="169"/>
      <c r="FB2" s="169"/>
      <c r="FC2" s="171"/>
      <c r="FD2" s="171"/>
      <c r="FE2" s="171"/>
      <c r="FF2" s="197"/>
      <c r="FG2" s="171" t="str">
        <f ca="1">IF(CELL("contenu",INDIRECT(ADDRESS(FG1,1,1,1,CELL("contenu",$B$2))))="","----",CELL("contenu",INDIRECT(ADDRESS(FG1,1,1,1,CELL("contenu",$B$2)))))</f>
        <v>DU FRESNE DE VIREL Constance</v>
      </c>
      <c r="FH2" s="169"/>
      <c r="FI2" s="169"/>
      <c r="FJ2" s="171"/>
      <c r="FK2" s="171"/>
      <c r="FL2" s="171"/>
      <c r="FM2" s="169"/>
      <c r="FN2" s="169"/>
      <c r="FO2" s="169"/>
      <c r="FP2" s="171"/>
      <c r="FQ2" s="171"/>
      <c r="FR2" s="171"/>
      <c r="FS2" s="169"/>
      <c r="FT2" s="169"/>
      <c r="FU2" s="169"/>
      <c r="FV2" s="169"/>
      <c r="FW2" s="171"/>
      <c r="FX2" s="171"/>
      <c r="FY2" s="171"/>
      <c r="FZ2" s="197"/>
      <c r="GA2" s="171" t="str">
        <f ca="1">IF(CELL("contenu",INDIRECT(ADDRESS(GA1,1,1,1,CELL("contenu",$B$2))))="","----",CELL("contenu",INDIRECT(ADDRESS(GA1,1,1,1,CELL("contenu",$B$2)))))</f>
        <v>FARMAN Edgar</v>
      </c>
      <c r="GB2" s="169"/>
      <c r="GC2" s="169"/>
      <c r="GD2" s="171"/>
      <c r="GE2" s="171"/>
      <c r="GF2" s="171"/>
      <c r="GG2" s="169"/>
      <c r="GH2" s="169"/>
      <c r="GI2" s="169"/>
      <c r="GJ2" s="171"/>
      <c r="GK2" s="171"/>
      <c r="GL2" s="171"/>
      <c r="GM2" s="169"/>
      <c r="GN2" s="169"/>
      <c r="GO2" s="169"/>
      <c r="GP2" s="169"/>
      <c r="GQ2" s="171"/>
      <c r="GR2" s="171"/>
      <c r="GS2" s="171"/>
      <c r="GT2" s="197"/>
      <c r="GU2" s="171" t="str">
        <f ca="1">IF(CELL("contenu",INDIRECT(ADDRESS(GU1,1,1,1,CELL("contenu",$B$2))))="","----",CELL("contenu",INDIRECT(ADDRESS(GU1,1,1,1,CELL("contenu",$B$2)))))</f>
        <v>FRANCOIS Jules</v>
      </c>
      <c r="GV2" s="169"/>
      <c r="GW2" s="169"/>
      <c r="GX2" s="171"/>
      <c r="GY2" s="171"/>
      <c r="GZ2" s="171"/>
      <c r="HA2" s="169"/>
      <c r="HB2" s="169"/>
      <c r="HC2" s="169"/>
      <c r="HD2" s="171"/>
      <c r="HE2" s="171"/>
      <c r="HF2" s="171"/>
      <c r="HG2" s="169"/>
      <c r="HH2" s="169"/>
      <c r="HI2" s="169"/>
      <c r="HJ2" s="169"/>
      <c r="HK2" s="171"/>
      <c r="HL2" s="171"/>
      <c r="HM2" s="171"/>
      <c r="HN2" s="197"/>
      <c r="HO2" s="171" t="str">
        <f ca="1">IF(CELL("contenu",INDIRECT(ADDRESS(HO1,1,1,1,CELL("contenu",$B$2))))="","----",CELL("contenu",INDIRECT(ADDRESS(HO1,1,1,1,CELL("contenu",$B$2)))))</f>
        <v>GAUCHER Chaya</v>
      </c>
      <c r="HP2" s="169"/>
      <c r="HQ2" s="169"/>
      <c r="HR2" s="171"/>
      <c r="HS2" s="171"/>
      <c r="HT2" s="171"/>
      <c r="HU2" s="169"/>
      <c r="HV2" s="169"/>
      <c r="HW2" s="169"/>
      <c r="HX2" s="171"/>
      <c r="HY2" s="171"/>
      <c r="HZ2" s="171"/>
      <c r="IA2" s="169"/>
      <c r="IB2" s="169"/>
      <c r="IC2" s="169"/>
      <c r="ID2" s="169"/>
      <c r="IE2" s="171"/>
      <c r="IF2" s="171"/>
      <c r="IG2" s="171"/>
      <c r="IH2" s="197"/>
      <c r="II2" s="171" t="str">
        <f ca="1">IF(CELL("contenu",INDIRECT(ADDRESS(II1,1,1,1,CELL("contenu",$B$2))))="","----",CELL("contenu",INDIRECT(ADDRESS(II1,1,1,1,CELL("contenu",$B$2)))))</f>
        <v>GEAY Baptiste</v>
      </c>
      <c r="IJ2" s="169"/>
      <c r="IK2" s="169"/>
      <c r="IL2" s="171"/>
      <c r="IM2" s="171"/>
      <c r="IN2" s="171"/>
      <c r="IO2" s="169"/>
      <c r="IP2" s="169"/>
      <c r="IQ2" s="169"/>
      <c r="IR2" s="171"/>
      <c r="IS2" s="171"/>
      <c r="IT2" s="171"/>
      <c r="IU2" s="169"/>
      <c r="IV2" s="169"/>
      <c r="IW2" s="169"/>
      <c r="IX2" s="169"/>
      <c r="IY2" s="171"/>
      <c r="IZ2" s="171"/>
      <c r="JA2" s="171"/>
      <c r="JB2" s="197"/>
      <c r="JC2" s="171" t="str">
        <f ca="1">IF(CELL("contenu",INDIRECT(ADDRESS(JC1,1,1,1,CELL("contenu",$B$2))))="","----",CELL("contenu",INDIRECT(ADDRESS(JC1,1,1,1,CELL("contenu",$B$2)))))</f>
        <v>GIRARD--RAZEL Merlin</v>
      </c>
      <c r="JD2" s="169"/>
      <c r="JE2" s="169"/>
      <c r="JF2" s="171"/>
      <c r="JG2" s="171"/>
      <c r="JH2" s="171"/>
      <c r="JI2" s="169"/>
      <c r="JJ2" s="169"/>
      <c r="JK2" s="169"/>
      <c r="JL2" s="171"/>
      <c r="JM2" s="171"/>
      <c r="JN2" s="171"/>
      <c r="JO2" s="169"/>
      <c r="JP2" s="169"/>
      <c r="JQ2" s="169"/>
      <c r="JR2" s="169"/>
      <c r="JS2" s="171"/>
      <c r="JT2" s="171"/>
      <c r="JU2" s="171"/>
      <c r="JV2" s="197"/>
      <c r="JW2" s="171" t="str">
        <f ca="1">IF(CELL("contenu",INDIRECT(ADDRESS(JW1,1,1,1,CELL("contenu",$B$2))))="","----",CELL("contenu",INDIRECT(ADDRESS(JW1,1,1,1,CELL("contenu",$B$2)))))</f>
        <v>LECCIA Clotilde</v>
      </c>
      <c r="JX2" s="169"/>
      <c r="JY2" s="169"/>
      <c r="JZ2" s="171"/>
      <c r="KA2" s="171"/>
      <c r="KB2" s="171"/>
      <c r="KC2" s="169"/>
      <c r="KD2" s="169"/>
      <c r="KE2" s="169"/>
      <c r="KF2" s="171"/>
      <c r="KG2" s="171"/>
      <c r="KH2" s="171"/>
      <c r="KI2" s="169"/>
      <c r="KJ2" s="169"/>
      <c r="KK2" s="169"/>
      <c r="KL2" s="169"/>
      <c r="KM2" s="171"/>
      <c r="KN2" s="171"/>
      <c r="KO2" s="171"/>
      <c r="KP2" s="197"/>
      <c r="KQ2" s="171" t="str">
        <f ca="1">IF(CELL("contenu",INDIRECT(ADDRESS(KQ1,1,1,1,CELL("contenu",$B$2))))="","----",CELL("contenu",INDIRECT(ADDRESS(KQ1,1,1,1,CELL("contenu",$B$2)))))</f>
        <v>LECOMTE Emilien</v>
      </c>
      <c r="KR2" s="169"/>
      <c r="KS2" s="169"/>
      <c r="KT2" s="171"/>
      <c r="KU2" s="171"/>
      <c r="KV2" s="171"/>
      <c r="KW2" s="169"/>
      <c r="KX2" s="169"/>
      <c r="KY2" s="169"/>
      <c r="KZ2" s="171"/>
      <c r="LA2" s="171"/>
      <c r="LB2" s="171"/>
      <c r="LC2" s="169"/>
      <c r="LD2" s="169"/>
      <c r="LE2" s="169"/>
      <c r="LF2" s="169"/>
      <c r="LG2" s="171"/>
      <c r="LH2" s="171"/>
      <c r="LI2" s="171"/>
      <c r="LJ2" s="197"/>
      <c r="LK2" s="171" t="str">
        <f ca="1">IF(CELL("contenu",INDIRECT(ADDRESS(LK1,1,1,1,CELL("contenu",$B$2))))="","----",CELL("contenu",INDIRECT(ADDRESS(LK1,1,1,1,CELL("contenu",$B$2)))))</f>
        <v>LEPRINCE Pierre</v>
      </c>
      <c r="LL2" s="169"/>
      <c r="LM2" s="169"/>
      <c r="LN2" s="171"/>
      <c r="LO2" s="171"/>
      <c r="LP2" s="171"/>
      <c r="LQ2" s="169"/>
      <c r="LR2" s="169"/>
      <c r="LS2" s="169"/>
      <c r="LT2" s="171"/>
      <c r="LU2" s="171"/>
      <c r="LV2" s="171"/>
      <c r="LW2" s="169"/>
      <c r="LX2" s="169"/>
      <c r="LY2" s="169"/>
      <c r="LZ2" s="169"/>
      <c r="MA2" s="171"/>
      <c r="MB2" s="171"/>
      <c r="MC2" s="171"/>
      <c r="MD2" s="197"/>
      <c r="ME2" s="171" t="str">
        <f ca="1">IF(CELL("contenu",INDIRECT(ADDRESS(ME1,1,1,1,CELL("contenu",$B$2))))="","----",CELL("contenu",INDIRECT(ADDRESS(ME1,1,1,1,CELL("contenu",$B$2)))))</f>
        <v>LUZURIER Raphael</v>
      </c>
      <c r="MF2" s="169"/>
      <c r="MG2" s="169"/>
      <c r="MH2" s="171"/>
      <c r="MI2" s="171"/>
      <c r="MJ2" s="171"/>
      <c r="MK2" s="169"/>
      <c r="ML2" s="169"/>
      <c r="MM2" s="169"/>
      <c r="MN2" s="171"/>
      <c r="MO2" s="171"/>
      <c r="MP2" s="171"/>
      <c r="MQ2" s="169"/>
      <c r="MR2" s="169"/>
      <c r="MS2" s="169"/>
      <c r="MT2" s="169"/>
      <c r="MU2" s="171"/>
      <c r="MV2" s="171"/>
      <c r="MW2" s="171"/>
      <c r="MX2" s="197"/>
      <c r="MY2" s="171" t="str">
        <f ca="1">IF(CELL("contenu",INDIRECT(ADDRESS(MY1,1,1,1,CELL("contenu",$B$2))))="","----",CELL("contenu",INDIRECT(ADDRESS(MY1,1,1,1,CELL("contenu",$B$2)))))</f>
        <v>MASSUARD Louis</v>
      </c>
      <c r="MZ2" s="169"/>
      <c r="NA2" s="169"/>
      <c r="NB2" s="171"/>
      <c r="NC2" s="171"/>
      <c r="ND2" s="171"/>
      <c r="NE2" s="169"/>
      <c r="NF2" s="169"/>
      <c r="NG2" s="169"/>
      <c r="NH2" s="171"/>
      <c r="NI2" s="171"/>
      <c r="NJ2" s="171"/>
      <c r="NK2" s="169"/>
      <c r="NL2" s="169"/>
      <c r="NM2" s="169"/>
      <c r="NN2" s="169"/>
      <c r="NO2" s="171"/>
      <c r="NP2" s="171"/>
      <c r="NQ2" s="171"/>
      <c r="NR2" s="197"/>
      <c r="NS2" s="171" t="str">
        <f ca="1">IF(CELL("contenu",INDIRECT(ADDRESS(NS1,1,1,1,CELL("contenu",$B$2))))="","----",CELL("contenu",INDIRECT(ADDRESS(NS1,1,1,1,CELL("contenu",$B$2)))))</f>
        <v>MAUVE Juliette</v>
      </c>
      <c r="NT2" s="169"/>
      <c r="NU2" s="169"/>
      <c r="NV2" s="171"/>
      <c r="NW2" s="171"/>
      <c r="NX2" s="171"/>
      <c r="NY2" s="169"/>
      <c r="NZ2" s="169"/>
      <c r="OA2" s="169"/>
      <c r="OB2" s="171"/>
      <c r="OC2" s="171"/>
      <c r="OD2" s="171"/>
      <c r="OE2" s="169"/>
      <c r="OF2" s="169"/>
      <c r="OG2" s="169"/>
      <c r="OH2" s="169"/>
      <c r="OI2" s="171"/>
      <c r="OJ2" s="171"/>
      <c r="OK2" s="171"/>
      <c r="OL2" s="197"/>
      <c r="OM2" s="171" t="str">
        <f ca="1">IF(CELL("contenu",INDIRECT(ADDRESS(OM1,1,1,1,CELL("contenu",$B$2))))="","----",CELL("contenu",INDIRECT(ADDRESS(OM1,1,1,1,CELL("contenu",$B$2)))))</f>
        <v>MOTILLON Jeanne</v>
      </c>
      <c r="ON2" s="169"/>
      <c r="OO2" s="169"/>
      <c r="OP2" s="171"/>
      <c r="OQ2" s="171"/>
      <c r="OR2" s="171"/>
      <c r="OS2" s="169"/>
      <c r="OT2" s="169"/>
      <c r="OU2" s="169"/>
      <c r="OV2" s="171"/>
      <c r="OW2" s="171"/>
      <c r="OX2" s="171"/>
      <c r="OY2" s="169"/>
      <c r="OZ2" s="169"/>
      <c r="PA2" s="169"/>
      <c r="PB2" s="169"/>
      <c r="PC2" s="171"/>
      <c r="PD2" s="171"/>
      <c r="PE2" s="171"/>
      <c r="PF2" s="197"/>
      <c r="PG2" s="171" t="str">
        <f ca="1">IF(CELL("contenu",INDIRECT(ADDRESS(PG1,1,1,1,CELL("contenu",$B$2))))="","----",CELL("contenu",INDIRECT(ADDRESS(PG1,1,1,1,CELL("contenu",$B$2)))))</f>
        <v>PHILIPPONNEAU Julia</v>
      </c>
      <c r="PH2" s="169"/>
      <c r="PI2" s="169"/>
      <c r="PJ2" s="171"/>
      <c r="PK2" s="171"/>
      <c r="PL2" s="171"/>
      <c r="PM2" s="169"/>
      <c r="PN2" s="169"/>
      <c r="PO2" s="169"/>
      <c r="PP2" s="171"/>
      <c r="PQ2" s="171"/>
      <c r="PR2" s="171"/>
      <c r="PS2" s="169"/>
      <c r="PT2" s="169"/>
      <c r="PU2" s="169"/>
      <c r="PV2" s="169"/>
      <c r="PW2" s="171"/>
      <c r="PX2" s="171"/>
      <c r="PY2" s="171"/>
      <c r="PZ2" s="197"/>
      <c r="QA2" s="171" t="str">
        <f ca="1">IF(CELL("contenu",INDIRECT(ADDRESS(QA1,1,1,1,CELL("contenu",$B$2))))="","----",CELL("contenu",INDIRECT(ADDRESS(QA1,1,1,1,CELL("contenu",$B$2)))))</f>
        <v>REYNIER Antoine</v>
      </c>
      <c r="QB2" s="169"/>
      <c r="QC2" s="169"/>
      <c r="QD2" s="171"/>
      <c r="QE2" s="171"/>
      <c r="QF2" s="171"/>
      <c r="QG2" s="169"/>
      <c r="QH2" s="169"/>
      <c r="QI2" s="169"/>
      <c r="QJ2" s="171"/>
      <c r="QK2" s="171"/>
      <c r="QL2" s="171"/>
      <c r="QM2" s="169"/>
      <c r="QN2" s="169"/>
      <c r="QO2" s="169"/>
      <c r="QP2" s="169"/>
      <c r="QQ2" s="171"/>
      <c r="QR2" s="171"/>
      <c r="QS2" s="171"/>
      <c r="QT2" s="197"/>
      <c r="QU2" s="171" t="str">
        <f ca="1">IF(CELL("contenu",INDIRECT(ADDRESS(QU1,1,1,1,CELL("contenu",$B$2))))="","----",CELL("contenu",INDIRECT(ADDRESS(QU1,1,1,1,CELL("contenu",$B$2)))))</f>
        <v>ROCHERY Marguerite</v>
      </c>
      <c r="QV2" s="169"/>
      <c r="QW2" s="169"/>
      <c r="QX2" s="171"/>
      <c r="QY2" s="171"/>
      <c r="QZ2" s="171"/>
      <c r="RA2" s="169"/>
      <c r="RB2" s="169"/>
      <c r="RC2" s="169"/>
      <c r="RD2" s="171"/>
      <c r="RE2" s="171"/>
      <c r="RF2" s="171"/>
      <c r="RG2" s="169"/>
      <c r="RH2" s="169"/>
      <c r="RI2" s="169"/>
      <c r="RJ2" s="169"/>
      <c r="RK2" s="171"/>
      <c r="RL2" s="171"/>
      <c r="RM2" s="171"/>
      <c r="RN2" s="197"/>
      <c r="RO2" s="171" t="str">
        <f ca="1">IF(CELL("contenu",INDIRECT(ADDRESS(RO1,1,1,1,CELL("contenu",$B$2))))="","----",CELL("contenu",INDIRECT(ADDRESS(RO1,1,1,1,CELL("contenu",$B$2)))))</f>
        <v>TABONE Gaspard</v>
      </c>
      <c r="RP2" s="169"/>
      <c r="RQ2" s="169"/>
      <c r="RR2" s="171"/>
      <c r="RS2" s="171"/>
      <c r="RT2" s="171"/>
      <c r="RU2" s="169"/>
      <c r="RV2" s="169"/>
      <c r="RW2" s="169"/>
      <c r="RX2" s="171"/>
      <c r="RY2" s="171"/>
      <c r="RZ2" s="171"/>
      <c r="SA2" s="169"/>
      <c r="SB2" s="169"/>
      <c r="SC2" s="169"/>
      <c r="SD2" s="169"/>
      <c r="SE2" s="171"/>
      <c r="SF2" s="171"/>
      <c r="SG2" s="171"/>
      <c r="SH2" s="197"/>
      <c r="SI2" s="171" t="str">
        <f ca="1">IF(CELL("contenu",INDIRECT(ADDRESS(SI1,1,1,1,CELL("contenu",$B$2))))="","----",CELL("contenu",INDIRECT(ADDRESS(SI1,1,1,1,CELL("contenu",$B$2)))))</f>
        <v>TONDEUR Justine</v>
      </c>
      <c r="SJ2" s="169"/>
      <c r="SK2" s="169"/>
      <c r="SL2" s="171"/>
      <c r="SM2" s="171"/>
      <c r="SN2" s="171"/>
      <c r="SO2" s="169"/>
      <c r="SP2" s="169"/>
      <c r="SQ2" s="169"/>
      <c r="SR2" s="171"/>
      <c r="SS2" s="171"/>
      <c r="ST2" s="171"/>
      <c r="SU2" s="169"/>
      <c r="SV2" s="169"/>
      <c r="SW2" s="169"/>
      <c r="SX2" s="169"/>
      <c r="SY2" s="171"/>
      <c r="SZ2" s="171"/>
      <c r="TA2" s="171"/>
      <c r="TB2" s="197"/>
      <c r="TC2" s="171" t="str">
        <f ca="1">IF(CELL("contenu",INDIRECT(ADDRESS(TC1,1,1,1,CELL("contenu",$B$2))))="","----",CELL("contenu",INDIRECT(ADDRESS(TC1,1,1,1,CELL("contenu",$B$2)))))</f>
        <v>VANDIER Achille</v>
      </c>
      <c r="TD2" s="169"/>
      <c r="TE2" s="169"/>
      <c r="TF2" s="171"/>
      <c r="TG2" s="171"/>
      <c r="TH2" s="171"/>
      <c r="TI2" s="169"/>
      <c r="TJ2" s="169"/>
      <c r="TK2" s="169"/>
      <c r="TL2" s="171"/>
      <c r="TM2" s="171"/>
      <c r="TN2" s="171"/>
      <c r="TO2" s="169"/>
      <c r="TP2" s="169"/>
      <c r="TQ2" s="169"/>
      <c r="TR2" s="169"/>
      <c r="TS2" s="171"/>
      <c r="TT2" s="171"/>
      <c r="TU2" s="171"/>
      <c r="TV2" s="197"/>
      <c r="TW2" s="85" t="str">
        <f ca="1">IF(CELL("contenu",INDIRECT(ADDRESS(TW1,1,1,1,CELL("contenu",$B$2))))="","----",CELL("contenu",INDIRECT(ADDRESS(TW1,1,1,1,CELL("contenu",$B$2)))))</f>
        <v>----</v>
      </c>
      <c r="TX2" s="85"/>
      <c r="TY2" s="85"/>
      <c r="TZ2" s="85"/>
      <c r="UA2" s="85"/>
      <c r="UB2" s="85"/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6"/>
      <c r="UN2" s="85" t="str">
        <f ca="1">IF(CELL("contenu",INDIRECT(ADDRESS(UN1,1,1,1,CELL("contenu",$B$2))))="","----",CELL("contenu",INDIRECT(ADDRESS(UN1,1,1,1,CELL("contenu",$B$2)))))</f>
        <v>----</v>
      </c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85"/>
      <c r="VC2" s="85"/>
      <c r="VD2" s="86"/>
      <c r="VE2" s="85" t="str">
        <f ca="1">IF(CELL("contenu",INDIRECT(ADDRESS(VE1,1,1,1,CELL("contenu",$B$2))))="","----",CELL("contenu",INDIRECT(ADDRESS(VE1,1,1,1,CELL("contenu",$B$2)))))</f>
        <v>----</v>
      </c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6"/>
    </row>
    <row r="3" spans="1:593" ht="60" customHeight="1" thickBot="1" x14ac:dyDescent="0.6">
      <c r="A3" s="162"/>
      <c r="B3" s="163" t="s">
        <v>36</v>
      </c>
      <c r="C3" s="87" t="s">
        <v>197</v>
      </c>
      <c r="D3" s="88" t="s">
        <v>198</v>
      </c>
      <c r="E3" s="89"/>
      <c r="F3" s="176" t="s">
        <v>7</v>
      </c>
      <c r="G3" s="177"/>
      <c r="H3" s="87" t="s">
        <v>199</v>
      </c>
      <c r="I3" s="92"/>
      <c r="J3" s="89"/>
      <c r="K3" s="89"/>
      <c r="L3" s="192" t="s">
        <v>8</v>
      </c>
      <c r="M3" s="193"/>
      <c r="N3" s="87" t="s">
        <v>202</v>
      </c>
      <c r="O3" s="88" t="s">
        <v>203</v>
      </c>
      <c r="P3" s="88" t="s">
        <v>204</v>
      </c>
      <c r="Q3" s="88" t="s">
        <v>205</v>
      </c>
      <c r="R3" s="227"/>
      <c r="S3" s="198" t="s">
        <v>9</v>
      </c>
      <c r="T3" s="199"/>
      <c r="U3" s="200" t="s">
        <v>10</v>
      </c>
      <c r="V3" s="201"/>
      <c r="W3" s="99" t="str">
        <f>IF(C3="","",C3)</f>
        <v>Eval E2</v>
      </c>
      <c r="X3" s="100" t="str">
        <f>IF(D3="","",D3)</f>
        <v>Fiche CH6/1</v>
      </c>
      <c r="Y3" s="228" t="str">
        <f>IF(E3="","",E3)</f>
        <v/>
      </c>
      <c r="Z3" s="176" t="s">
        <v>7</v>
      </c>
      <c r="AA3" s="177"/>
      <c r="AB3" s="102" t="str">
        <f>IF(H3="","",H3)</f>
        <v>Eval CH6</v>
      </c>
      <c r="AC3" s="100" t="str">
        <f>IF(I3="","",I3)</f>
        <v/>
      </c>
      <c r="AD3" s="216" t="str">
        <f>IF(J3="","",J3)</f>
        <v/>
      </c>
      <c r="AE3" s="228" t="str">
        <f>IF(K3="","",K3)</f>
        <v/>
      </c>
      <c r="AF3" s="192" t="s">
        <v>8</v>
      </c>
      <c r="AG3" s="193"/>
      <c r="AH3" s="102" t="str">
        <f>IF(N3="","",N3)</f>
        <v>Fiche CH7/5</v>
      </c>
      <c r="AI3" s="224" t="str">
        <f>IF(O3="","",O3)</f>
        <v>EC</v>
      </c>
      <c r="AJ3" s="224" t="str">
        <f>IF(P3="","",P3)</f>
        <v>Fiche CH7/6</v>
      </c>
      <c r="AK3" s="224" t="str">
        <f>IF(Q3="","",Q3)</f>
        <v>Fiche E3/3</v>
      </c>
      <c r="AL3" s="228" t="str">
        <f>IF(R3="","",R3)</f>
        <v/>
      </c>
      <c r="AM3" s="198" t="s">
        <v>9</v>
      </c>
      <c r="AN3" s="199"/>
      <c r="AO3" s="200" t="s">
        <v>10</v>
      </c>
      <c r="AP3" s="201"/>
      <c r="AQ3" s="99" t="str">
        <f>IF(W3="","",W3)</f>
        <v>Eval E2</v>
      </c>
      <c r="AR3" s="100" t="str">
        <f>IF(X3="","",X3)</f>
        <v>Fiche CH6/1</v>
      </c>
      <c r="AS3" s="228" t="str">
        <f>IF(Y3="","",Y3)</f>
        <v/>
      </c>
      <c r="AT3" s="176" t="s">
        <v>7</v>
      </c>
      <c r="AU3" s="177"/>
      <c r="AV3" s="102" t="str">
        <f>IF(AB3="","",AB3)</f>
        <v>Eval CH6</v>
      </c>
      <c r="AW3" s="100" t="str">
        <f>IF(AC3="","",AC3)</f>
        <v/>
      </c>
      <c r="AX3" s="216" t="str">
        <f>IF(AD3="","",AD3)</f>
        <v/>
      </c>
      <c r="AY3" s="228" t="str">
        <f>IF(AE3="","",AE3)</f>
        <v/>
      </c>
      <c r="AZ3" s="192" t="s">
        <v>8</v>
      </c>
      <c r="BA3" s="193"/>
      <c r="BB3" s="102" t="str">
        <f>IF(AH3="","",AH3)</f>
        <v>Fiche CH7/5</v>
      </c>
      <c r="BC3" s="224" t="str">
        <f>IF(AI3="","",AI3)</f>
        <v>EC</v>
      </c>
      <c r="BD3" s="224" t="str">
        <f>IF(AJ3="","",AJ3)</f>
        <v>Fiche CH7/6</v>
      </c>
      <c r="BE3" s="224" t="str">
        <f>IF(AK3="","",AK3)</f>
        <v>Fiche E3/3</v>
      </c>
      <c r="BF3" s="228" t="str">
        <f>IF(AL3="","",AL3)</f>
        <v/>
      </c>
      <c r="BG3" s="198" t="s">
        <v>9</v>
      </c>
      <c r="BH3" s="199"/>
      <c r="BI3" s="200" t="s">
        <v>10</v>
      </c>
      <c r="BJ3" s="201"/>
      <c r="BK3" s="99" t="str">
        <f>IF(AQ3="","",AQ3)</f>
        <v>Eval E2</v>
      </c>
      <c r="BL3" s="100" t="str">
        <f>IF(AR3="","",AR3)</f>
        <v>Fiche CH6/1</v>
      </c>
      <c r="BM3" s="228" t="str">
        <f>IF(AS3="","",AS3)</f>
        <v/>
      </c>
      <c r="BN3" s="176" t="s">
        <v>7</v>
      </c>
      <c r="BO3" s="177"/>
      <c r="BP3" s="102" t="str">
        <f>IF(AV3="","",AV3)</f>
        <v>Eval CH6</v>
      </c>
      <c r="BQ3" s="100" t="str">
        <f>IF(AW3="","",AW3)</f>
        <v/>
      </c>
      <c r="BR3" s="216" t="str">
        <f>IF(AX3="","",AX3)</f>
        <v/>
      </c>
      <c r="BS3" s="228" t="str">
        <f>IF(AY3="","",AY3)</f>
        <v/>
      </c>
      <c r="BT3" s="192" t="s">
        <v>8</v>
      </c>
      <c r="BU3" s="193"/>
      <c r="BV3" s="102" t="str">
        <f>IF(BB3="","",BB3)</f>
        <v>Fiche CH7/5</v>
      </c>
      <c r="BW3" s="224" t="str">
        <f>IF(BC3="","",BC3)</f>
        <v>EC</v>
      </c>
      <c r="BX3" s="224" t="str">
        <f>IF(BD3="","",BD3)</f>
        <v>Fiche CH7/6</v>
      </c>
      <c r="BY3" s="224" t="str">
        <f>IF(BE3="","",BE3)</f>
        <v>Fiche E3/3</v>
      </c>
      <c r="BZ3" s="228" t="str">
        <f>IF(BF3="","",BF3)</f>
        <v/>
      </c>
      <c r="CA3" s="198" t="s">
        <v>9</v>
      </c>
      <c r="CB3" s="199"/>
      <c r="CC3" s="200" t="s">
        <v>10</v>
      </c>
      <c r="CD3" s="201"/>
      <c r="CE3" s="99" t="str">
        <f>IF(BK3="","",BK3)</f>
        <v>Eval E2</v>
      </c>
      <c r="CF3" s="100" t="str">
        <f>IF(BL3="","",BL3)</f>
        <v>Fiche CH6/1</v>
      </c>
      <c r="CG3" s="228" t="str">
        <f>IF(BM3="","",BM3)</f>
        <v/>
      </c>
      <c r="CH3" s="176" t="s">
        <v>7</v>
      </c>
      <c r="CI3" s="177"/>
      <c r="CJ3" s="102" t="str">
        <f>IF(BP3="","",BP3)</f>
        <v>Eval CH6</v>
      </c>
      <c r="CK3" s="100" t="str">
        <f>IF(BQ3="","",BQ3)</f>
        <v/>
      </c>
      <c r="CL3" s="216" t="str">
        <f>IF(BR3="","",BR3)</f>
        <v/>
      </c>
      <c r="CM3" s="228" t="str">
        <f>IF(BS3="","",BS3)</f>
        <v/>
      </c>
      <c r="CN3" s="192" t="s">
        <v>8</v>
      </c>
      <c r="CO3" s="193"/>
      <c r="CP3" s="102" t="str">
        <f>IF(BV3="","",BV3)</f>
        <v>Fiche CH7/5</v>
      </c>
      <c r="CQ3" s="224" t="str">
        <f>IF(BW3="","",BW3)</f>
        <v>EC</v>
      </c>
      <c r="CR3" s="224" t="str">
        <f>IF(BX3="","",BX3)</f>
        <v>Fiche CH7/6</v>
      </c>
      <c r="CS3" s="224" t="str">
        <f>IF(BY3="","",BY3)</f>
        <v>Fiche E3/3</v>
      </c>
      <c r="CT3" s="228" t="str">
        <f>IF(BZ3="","",BZ3)</f>
        <v/>
      </c>
      <c r="CU3" s="198" t="s">
        <v>9</v>
      </c>
      <c r="CV3" s="199"/>
      <c r="CW3" s="200" t="s">
        <v>10</v>
      </c>
      <c r="CX3" s="201"/>
      <c r="CY3" s="99" t="str">
        <f>IF(CE3="","",CE3)</f>
        <v>Eval E2</v>
      </c>
      <c r="CZ3" s="100" t="str">
        <f>IF(CF3="","",CF3)</f>
        <v>Fiche CH6/1</v>
      </c>
      <c r="DA3" s="228" t="str">
        <f>IF(CG3="","",CG3)</f>
        <v/>
      </c>
      <c r="DB3" s="176" t="s">
        <v>7</v>
      </c>
      <c r="DC3" s="177"/>
      <c r="DD3" s="102" t="str">
        <f>IF(CJ3="","",CJ3)</f>
        <v>Eval CH6</v>
      </c>
      <c r="DE3" s="100" t="str">
        <f>IF(CK3="","",CK3)</f>
        <v/>
      </c>
      <c r="DF3" s="216" t="str">
        <f>IF(CL3="","",CL3)</f>
        <v/>
      </c>
      <c r="DG3" s="228" t="str">
        <f>IF(CM3="","",CM3)</f>
        <v/>
      </c>
      <c r="DH3" s="192" t="s">
        <v>8</v>
      </c>
      <c r="DI3" s="193"/>
      <c r="DJ3" s="102" t="str">
        <f>IF(CP3="","",CP3)</f>
        <v>Fiche CH7/5</v>
      </c>
      <c r="DK3" s="224" t="str">
        <f>IF(CQ3="","",CQ3)</f>
        <v>EC</v>
      </c>
      <c r="DL3" s="224" t="str">
        <f>IF(CR3="","",CR3)</f>
        <v>Fiche CH7/6</v>
      </c>
      <c r="DM3" s="224" t="str">
        <f>IF(CS3="","",CS3)</f>
        <v>Fiche E3/3</v>
      </c>
      <c r="DN3" s="228" t="str">
        <f>IF(CT3="","",CT3)</f>
        <v/>
      </c>
      <c r="DO3" s="198" t="s">
        <v>9</v>
      </c>
      <c r="DP3" s="199"/>
      <c r="DQ3" s="200" t="s">
        <v>10</v>
      </c>
      <c r="DR3" s="201"/>
      <c r="DS3" s="99" t="str">
        <f>IF(CY3="","",CY3)</f>
        <v>Eval E2</v>
      </c>
      <c r="DT3" s="100" t="str">
        <f>IF(CZ3="","",CZ3)</f>
        <v>Fiche CH6/1</v>
      </c>
      <c r="DU3" s="228" t="str">
        <f>IF(DA3="","",DA3)</f>
        <v/>
      </c>
      <c r="DV3" s="176" t="s">
        <v>7</v>
      </c>
      <c r="DW3" s="177"/>
      <c r="DX3" s="102" t="str">
        <f>IF(DD3="","",DD3)</f>
        <v>Eval CH6</v>
      </c>
      <c r="DY3" s="100" t="str">
        <f>IF(DE3="","",DE3)</f>
        <v/>
      </c>
      <c r="DZ3" s="216" t="str">
        <f>IF(DF3="","",DF3)</f>
        <v/>
      </c>
      <c r="EA3" s="228" t="str">
        <f>IF(DG3="","",DG3)</f>
        <v/>
      </c>
      <c r="EB3" s="192" t="s">
        <v>8</v>
      </c>
      <c r="EC3" s="193"/>
      <c r="ED3" s="102" t="str">
        <f>IF(DJ3="","",DJ3)</f>
        <v>Fiche CH7/5</v>
      </c>
      <c r="EE3" s="224" t="str">
        <f>IF(DK3="","",DK3)</f>
        <v>EC</v>
      </c>
      <c r="EF3" s="224" t="str">
        <f>IF(DL3="","",DL3)</f>
        <v>Fiche CH7/6</v>
      </c>
      <c r="EG3" s="224" t="str">
        <f>IF(DM3="","",DM3)</f>
        <v>Fiche E3/3</v>
      </c>
      <c r="EH3" s="228" t="str">
        <f>IF(DN3="","",DN3)</f>
        <v/>
      </c>
      <c r="EI3" s="198" t="s">
        <v>9</v>
      </c>
      <c r="EJ3" s="199"/>
      <c r="EK3" s="200" t="s">
        <v>10</v>
      </c>
      <c r="EL3" s="201"/>
      <c r="EM3" s="99" t="str">
        <f>IF(DS3="","",DS3)</f>
        <v>Eval E2</v>
      </c>
      <c r="EN3" s="100" t="str">
        <f>IF(DT3="","",DT3)</f>
        <v>Fiche CH6/1</v>
      </c>
      <c r="EO3" s="228" t="str">
        <f>IF(DU3="","",DU3)</f>
        <v/>
      </c>
      <c r="EP3" s="176" t="s">
        <v>7</v>
      </c>
      <c r="EQ3" s="177"/>
      <c r="ER3" s="102" t="str">
        <f>IF(DX3="","",DX3)</f>
        <v>Eval CH6</v>
      </c>
      <c r="ES3" s="100" t="str">
        <f>IF(DY3="","",DY3)</f>
        <v/>
      </c>
      <c r="ET3" s="216" t="str">
        <f>IF(DZ3="","",DZ3)</f>
        <v/>
      </c>
      <c r="EU3" s="228" t="str">
        <f>IF(EA3="","",EA3)</f>
        <v/>
      </c>
      <c r="EV3" s="192" t="s">
        <v>8</v>
      </c>
      <c r="EW3" s="193"/>
      <c r="EX3" s="102" t="str">
        <f>IF(ED3="","",ED3)</f>
        <v>Fiche CH7/5</v>
      </c>
      <c r="EY3" s="224" t="str">
        <f>IF(EE3="","",EE3)</f>
        <v>EC</v>
      </c>
      <c r="EZ3" s="224" t="str">
        <f>IF(EF3="","",EF3)</f>
        <v>Fiche CH7/6</v>
      </c>
      <c r="FA3" s="224" t="str">
        <f>IF(EG3="","",EG3)</f>
        <v>Fiche E3/3</v>
      </c>
      <c r="FB3" s="228" t="str">
        <f>IF(EH3="","",EH3)</f>
        <v/>
      </c>
      <c r="FC3" s="198" t="s">
        <v>9</v>
      </c>
      <c r="FD3" s="199"/>
      <c r="FE3" s="200" t="s">
        <v>10</v>
      </c>
      <c r="FF3" s="201"/>
      <c r="FG3" s="99" t="str">
        <f>IF(EM3="","",EM3)</f>
        <v>Eval E2</v>
      </c>
      <c r="FH3" s="100" t="str">
        <f>IF(EN3="","",EN3)</f>
        <v>Fiche CH6/1</v>
      </c>
      <c r="FI3" s="228" t="str">
        <f>IF(EO3="","",EO3)</f>
        <v/>
      </c>
      <c r="FJ3" s="176" t="s">
        <v>7</v>
      </c>
      <c r="FK3" s="177"/>
      <c r="FL3" s="102" t="str">
        <f>IF(ER3="","",ER3)</f>
        <v>Eval CH6</v>
      </c>
      <c r="FM3" s="100" t="str">
        <f>IF(ES3="","",ES3)</f>
        <v/>
      </c>
      <c r="FN3" s="216" t="str">
        <f>IF(ET3="","",ET3)</f>
        <v/>
      </c>
      <c r="FO3" s="228" t="str">
        <f>IF(EU3="","",EU3)</f>
        <v/>
      </c>
      <c r="FP3" s="192" t="s">
        <v>8</v>
      </c>
      <c r="FQ3" s="193"/>
      <c r="FR3" s="102" t="str">
        <f>IF(EX3="","",EX3)</f>
        <v>Fiche CH7/5</v>
      </c>
      <c r="FS3" s="224" t="str">
        <f>IF(EY3="","",EY3)</f>
        <v>EC</v>
      </c>
      <c r="FT3" s="224" t="str">
        <f>IF(EZ3="","",EZ3)</f>
        <v>Fiche CH7/6</v>
      </c>
      <c r="FU3" s="224" t="str">
        <f>IF(FA3="","",FA3)</f>
        <v>Fiche E3/3</v>
      </c>
      <c r="FV3" s="228" t="str">
        <f>IF(FB3="","",FB3)</f>
        <v/>
      </c>
      <c r="FW3" s="198" t="s">
        <v>9</v>
      </c>
      <c r="FX3" s="199"/>
      <c r="FY3" s="200" t="s">
        <v>10</v>
      </c>
      <c r="FZ3" s="201"/>
      <c r="GA3" s="99" t="str">
        <f>IF(FG3="","",FG3)</f>
        <v>Eval E2</v>
      </c>
      <c r="GB3" s="100" t="str">
        <f>IF(FH3="","",FH3)</f>
        <v>Fiche CH6/1</v>
      </c>
      <c r="GC3" s="228" t="str">
        <f>IF(FI3="","",FI3)</f>
        <v/>
      </c>
      <c r="GD3" s="176" t="s">
        <v>7</v>
      </c>
      <c r="GE3" s="177"/>
      <c r="GF3" s="102" t="str">
        <f>IF(FL3="","",FL3)</f>
        <v>Eval CH6</v>
      </c>
      <c r="GG3" s="100" t="str">
        <f>IF(FM3="","",FM3)</f>
        <v/>
      </c>
      <c r="GH3" s="216" t="str">
        <f>IF(FN3="","",FN3)</f>
        <v/>
      </c>
      <c r="GI3" s="228" t="str">
        <f>IF(FO3="","",FO3)</f>
        <v/>
      </c>
      <c r="GJ3" s="192" t="s">
        <v>8</v>
      </c>
      <c r="GK3" s="193"/>
      <c r="GL3" s="102" t="str">
        <f>IF(FR3="","",FR3)</f>
        <v>Fiche CH7/5</v>
      </c>
      <c r="GM3" s="224" t="str">
        <f>IF(FS3="","",FS3)</f>
        <v>EC</v>
      </c>
      <c r="GN3" s="224" t="str">
        <f>IF(FT3="","",FT3)</f>
        <v>Fiche CH7/6</v>
      </c>
      <c r="GO3" s="224" t="str">
        <f>IF(FU3="","",FU3)</f>
        <v>Fiche E3/3</v>
      </c>
      <c r="GP3" s="228" t="str">
        <f>IF(FV3="","",FV3)</f>
        <v/>
      </c>
      <c r="GQ3" s="198" t="s">
        <v>9</v>
      </c>
      <c r="GR3" s="199"/>
      <c r="GS3" s="200" t="s">
        <v>10</v>
      </c>
      <c r="GT3" s="201"/>
      <c r="GU3" s="99" t="str">
        <f>IF(GA3="","",GA3)</f>
        <v>Eval E2</v>
      </c>
      <c r="GV3" s="100" t="str">
        <f>IF(GB3="","",GB3)</f>
        <v>Fiche CH6/1</v>
      </c>
      <c r="GW3" s="228" t="str">
        <f>IF(GC3="","",GC3)</f>
        <v/>
      </c>
      <c r="GX3" s="176" t="s">
        <v>7</v>
      </c>
      <c r="GY3" s="177"/>
      <c r="GZ3" s="102" t="str">
        <f>IF(GF3="","",GF3)</f>
        <v>Eval CH6</v>
      </c>
      <c r="HA3" s="100" t="str">
        <f>IF(GG3="","",GG3)</f>
        <v/>
      </c>
      <c r="HB3" s="216" t="str">
        <f>IF(GH3="","",GH3)</f>
        <v/>
      </c>
      <c r="HC3" s="228" t="str">
        <f>IF(GI3="","",GI3)</f>
        <v/>
      </c>
      <c r="HD3" s="192" t="s">
        <v>8</v>
      </c>
      <c r="HE3" s="193"/>
      <c r="HF3" s="102" t="str">
        <f>IF(GL3="","",GL3)</f>
        <v>Fiche CH7/5</v>
      </c>
      <c r="HG3" s="224" t="str">
        <f>IF(GM3="","",GM3)</f>
        <v>EC</v>
      </c>
      <c r="HH3" s="224" t="str">
        <f>IF(GN3="","",GN3)</f>
        <v>Fiche CH7/6</v>
      </c>
      <c r="HI3" s="224" t="str">
        <f>IF(GO3="","",GO3)</f>
        <v>Fiche E3/3</v>
      </c>
      <c r="HJ3" s="228" t="str">
        <f>IF(GP3="","",GP3)</f>
        <v/>
      </c>
      <c r="HK3" s="198" t="s">
        <v>9</v>
      </c>
      <c r="HL3" s="199"/>
      <c r="HM3" s="200" t="s">
        <v>10</v>
      </c>
      <c r="HN3" s="201"/>
      <c r="HO3" s="99" t="str">
        <f>IF(GU3="","",GU3)</f>
        <v>Eval E2</v>
      </c>
      <c r="HP3" s="100" t="str">
        <f>IF(GV3="","",GV3)</f>
        <v>Fiche CH6/1</v>
      </c>
      <c r="HQ3" s="228" t="str">
        <f>IF(GW3="","",GW3)</f>
        <v/>
      </c>
      <c r="HR3" s="176" t="s">
        <v>7</v>
      </c>
      <c r="HS3" s="177"/>
      <c r="HT3" s="102" t="str">
        <f>IF(GZ3="","",GZ3)</f>
        <v>Eval CH6</v>
      </c>
      <c r="HU3" s="100" t="str">
        <f>IF(HA3="","",HA3)</f>
        <v/>
      </c>
      <c r="HV3" s="216" t="str">
        <f>IF(HB3="","",HB3)</f>
        <v/>
      </c>
      <c r="HW3" s="228" t="str">
        <f>IF(HC3="","",HC3)</f>
        <v/>
      </c>
      <c r="HX3" s="192" t="s">
        <v>8</v>
      </c>
      <c r="HY3" s="193"/>
      <c r="HZ3" s="102" t="str">
        <f>IF(HF3="","",HF3)</f>
        <v>Fiche CH7/5</v>
      </c>
      <c r="IA3" s="224" t="str">
        <f>IF(HG3="","",HG3)</f>
        <v>EC</v>
      </c>
      <c r="IB3" s="224" t="str">
        <f>IF(HH3="","",HH3)</f>
        <v>Fiche CH7/6</v>
      </c>
      <c r="IC3" s="224" t="str">
        <f>IF(HI3="","",HI3)</f>
        <v>Fiche E3/3</v>
      </c>
      <c r="ID3" s="228" t="str">
        <f>IF(HJ3="","",HJ3)</f>
        <v/>
      </c>
      <c r="IE3" s="198" t="s">
        <v>9</v>
      </c>
      <c r="IF3" s="199"/>
      <c r="IG3" s="200" t="s">
        <v>10</v>
      </c>
      <c r="IH3" s="201"/>
      <c r="II3" s="99" t="str">
        <f>IF(HO3="","",HO3)</f>
        <v>Eval E2</v>
      </c>
      <c r="IJ3" s="100" t="str">
        <f>IF(HP3="","",HP3)</f>
        <v>Fiche CH6/1</v>
      </c>
      <c r="IK3" s="228" t="str">
        <f>IF(HQ3="","",HQ3)</f>
        <v/>
      </c>
      <c r="IL3" s="176" t="s">
        <v>7</v>
      </c>
      <c r="IM3" s="177"/>
      <c r="IN3" s="102" t="str">
        <f>IF(HT3="","",HT3)</f>
        <v>Eval CH6</v>
      </c>
      <c r="IO3" s="100" t="str">
        <f>IF(HU3="","",HU3)</f>
        <v/>
      </c>
      <c r="IP3" s="216" t="str">
        <f>IF(HV3="","",HV3)</f>
        <v/>
      </c>
      <c r="IQ3" s="228" t="str">
        <f>IF(HW3="","",HW3)</f>
        <v/>
      </c>
      <c r="IR3" s="192" t="s">
        <v>8</v>
      </c>
      <c r="IS3" s="193"/>
      <c r="IT3" s="102" t="str">
        <f>IF(HZ3="","",HZ3)</f>
        <v>Fiche CH7/5</v>
      </c>
      <c r="IU3" s="224" t="str">
        <f>IF(IA3="","",IA3)</f>
        <v>EC</v>
      </c>
      <c r="IV3" s="224" t="str">
        <f>IF(IB3="","",IB3)</f>
        <v>Fiche CH7/6</v>
      </c>
      <c r="IW3" s="224" t="str">
        <f>IF(IC3="","",IC3)</f>
        <v>Fiche E3/3</v>
      </c>
      <c r="IX3" s="228" t="str">
        <f>IF(ID3="","",ID3)</f>
        <v/>
      </c>
      <c r="IY3" s="198" t="s">
        <v>9</v>
      </c>
      <c r="IZ3" s="199"/>
      <c r="JA3" s="200" t="s">
        <v>10</v>
      </c>
      <c r="JB3" s="201"/>
      <c r="JC3" s="99" t="str">
        <f>IF(II3="","",II3)</f>
        <v>Eval E2</v>
      </c>
      <c r="JD3" s="100" t="str">
        <f>IF(IJ3="","",IJ3)</f>
        <v>Fiche CH6/1</v>
      </c>
      <c r="JE3" s="228" t="str">
        <f>IF(IK3="","",IK3)</f>
        <v/>
      </c>
      <c r="JF3" s="176" t="s">
        <v>7</v>
      </c>
      <c r="JG3" s="177"/>
      <c r="JH3" s="102" t="str">
        <f>IF(IN3="","",IN3)</f>
        <v>Eval CH6</v>
      </c>
      <c r="JI3" s="100" t="str">
        <f>IF(IO3="","",IO3)</f>
        <v/>
      </c>
      <c r="JJ3" s="216" t="str">
        <f>IF(IP3="","",IP3)</f>
        <v/>
      </c>
      <c r="JK3" s="228" t="str">
        <f>IF(IQ3="","",IQ3)</f>
        <v/>
      </c>
      <c r="JL3" s="192" t="s">
        <v>8</v>
      </c>
      <c r="JM3" s="193"/>
      <c r="JN3" s="102" t="str">
        <f>IF(IT3="","",IT3)</f>
        <v>Fiche CH7/5</v>
      </c>
      <c r="JO3" s="224" t="str">
        <f>IF(IU3="","",IU3)</f>
        <v>EC</v>
      </c>
      <c r="JP3" s="224" t="str">
        <f>IF(IV3="","",IV3)</f>
        <v>Fiche CH7/6</v>
      </c>
      <c r="JQ3" s="224" t="str">
        <f>IF(IW3="","",IW3)</f>
        <v>Fiche E3/3</v>
      </c>
      <c r="JR3" s="228" t="str">
        <f>IF(IX3="","",IX3)</f>
        <v/>
      </c>
      <c r="JS3" s="198" t="s">
        <v>9</v>
      </c>
      <c r="JT3" s="199"/>
      <c r="JU3" s="200" t="s">
        <v>10</v>
      </c>
      <c r="JV3" s="201"/>
      <c r="JW3" s="99" t="str">
        <f>IF(JC3="","",JC3)</f>
        <v>Eval E2</v>
      </c>
      <c r="JX3" s="100" t="str">
        <f>IF(JD3="","",JD3)</f>
        <v>Fiche CH6/1</v>
      </c>
      <c r="JY3" s="228" t="str">
        <f>IF(JE3="","",JE3)</f>
        <v/>
      </c>
      <c r="JZ3" s="176" t="s">
        <v>7</v>
      </c>
      <c r="KA3" s="177"/>
      <c r="KB3" s="102" t="str">
        <f>IF(JH3="","",JH3)</f>
        <v>Eval CH6</v>
      </c>
      <c r="KC3" s="100" t="str">
        <f>IF(JI3="","",JI3)</f>
        <v/>
      </c>
      <c r="KD3" s="216" t="str">
        <f>IF(JJ3="","",JJ3)</f>
        <v/>
      </c>
      <c r="KE3" s="228" t="str">
        <f>IF(JK3="","",JK3)</f>
        <v/>
      </c>
      <c r="KF3" s="192" t="s">
        <v>8</v>
      </c>
      <c r="KG3" s="193"/>
      <c r="KH3" s="102" t="str">
        <f>IF(JN3="","",JN3)</f>
        <v>Fiche CH7/5</v>
      </c>
      <c r="KI3" s="224" t="str">
        <f>IF(JO3="","",JO3)</f>
        <v>EC</v>
      </c>
      <c r="KJ3" s="224" t="str">
        <f>IF(JP3="","",JP3)</f>
        <v>Fiche CH7/6</v>
      </c>
      <c r="KK3" s="224" t="str">
        <f>IF(JQ3="","",JQ3)</f>
        <v>Fiche E3/3</v>
      </c>
      <c r="KL3" s="228" t="str">
        <f>IF(JR3="","",JR3)</f>
        <v/>
      </c>
      <c r="KM3" s="198" t="s">
        <v>9</v>
      </c>
      <c r="KN3" s="199"/>
      <c r="KO3" s="200" t="s">
        <v>10</v>
      </c>
      <c r="KP3" s="201"/>
      <c r="KQ3" s="99" t="str">
        <f>IF(JW3="","",JW3)</f>
        <v>Eval E2</v>
      </c>
      <c r="KR3" s="100" t="str">
        <f>IF(JX3="","",JX3)</f>
        <v>Fiche CH6/1</v>
      </c>
      <c r="KS3" s="228" t="str">
        <f>IF(JY3="","",JY3)</f>
        <v/>
      </c>
      <c r="KT3" s="176" t="s">
        <v>7</v>
      </c>
      <c r="KU3" s="177"/>
      <c r="KV3" s="102" t="str">
        <f>IF(KB3="","",KB3)</f>
        <v>Eval CH6</v>
      </c>
      <c r="KW3" s="100" t="str">
        <f>IF(KC3="","",KC3)</f>
        <v/>
      </c>
      <c r="KX3" s="216" t="str">
        <f>IF(KD3="","",KD3)</f>
        <v/>
      </c>
      <c r="KY3" s="228" t="str">
        <f>IF(KE3="","",KE3)</f>
        <v/>
      </c>
      <c r="KZ3" s="192" t="s">
        <v>8</v>
      </c>
      <c r="LA3" s="193"/>
      <c r="LB3" s="102" t="str">
        <f>IF(KH3="","",KH3)</f>
        <v>Fiche CH7/5</v>
      </c>
      <c r="LC3" s="224" t="str">
        <f>IF(KI3="","",KI3)</f>
        <v>EC</v>
      </c>
      <c r="LD3" s="224" t="str">
        <f>IF(KJ3="","",KJ3)</f>
        <v>Fiche CH7/6</v>
      </c>
      <c r="LE3" s="224" t="str">
        <f>IF(KK3="","",KK3)</f>
        <v>Fiche E3/3</v>
      </c>
      <c r="LF3" s="228" t="str">
        <f>IF(KL3="","",KL3)</f>
        <v/>
      </c>
      <c r="LG3" s="198" t="s">
        <v>9</v>
      </c>
      <c r="LH3" s="199"/>
      <c r="LI3" s="200" t="s">
        <v>10</v>
      </c>
      <c r="LJ3" s="201"/>
      <c r="LK3" s="99" t="str">
        <f>IF(KQ3="","",KQ3)</f>
        <v>Eval E2</v>
      </c>
      <c r="LL3" s="100" t="str">
        <f>IF(KR3="","",KR3)</f>
        <v>Fiche CH6/1</v>
      </c>
      <c r="LM3" s="228" t="str">
        <f>IF(KS3="","",KS3)</f>
        <v/>
      </c>
      <c r="LN3" s="176" t="s">
        <v>7</v>
      </c>
      <c r="LO3" s="177"/>
      <c r="LP3" s="102" t="str">
        <f>IF(KV3="","",KV3)</f>
        <v>Eval CH6</v>
      </c>
      <c r="LQ3" s="100" t="str">
        <f>IF(KW3="","",KW3)</f>
        <v/>
      </c>
      <c r="LR3" s="216" t="str">
        <f>IF(KX3="","",KX3)</f>
        <v/>
      </c>
      <c r="LS3" s="228" t="str">
        <f>IF(KY3="","",KY3)</f>
        <v/>
      </c>
      <c r="LT3" s="192" t="s">
        <v>8</v>
      </c>
      <c r="LU3" s="193"/>
      <c r="LV3" s="102" t="str">
        <f>IF(LB3="","",LB3)</f>
        <v>Fiche CH7/5</v>
      </c>
      <c r="LW3" s="224" t="str">
        <f>IF(LC3="","",LC3)</f>
        <v>EC</v>
      </c>
      <c r="LX3" s="224" t="str">
        <f>IF(LD3="","",LD3)</f>
        <v>Fiche CH7/6</v>
      </c>
      <c r="LY3" s="224" t="str">
        <f>IF(LE3="","",LE3)</f>
        <v>Fiche E3/3</v>
      </c>
      <c r="LZ3" s="228" t="str">
        <f>IF(LF3="","",LF3)</f>
        <v/>
      </c>
      <c r="MA3" s="198" t="s">
        <v>9</v>
      </c>
      <c r="MB3" s="199"/>
      <c r="MC3" s="200" t="s">
        <v>10</v>
      </c>
      <c r="MD3" s="201"/>
      <c r="ME3" s="99" t="str">
        <f>IF(LK3="","",LK3)</f>
        <v>Eval E2</v>
      </c>
      <c r="MF3" s="100" t="str">
        <f>IF(LL3="","",LL3)</f>
        <v>Fiche CH6/1</v>
      </c>
      <c r="MG3" s="228" t="str">
        <f>IF(LM3="","",LM3)</f>
        <v/>
      </c>
      <c r="MH3" s="176" t="s">
        <v>7</v>
      </c>
      <c r="MI3" s="177"/>
      <c r="MJ3" s="102" t="str">
        <f>IF(LP3="","",LP3)</f>
        <v>Eval CH6</v>
      </c>
      <c r="MK3" s="100" t="str">
        <f>IF(LQ3="","",LQ3)</f>
        <v/>
      </c>
      <c r="ML3" s="216" t="str">
        <f>IF(LR3="","",LR3)</f>
        <v/>
      </c>
      <c r="MM3" s="228" t="str">
        <f>IF(LS3="","",LS3)</f>
        <v/>
      </c>
      <c r="MN3" s="192" t="s">
        <v>8</v>
      </c>
      <c r="MO3" s="193"/>
      <c r="MP3" s="102" t="str">
        <f>IF(LV3="","",LV3)</f>
        <v>Fiche CH7/5</v>
      </c>
      <c r="MQ3" s="224" t="str">
        <f>IF(LW3="","",LW3)</f>
        <v>EC</v>
      </c>
      <c r="MR3" s="224" t="str">
        <f>IF(LX3="","",LX3)</f>
        <v>Fiche CH7/6</v>
      </c>
      <c r="MS3" s="224" t="str">
        <f>IF(LY3="","",LY3)</f>
        <v>Fiche E3/3</v>
      </c>
      <c r="MT3" s="228" t="str">
        <f>IF(LZ3="","",LZ3)</f>
        <v/>
      </c>
      <c r="MU3" s="198" t="s">
        <v>9</v>
      </c>
      <c r="MV3" s="199"/>
      <c r="MW3" s="200" t="s">
        <v>10</v>
      </c>
      <c r="MX3" s="201"/>
      <c r="MY3" s="99" t="str">
        <f>IF(ME3="","",ME3)</f>
        <v>Eval E2</v>
      </c>
      <c r="MZ3" s="100" t="str">
        <f>IF(MF3="","",MF3)</f>
        <v>Fiche CH6/1</v>
      </c>
      <c r="NA3" s="228" t="str">
        <f>IF(MG3="","",MG3)</f>
        <v/>
      </c>
      <c r="NB3" s="176" t="s">
        <v>7</v>
      </c>
      <c r="NC3" s="177"/>
      <c r="ND3" s="102" t="str">
        <f>IF(MJ3="","",MJ3)</f>
        <v>Eval CH6</v>
      </c>
      <c r="NE3" s="100" t="str">
        <f>IF(MK3="","",MK3)</f>
        <v/>
      </c>
      <c r="NF3" s="216" t="str">
        <f>IF(ML3="","",ML3)</f>
        <v/>
      </c>
      <c r="NG3" s="228" t="str">
        <f>IF(MM3="","",MM3)</f>
        <v/>
      </c>
      <c r="NH3" s="192" t="s">
        <v>8</v>
      </c>
      <c r="NI3" s="193"/>
      <c r="NJ3" s="102" t="str">
        <f>IF(MP3="","",MP3)</f>
        <v>Fiche CH7/5</v>
      </c>
      <c r="NK3" s="224" t="str">
        <f>IF(MQ3="","",MQ3)</f>
        <v>EC</v>
      </c>
      <c r="NL3" s="224" t="str">
        <f>IF(MR3="","",MR3)</f>
        <v>Fiche CH7/6</v>
      </c>
      <c r="NM3" s="224" t="str">
        <f>IF(MS3="","",MS3)</f>
        <v>Fiche E3/3</v>
      </c>
      <c r="NN3" s="228" t="str">
        <f>IF(MT3="","",MT3)</f>
        <v/>
      </c>
      <c r="NO3" s="198" t="s">
        <v>9</v>
      </c>
      <c r="NP3" s="199"/>
      <c r="NQ3" s="200" t="s">
        <v>10</v>
      </c>
      <c r="NR3" s="201"/>
      <c r="NS3" s="99" t="str">
        <f>IF(MY3="","",MY3)</f>
        <v>Eval E2</v>
      </c>
      <c r="NT3" s="100" t="str">
        <f>IF(MZ3="","",MZ3)</f>
        <v>Fiche CH6/1</v>
      </c>
      <c r="NU3" s="228" t="str">
        <f>IF(NA3="","",NA3)</f>
        <v/>
      </c>
      <c r="NV3" s="176" t="s">
        <v>7</v>
      </c>
      <c r="NW3" s="177"/>
      <c r="NX3" s="102" t="str">
        <f>IF(ND3="","",ND3)</f>
        <v>Eval CH6</v>
      </c>
      <c r="NY3" s="100" t="str">
        <f>IF(NE3="","",NE3)</f>
        <v/>
      </c>
      <c r="NZ3" s="216" t="str">
        <f>IF(NF3="","",NF3)</f>
        <v/>
      </c>
      <c r="OA3" s="228" t="str">
        <f>IF(NG3="","",NG3)</f>
        <v/>
      </c>
      <c r="OB3" s="192" t="s">
        <v>8</v>
      </c>
      <c r="OC3" s="193"/>
      <c r="OD3" s="102" t="str">
        <f>IF(NJ3="","",NJ3)</f>
        <v>Fiche CH7/5</v>
      </c>
      <c r="OE3" s="224" t="str">
        <f>IF(NK3="","",NK3)</f>
        <v>EC</v>
      </c>
      <c r="OF3" s="224" t="str">
        <f>IF(NL3="","",NL3)</f>
        <v>Fiche CH7/6</v>
      </c>
      <c r="OG3" s="224" t="str">
        <f>IF(NM3="","",NM3)</f>
        <v>Fiche E3/3</v>
      </c>
      <c r="OH3" s="228" t="str">
        <f>IF(NN3="","",NN3)</f>
        <v/>
      </c>
      <c r="OI3" s="198" t="s">
        <v>9</v>
      </c>
      <c r="OJ3" s="199"/>
      <c r="OK3" s="200" t="s">
        <v>10</v>
      </c>
      <c r="OL3" s="201"/>
      <c r="OM3" s="99" t="str">
        <f>IF(NS3="","",NS3)</f>
        <v>Eval E2</v>
      </c>
      <c r="ON3" s="100" t="str">
        <f>IF(NT3="","",NT3)</f>
        <v>Fiche CH6/1</v>
      </c>
      <c r="OO3" s="228" t="str">
        <f>IF(NU3="","",NU3)</f>
        <v/>
      </c>
      <c r="OP3" s="176" t="s">
        <v>7</v>
      </c>
      <c r="OQ3" s="177"/>
      <c r="OR3" s="102" t="str">
        <f>IF(NX3="","",NX3)</f>
        <v>Eval CH6</v>
      </c>
      <c r="OS3" s="100" t="str">
        <f>IF(NY3="","",NY3)</f>
        <v/>
      </c>
      <c r="OT3" s="216" t="str">
        <f>IF(NZ3="","",NZ3)</f>
        <v/>
      </c>
      <c r="OU3" s="228" t="str">
        <f>IF(OA3="","",OA3)</f>
        <v/>
      </c>
      <c r="OV3" s="192" t="s">
        <v>8</v>
      </c>
      <c r="OW3" s="193"/>
      <c r="OX3" s="102" t="str">
        <f>IF(OD3="","",OD3)</f>
        <v>Fiche CH7/5</v>
      </c>
      <c r="OY3" s="224" t="str">
        <f>IF(OE3="","",OE3)</f>
        <v>EC</v>
      </c>
      <c r="OZ3" s="224" t="str">
        <f>IF(OF3="","",OF3)</f>
        <v>Fiche CH7/6</v>
      </c>
      <c r="PA3" s="224" t="str">
        <f>IF(OG3="","",OG3)</f>
        <v>Fiche E3/3</v>
      </c>
      <c r="PB3" s="228" t="str">
        <f>IF(OH3="","",OH3)</f>
        <v/>
      </c>
      <c r="PC3" s="198" t="s">
        <v>9</v>
      </c>
      <c r="PD3" s="199"/>
      <c r="PE3" s="200" t="s">
        <v>10</v>
      </c>
      <c r="PF3" s="201"/>
      <c r="PG3" s="99" t="str">
        <f>IF(OM3="","",OM3)</f>
        <v>Eval E2</v>
      </c>
      <c r="PH3" s="100" t="str">
        <f>IF(ON3="","",ON3)</f>
        <v>Fiche CH6/1</v>
      </c>
      <c r="PI3" s="228" t="str">
        <f>IF(OO3="","",OO3)</f>
        <v/>
      </c>
      <c r="PJ3" s="176" t="s">
        <v>7</v>
      </c>
      <c r="PK3" s="177"/>
      <c r="PL3" s="102" t="str">
        <f>IF(OR3="","",OR3)</f>
        <v>Eval CH6</v>
      </c>
      <c r="PM3" s="100" t="str">
        <f>IF(OS3="","",OS3)</f>
        <v/>
      </c>
      <c r="PN3" s="216" t="str">
        <f>IF(OT3="","",OT3)</f>
        <v/>
      </c>
      <c r="PO3" s="228" t="str">
        <f>IF(OU3="","",OU3)</f>
        <v/>
      </c>
      <c r="PP3" s="192" t="s">
        <v>8</v>
      </c>
      <c r="PQ3" s="193"/>
      <c r="PR3" s="102" t="str">
        <f>IF(OX3="","",OX3)</f>
        <v>Fiche CH7/5</v>
      </c>
      <c r="PS3" s="224" t="str">
        <f>IF(OY3="","",OY3)</f>
        <v>EC</v>
      </c>
      <c r="PT3" s="224" t="str">
        <f>IF(OZ3="","",OZ3)</f>
        <v>Fiche CH7/6</v>
      </c>
      <c r="PU3" s="224" t="str">
        <f>IF(PA3="","",PA3)</f>
        <v>Fiche E3/3</v>
      </c>
      <c r="PV3" s="228" t="str">
        <f>IF(PB3="","",PB3)</f>
        <v/>
      </c>
      <c r="PW3" s="198" t="s">
        <v>9</v>
      </c>
      <c r="PX3" s="199"/>
      <c r="PY3" s="200" t="s">
        <v>10</v>
      </c>
      <c r="PZ3" s="201"/>
      <c r="QA3" s="99" t="str">
        <f>IF(PG3="","",PG3)</f>
        <v>Eval E2</v>
      </c>
      <c r="QB3" s="100" t="str">
        <f>IF(PH3="","",PH3)</f>
        <v>Fiche CH6/1</v>
      </c>
      <c r="QC3" s="228" t="str">
        <f>IF(PI3="","",PI3)</f>
        <v/>
      </c>
      <c r="QD3" s="176" t="s">
        <v>7</v>
      </c>
      <c r="QE3" s="177"/>
      <c r="QF3" s="102" t="str">
        <f>IF(PL3="","",PL3)</f>
        <v>Eval CH6</v>
      </c>
      <c r="QG3" s="100" t="str">
        <f>IF(PM3="","",PM3)</f>
        <v/>
      </c>
      <c r="QH3" s="216" t="str">
        <f>IF(PN3="","",PN3)</f>
        <v/>
      </c>
      <c r="QI3" s="228" t="str">
        <f>IF(PO3="","",PO3)</f>
        <v/>
      </c>
      <c r="QJ3" s="192" t="s">
        <v>8</v>
      </c>
      <c r="QK3" s="193"/>
      <c r="QL3" s="102" t="str">
        <f>IF(PR3="","",PR3)</f>
        <v>Fiche CH7/5</v>
      </c>
      <c r="QM3" s="224" t="str">
        <f>IF(PS3="","",PS3)</f>
        <v>EC</v>
      </c>
      <c r="QN3" s="224" t="str">
        <f>IF(PT3="","",PT3)</f>
        <v>Fiche CH7/6</v>
      </c>
      <c r="QO3" s="224" t="str">
        <f>IF(PU3="","",PU3)</f>
        <v>Fiche E3/3</v>
      </c>
      <c r="QP3" s="228" t="str">
        <f>IF(PV3="","",PV3)</f>
        <v/>
      </c>
      <c r="QQ3" s="198" t="s">
        <v>9</v>
      </c>
      <c r="QR3" s="199"/>
      <c r="QS3" s="200" t="s">
        <v>10</v>
      </c>
      <c r="QT3" s="201"/>
      <c r="QU3" s="99" t="str">
        <f>IF(QA3="","",QA3)</f>
        <v>Eval E2</v>
      </c>
      <c r="QV3" s="100" t="str">
        <f>IF(QB3="","",QB3)</f>
        <v>Fiche CH6/1</v>
      </c>
      <c r="QW3" s="228" t="str">
        <f>IF(QC3="","",QC3)</f>
        <v/>
      </c>
      <c r="QX3" s="176" t="s">
        <v>7</v>
      </c>
      <c r="QY3" s="177"/>
      <c r="QZ3" s="102" t="str">
        <f>IF(QF3="","",QF3)</f>
        <v>Eval CH6</v>
      </c>
      <c r="RA3" s="100" t="str">
        <f>IF(QG3="","",QG3)</f>
        <v/>
      </c>
      <c r="RB3" s="216" t="str">
        <f>IF(QH3="","",QH3)</f>
        <v/>
      </c>
      <c r="RC3" s="228" t="str">
        <f>IF(QI3="","",QI3)</f>
        <v/>
      </c>
      <c r="RD3" s="192" t="s">
        <v>8</v>
      </c>
      <c r="RE3" s="193"/>
      <c r="RF3" s="102" t="str">
        <f>IF(QL3="","",QL3)</f>
        <v>Fiche CH7/5</v>
      </c>
      <c r="RG3" s="224" t="str">
        <f>IF(QM3="","",QM3)</f>
        <v>EC</v>
      </c>
      <c r="RH3" s="224" t="str">
        <f>IF(QN3="","",QN3)</f>
        <v>Fiche CH7/6</v>
      </c>
      <c r="RI3" s="224" t="str">
        <f>IF(QO3="","",QO3)</f>
        <v>Fiche E3/3</v>
      </c>
      <c r="RJ3" s="228" t="str">
        <f>IF(QP3="","",QP3)</f>
        <v/>
      </c>
      <c r="RK3" s="198" t="s">
        <v>9</v>
      </c>
      <c r="RL3" s="199"/>
      <c r="RM3" s="200" t="s">
        <v>10</v>
      </c>
      <c r="RN3" s="201"/>
      <c r="RO3" s="99" t="str">
        <f>IF(QU3="","",QU3)</f>
        <v>Eval E2</v>
      </c>
      <c r="RP3" s="100" t="str">
        <f>IF(QV3="","",QV3)</f>
        <v>Fiche CH6/1</v>
      </c>
      <c r="RQ3" s="228" t="str">
        <f>IF(QW3="","",QW3)</f>
        <v/>
      </c>
      <c r="RR3" s="176" t="s">
        <v>7</v>
      </c>
      <c r="RS3" s="177"/>
      <c r="RT3" s="102" t="str">
        <f>IF(QZ3="","",QZ3)</f>
        <v>Eval CH6</v>
      </c>
      <c r="RU3" s="100" t="str">
        <f>IF(RA3="","",RA3)</f>
        <v/>
      </c>
      <c r="RV3" s="216" t="str">
        <f>IF(RB3="","",RB3)</f>
        <v/>
      </c>
      <c r="RW3" s="228" t="str">
        <f>IF(RC3="","",RC3)</f>
        <v/>
      </c>
      <c r="RX3" s="192" t="s">
        <v>8</v>
      </c>
      <c r="RY3" s="193"/>
      <c r="RZ3" s="102" t="str">
        <f>IF(RF3="","",RF3)</f>
        <v>Fiche CH7/5</v>
      </c>
      <c r="SA3" s="224" t="str">
        <f>IF(RG3="","",RG3)</f>
        <v>EC</v>
      </c>
      <c r="SB3" s="224" t="str">
        <f>IF(RH3="","",RH3)</f>
        <v>Fiche CH7/6</v>
      </c>
      <c r="SC3" s="224" t="str">
        <f>IF(RI3="","",RI3)</f>
        <v>Fiche E3/3</v>
      </c>
      <c r="SD3" s="228" t="str">
        <f>IF(RJ3="","",RJ3)</f>
        <v/>
      </c>
      <c r="SE3" s="198" t="s">
        <v>9</v>
      </c>
      <c r="SF3" s="199"/>
      <c r="SG3" s="200" t="s">
        <v>10</v>
      </c>
      <c r="SH3" s="201"/>
      <c r="SI3" s="99" t="str">
        <f>IF(RO3="","",RO3)</f>
        <v>Eval E2</v>
      </c>
      <c r="SJ3" s="100" t="str">
        <f>IF(RP3="","",RP3)</f>
        <v>Fiche CH6/1</v>
      </c>
      <c r="SK3" s="228" t="str">
        <f>IF(RQ3="","",RQ3)</f>
        <v/>
      </c>
      <c r="SL3" s="176" t="s">
        <v>7</v>
      </c>
      <c r="SM3" s="177"/>
      <c r="SN3" s="102" t="str">
        <f>IF(RT3="","",RT3)</f>
        <v>Eval CH6</v>
      </c>
      <c r="SO3" s="100" t="str">
        <f>IF(RU3="","",RU3)</f>
        <v/>
      </c>
      <c r="SP3" s="216" t="str">
        <f>IF(RV3="","",RV3)</f>
        <v/>
      </c>
      <c r="SQ3" s="228" t="str">
        <f>IF(RW3="","",RW3)</f>
        <v/>
      </c>
      <c r="SR3" s="192" t="s">
        <v>8</v>
      </c>
      <c r="SS3" s="193"/>
      <c r="ST3" s="102" t="str">
        <f>IF(RZ3="","",RZ3)</f>
        <v>Fiche CH7/5</v>
      </c>
      <c r="SU3" s="224" t="str">
        <f>IF(SA3="","",SA3)</f>
        <v>EC</v>
      </c>
      <c r="SV3" s="224" t="str">
        <f>IF(SB3="","",SB3)</f>
        <v>Fiche CH7/6</v>
      </c>
      <c r="SW3" s="224" t="str">
        <f>IF(SC3="","",SC3)</f>
        <v>Fiche E3/3</v>
      </c>
      <c r="SX3" s="228" t="str">
        <f>IF(SD3="","",SD3)</f>
        <v/>
      </c>
      <c r="SY3" s="198" t="s">
        <v>9</v>
      </c>
      <c r="SZ3" s="199"/>
      <c r="TA3" s="200" t="s">
        <v>10</v>
      </c>
      <c r="TB3" s="201"/>
      <c r="TC3" s="99" t="str">
        <f>IF(SI3="","",SI3)</f>
        <v>Eval E2</v>
      </c>
      <c r="TD3" s="100" t="str">
        <f>IF(SJ3="","",SJ3)</f>
        <v>Fiche CH6/1</v>
      </c>
      <c r="TE3" s="228" t="str">
        <f>IF(SK3="","",SK3)</f>
        <v/>
      </c>
      <c r="TF3" s="176" t="s">
        <v>7</v>
      </c>
      <c r="TG3" s="177"/>
      <c r="TH3" s="102" t="str">
        <f>IF(SN3="","",SN3)</f>
        <v>Eval CH6</v>
      </c>
      <c r="TI3" s="100" t="str">
        <f>IF(SO3="","",SO3)</f>
        <v/>
      </c>
      <c r="TJ3" s="216" t="str">
        <f>IF(SP3="","",SP3)</f>
        <v/>
      </c>
      <c r="TK3" s="228" t="str">
        <f>IF(SQ3="","",SQ3)</f>
        <v/>
      </c>
      <c r="TL3" s="192" t="s">
        <v>8</v>
      </c>
      <c r="TM3" s="193"/>
      <c r="TN3" s="102" t="str">
        <f>IF(ST3="","",ST3)</f>
        <v>Fiche CH7/5</v>
      </c>
      <c r="TO3" s="224" t="str">
        <f>IF(SU3="","",SU3)</f>
        <v>EC</v>
      </c>
      <c r="TP3" s="224" t="str">
        <f>IF(SV3="","",SV3)</f>
        <v>Fiche CH7/6</v>
      </c>
      <c r="TQ3" s="224" t="str">
        <f>IF(SW3="","",SW3)</f>
        <v>Fiche E3/3</v>
      </c>
      <c r="TR3" s="228" t="str">
        <f>IF(SX3="","",SX3)</f>
        <v/>
      </c>
      <c r="TS3" s="198" t="s">
        <v>9</v>
      </c>
      <c r="TT3" s="199"/>
      <c r="TU3" s="200" t="s">
        <v>10</v>
      </c>
      <c r="TV3" s="201"/>
      <c r="TW3" s="99" t="str">
        <f>IF(TC3="","",TC3)</f>
        <v>Eval E2</v>
      </c>
      <c r="TX3" s="100" t="str">
        <f>IF(TD3="","",TD3)</f>
        <v>Fiche CH6/1</v>
      </c>
      <c r="TY3" s="101" t="str">
        <f>IF(TE3="","",TE3)</f>
        <v/>
      </c>
      <c r="TZ3" s="90" t="s">
        <v>7</v>
      </c>
      <c r="UA3" s="91"/>
      <c r="UB3" s="102" t="str">
        <f>IF(TH3="","",TH3)</f>
        <v>Eval CH6</v>
      </c>
      <c r="UC3" s="100" t="str">
        <f>IF(TI3="","",TI3)</f>
        <v/>
      </c>
      <c r="UD3" s="101" t="str">
        <f>IF(TK3="","",TK3)</f>
        <v/>
      </c>
      <c r="UE3" s="93" t="s">
        <v>8</v>
      </c>
      <c r="UF3" s="94"/>
      <c r="UG3" s="102" t="str">
        <f>IF(TN3="","",TN3)</f>
        <v>Fiche CH7/5</v>
      </c>
      <c r="UH3" s="100" t="e">
        <f>IF(#REF!="","",#REF!)</f>
        <v>#REF!</v>
      </c>
      <c r="UI3" s="101" t="str">
        <f>IF(TR3="","",TR3)</f>
        <v/>
      </c>
      <c r="UJ3" s="95" t="s">
        <v>9</v>
      </c>
      <c r="UK3" s="96"/>
      <c r="UL3" s="97" t="s">
        <v>10</v>
      </c>
      <c r="UM3" s="98"/>
      <c r="UN3" s="99" t="str">
        <f>IF(TW3="","",TW3)</f>
        <v>Eval E2</v>
      </c>
      <c r="UO3" s="100" t="str">
        <f>IF(TX3="","",TX3)</f>
        <v>Fiche CH6/1</v>
      </c>
      <c r="UP3" s="101" t="str">
        <f>IF(TY3="","",TY3)</f>
        <v/>
      </c>
      <c r="UQ3" s="90" t="s">
        <v>7</v>
      </c>
      <c r="UR3" s="91"/>
      <c r="US3" s="102" t="str">
        <f>IF(UB3="","",UB3)</f>
        <v>Eval CH6</v>
      </c>
      <c r="UT3" s="100" t="str">
        <f>IF(UC3="","",UC3)</f>
        <v/>
      </c>
      <c r="UU3" s="101" t="str">
        <f>IF(UD3="","",UD3)</f>
        <v/>
      </c>
      <c r="UV3" s="93" t="s">
        <v>8</v>
      </c>
      <c r="UW3" s="94"/>
      <c r="UX3" s="102" t="str">
        <f>IF(UG3="","",UG3)</f>
        <v>Fiche CH7/5</v>
      </c>
      <c r="UY3" s="100" t="e">
        <f>IF(UH3="","",UH3)</f>
        <v>#REF!</v>
      </c>
      <c r="UZ3" s="101" t="str">
        <f>IF(UI3="","",UI3)</f>
        <v/>
      </c>
      <c r="VA3" s="95" t="s">
        <v>9</v>
      </c>
      <c r="VB3" s="96"/>
      <c r="VC3" s="97" t="s">
        <v>10</v>
      </c>
      <c r="VD3" s="98"/>
      <c r="VE3" s="99" t="str">
        <f>IF(UN3="","",UN3)</f>
        <v>Eval E2</v>
      </c>
      <c r="VF3" s="100" t="str">
        <f>IF(UO3="","",UO3)</f>
        <v>Fiche CH6/1</v>
      </c>
      <c r="VG3" s="101" t="str">
        <f>IF(UP3="","",UP3)</f>
        <v/>
      </c>
      <c r="VH3" s="90" t="s">
        <v>7</v>
      </c>
      <c r="VI3" s="91"/>
      <c r="VJ3" s="102" t="str">
        <f>IF(US3="","",US3)</f>
        <v>Eval CH6</v>
      </c>
      <c r="VK3" s="100" t="str">
        <f>IF(UT3="","",UT3)</f>
        <v/>
      </c>
      <c r="VL3" s="101" t="str">
        <f>IF(UU3="","",UU3)</f>
        <v/>
      </c>
      <c r="VM3" s="93" t="s">
        <v>8</v>
      </c>
      <c r="VN3" s="94"/>
      <c r="VO3" s="102" t="str">
        <f>IF(UX3="","",UX3)</f>
        <v>Fiche CH7/5</v>
      </c>
      <c r="VP3" s="100" t="e">
        <f>IF(UY3="","",UY3)</f>
        <v>#REF!</v>
      </c>
      <c r="VQ3" s="101" t="str">
        <f>IF(UZ3="","",UZ3)</f>
        <v/>
      </c>
      <c r="VR3" s="95" t="s">
        <v>9</v>
      </c>
      <c r="VS3" s="96"/>
      <c r="VT3" s="97" t="s">
        <v>10</v>
      </c>
      <c r="VU3" s="98"/>
    </row>
    <row r="4" spans="1:593" s="115" customFormat="1" ht="30" customHeight="1" thickBot="1" x14ac:dyDescent="0.6">
      <c r="A4" s="164" t="s">
        <v>11</v>
      </c>
      <c r="B4" s="103">
        <v>2</v>
      </c>
      <c r="C4" s="226"/>
      <c r="D4" s="85"/>
      <c r="E4" s="105"/>
      <c r="F4" s="178">
        <f>IF(COUNT(F5:F9)=0,"",SUM(F5:F9)/COUNT(F5:F9))</f>
        <v>1.3333333333333333</v>
      </c>
      <c r="G4" s="179" t="str">
        <f t="shared" ref="G4:G21" si="0">IF(F4="","",IF(F4&gt;3.7,"A",IF(F4&gt;2.8,"B",IF(F4&gt;1.5,"C",IF(F4&gt;0,"D",IF(F4=0,""))))))</f>
        <v>D</v>
      </c>
      <c r="H4" s="226"/>
      <c r="I4" s="85"/>
      <c r="J4" s="85"/>
      <c r="K4" s="105"/>
      <c r="L4" s="178">
        <f>IF(COUNT(L5:L9)=0,"",SUM(L5:L9)/COUNT(L5:L9))</f>
        <v>4</v>
      </c>
      <c r="M4" s="194" t="str">
        <f t="shared" ref="M4:M21" si="1">IF(L4="","",IF(L4&gt;3.7,"A",IF(L4&gt;2.8,"B",IF(L4&gt;1.5,"C",IF(L4&gt;0,"D",IF(L4=0,""))))))</f>
        <v>A</v>
      </c>
      <c r="N4" s="172"/>
      <c r="O4" s="110"/>
      <c r="P4" s="110"/>
      <c r="Q4" s="110"/>
      <c r="R4" s="111"/>
      <c r="S4" s="178">
        <f>IF(COUNT(S5:S9)=0,"",SUM(S5:S9)/COUNT(S5:S9))</f>
        <v>1.4444444444444444</v>
      </c>
      <c r="T4" s="202" t="str">
        <f t="shared" ref="T4:T21" si="2">IF(S4="","",IF(S4&gt;3.7,"A",IF(S4&gt;2.8,"B",IF(S4&gt;1.5,"C",IF(S4&gt;0,"D",IF(S4=0,""))))))</f>
        <v>D</v>
      </c>
      <c r="U4" s="203">
        <f>IF(COUNT(U5:U9)=0,"",SUM(U5:U9)/COUNT(U5:U9))</f>
        <v>2.0416666666666665</v>
      </c>
      <c r="V4" s="204" t="str">
        <f t="shared" ref="V4:V21" si="3">IF(U4="","",IF(U4&gt;3.7,"A",IF(U4&gt;2.8,"B",IF(U4&gt;1.5,"C",IF(U4&gt;0,"D",IF(U4=0,""))))))</f>
        <v>C</v>
      </c>
      <c r="W4" s="226"/>
      <c r="X4" s="85"/>
      <c r="Y4" s="105"/>
      <c r="Z4" s="178">
        <f>IF(COUNT(Z5:Z9)=0,"",SUM(Z5:Z9)/COUNT(Z5:Z9))</f>
        <v>1.6666666666666667</v>
      </c>
      <c r="AA4" s="179" t="str">
        <f t="shared" ref="AA4:AA21" si="4">IF(Z4="","",IF(Z4&gt;3.7,"A",IF(Z4&gt;2.8,"B",IF(Z4&gt;1.5,"C",IF(Z4&gt;0,"D",IF(Z4=0,""))))))</f>
        <v>C</v>
      </c>
      <c r="AB4" s="226"/>
      <c r="AC4" s="85"/>
      <c r="AD4" s="85"/>
      <c r="AE4" s="105"/>
      <c r="AF4" s="178">
        <f>IF(COUNT(AF5:AF9)=0,"",SUM(AF5:AF9)/COUNT(AF5:AF9))</f>
        <v>3</v>
      </c>
      <c r="AG4" s="194" t="str">
        <f t="shared" ref="AG4:AG21" si="5">IF(AF4="","",IF(AF4&gt;3.7,"A",IF(AF4&gt;2.8,"B",IF(AF4&gt;1.5,"C",IF(AF4&gt;0,"D",IF(AF4=0,""))))))</f>
        <v>B</v>
      </c>
      <c r="AH4" s="172"/>
      <c r="AI4" s="110"/>
      <c r="AJ4" s="110"/>
      <c r="AK4" s="110"/>
      <c r="AL4" s="111"/>
      <c r="AM4" s="178">
        <f>IF(COUNT(AM5:AM9)=0,"",SUM(AM5:AM9)/COUNT(AM5:AM9))</f>
        <v>2.6666666666666665</v>
      </c>
      <c r="AN4" s="202" t="str">
        <f t="shared" ref="AN4:AN21" si="6">IF(AM4="","",IF(AM4&gt;3.7,"A",IF(AM4&gt;2.8,"B",IF(AM4&gt;1.5,"C",IF(AM4&gt;0,"D",IF(AM4=0,""))))))</f>
        <v>C</v>
      </c>
      <c r="AO4" s="203">
        <f>IF(COUNT(AO5:AO9)=0,"",SUM(AO5:AO9)/COUNT(AO5:AO9))</f>
        <v>2.375</v>
      </c>
      <c r="AP4" s="204" t="str">
        <f t="shared" ref="AP4:AP21" si="7">IF(AO4="","",IF(AO4&gt;3.7,"A",IF(AO4&gt;2.8,"B",IF(AO4&gt;1.5,"C",IF(AO4&gt;0,"D",IF(AO4=0,""))))))</f>
        <v>C</v>
      </c>
      <c r="AQ4" s="226"/>
      <c r="AR4" s="85"/>
      <c r="AS4" s="105"/>
      <c r="AT4" s="178">
        <f>IF(COUNT(AT5:AT9)=0,"",SUM(AT5:AT9)/COUNT(AT5:AT9))</f>
        <v>2.3333333333333335</v>
      </c>
      <c r="AU4" s="179" t="str">
        <f t="shared" ref="AU4:AU21" si="8">IF(AT4="","",IF(AT4&gt;3.7,"A",IF(AT4&gt;2.8,"B",IF(AT4&gt;1.5,"C",IF(AT4&gt;0,"D",IF(AT4=0,""))))))</f>
        <v>C</v>
      </c>
      <c r="AV4" s="226"/>
      <c r="AW4" s="85"/>
      <c r="AX4" s="85"/>
      <c r="AY4" s="105"/>
      <c r="AZ4" s="178">
        <f>IF(COUNT(AZ5:AZ9)=0,"",SUM(AZ5:AZ9)/COUNT(AZ5:AZ9))</f>
        <v>2.5</v>
      </c>
      <c r="BA4" s="194" t="str">
        <f t="shared" ref="BA4:BA21" si="9">IF(AZ4="","",IF(AZ4&gt;3.7,"A",IF(AZ4&gt;2.8,"B",IF(AZ4&gt;1.5,"C",IF(AZ4&gt;0,"D",IF(AZ4=0,""))))))</f>
        <v>C</v>
      </c>
      <c r="BB4" s="172"/>
      <c r="BC4" s="110"/>
      <c r="BD4" s="110"/>
      <c r="BE4" s="110"/>
      <c r="BF4" s="111"/>
      <c r="BG4" s="178">
        <f>IF(COUNT(BG5:BG9)=0,"",SUM(BG5:BG9)/COUNT(BG5:BG9))</f>
        <v>2</v>
      </c>
      <c r="BH4" s="202" t="str">
        <f t="shared" ref="BH4:BH21" si="10">IF(BG4="","",IF(BG4&gt;3.7,"A",IF(BG4&gt;2.8,"B",IF(BG4&gt;1.5,"C",IF(BG4&gt;0,"D",IF(BG4=0,""))))))</f>
        <v>C</v>
      </c>
      <c r="BI4" s="203">
        <f>IF(COUNT(BI5:BI9)=0,"",SUM(BI5:BI9)/COUNT(BI5:BI9))</f>
        <v>2.375</v>
      </c>
      <c r="BJ4" s="204" t="str">
        <f t="shared" ref="BJ4:BJ21" si="11">IF(BI4="","",IF(BI4&gt;3.7,"A",IF(BI4&gt;2.8,"B",IF(BI4&gt;1.5,"C",IF(BI4&gt;0,"D",IF(BI4=0,""))))))</f>
        <v>C</v>
      </c>
      <c r="BK4" s="226"/>
      <c r="BL4" s="85"/>
      <c r="BM4" s="105"/>
      <c r="BN4" s="178">
        <f>IF(COUNT(BN5:BN9)=0,"",SUM(BN5:BN9)/COUNT(BN5:BN9))</f>
        <v>2.3333333333333335</v>
      </c>
      <c r="BO4" s="179" t="str">
        <f t="shared" ref="BO4:BO21" si="12">IF(BN4="","",IF(BN4&gt;3.7,"A",IF(BN4&gt;2.8,"B",IF(BN4&gt;1.5,"C",IF(BN4&gt;0,"D",IF(BN4=0,""))))))</f>
        <v>C</v>
      </c>
      <c r="BP4" s="226"/>
      <c r="BQ4" s="85"/>
      <c r="BR4" s="85"/>
      <c r="BS4" s="105"/>
      <c r="BT4" s="178">
        <f>IF(COUNT(BT5:BT9)=0,"",SUM(BT5:BT9)/COUNT(BT5:BT9))</f>
        <v>3.5</v>
      </c>
      <c r="BU4" s="194" t="str">
        <f t="shared" ref="BU4:BU21" si="13">IF(BT4="","",IF(BT4&gt;3.7,"A",IF(BT4&gt;2.8,"B",IF(BT4&gt;1.5,"C",IF(BT4&gt;0,"D",IF(BT4=0,""))))))</f>
        <v>B</v>
      </c>
      <c r="BV4" s="172"/>
      <c r="BW4" s="110"/>
      <c r="BX4" s="110"/>
      <c r="BY4" s="110"/>
      <c r="BZ4" s="111"/>
      <c r="CA4" s="178">
        <f>IF(COUNT(CA5:CA9)=0,"",SUM(CA5:CA9)/COUNT(CA5:CA9))</f>
        <v>1.8888888888888886</v>
      </c>
      <c r="CB4" s="202" t="str">
        <f t="shared" ref="CB4:CB21" si="14">IF(CA4="","",IF(CA4&gt;3.7,"A",IF(CA4&gt;2.8,"B",IF(CA4&gt;1.5,"C",IF(CA4&gt;0,"D",IF(CA4=0,""))))))</f>
        <v>C</v>
      </c>
      <c r="CC4" s="203">
        <f>IF(COUNT(CC5:CC9)=0,"",SUM(CC5:CC9)/COUNT(CC5:CC9))</f>
        <v>2.458333333333333</v>
      </c>
      <c r="CD4" s="204" t="str">
        <f t="shared" ref="CD4:CD21" si="15">IF(CC4="","",IF(CC4&gt;3.7,"A",IF(CC4&gt;2.8,"B",IF(CC4&gt;1.5,"C",IF(CC4&gt;0,"D",IF(CC4=0,""))))))</f>
        <v>C</v>
      </c>
      <c r="CE4" s="226"/>
      <c r="CF4" s="85"/>
      <c r="CG4" s="105"/>
      <c r="CH4" s="178">
        <f>IF(COUNT(CH5:CH9)=0,"",SUM(CH5:CH9)/COUNT(CH5:CH9))</f>
        <v>2.6666666666666665</v>
      </c>
      <c r="CI4" s="179" t="str">
        <f t="shared" ref="CI4:CI21" si="16">IF(CH4="","",IF(CH4&gt;3.7,"A",IF(CH4&gt;2.8,"B",IF(CH4&gt;1.5,"C",IF(CH4&gt;0,"D",IF(CH4=0,""))))))</f>
        <v>C</v>
      </c>
      <c r="CJ4" s="226"/>
      <c r="CK4" s="85"/>
      <c r="CL4" s="85"/>
      <c r="CM4" s="105"/>
      <c r="CN4" s="178">
        <f>IF(COUNT(CN5:CN9)=0,"",SUM(CN5:CN9)/COUNT(CN5:CN9))</f>
        <v>4</v>
      </c>
      <c r="CO4" s="194" t="str">
        <f t="shared" ref="CO4:CO21" si="17">IF(CN4="","",IF(CN4&gt;3.7,"A",IF(CN4&gt;2.8,"B",IF(CN4&gt;1.5,"C",IF(CN4&gt;0,"D",IF(CN4=0,""))))))</f>
        <v>A</v>
      </c>
      <c r="CP4" s="172"/>
      <c r="CQ4" s="110"/>
      <c r="CR4" s="110"/>
      <c r="CS4" s="110"/>
      <c r="CT4" s="111"/>
      <c r="CU4" s="178">
        <f>IF(COUNT(CU5:CU9)=0,"",SUM(CU5:CU9)/COUNT(CU5:CU9))</f>
        <v>3.2222222222222219</v>
      </c>
      <c r="CV4" s="202" t="str">
        <f t="shared" ref="CV4:CV21" si="18">IF(CU4="","",IF(CU4&gt;3.7,"A",IF(CU4&gt;2.8,"B",IF(CU4&gt;1.5,"C",IF(CU4&gt;0,"D",IF(CU4=0,""))))))</f>
        <v>B</v>
      </c>
      <c r="CW4" s="203">
        <f>IF(COUNT(CW5:CW9)=0,"",SUM(CW5:CW9)/COUNT(CW5:CW9))</f>
        <v>3.208333333333333</v>
      </c>
      <c r="CX4" s="204" t="str">
        <f t="shared" ref="CX4:CX21" si="19">IF(CW4="","",IF(CW4&gt;3.7,"A",IF(CW4&gt;2.8,"B",IF(CW4&gt;1.5,"C",IF(CW4&gt;0,"D",IF(CW4=0,""))))))</f>
        <v>B</v>
      </c>
      <c r="CY4" s="226"/>
      <c r="CZ4" s="85"/>
      <c r="DA4" s="105"/>
      <c r="DB4" s="178">
        <f>IF(COUNT(DB5:DB9)=0,"",SUM(DB5:DB9)/COUNT(DB5:DB9))</f>
        <v>2.6666666666666665</v>
      </c>
      <c r="DC4" s="179" t="str">
        <f t="shared" ref="DC4:DC21" si="20">IF(DB4="","",IF(DB4&gt;3.7,"A",IF(DB4&gt;2.8,"B",IF(DB4&gt;1.5,"C",IF(DB4&gt;0,"D",IF(DB4=0,""))))))</f>
        <v>C</v>
      </c>
      <c r="DD4" s="226"/>
      <c r="DE4" s="85"/>
      <c r="DF4" s="85"/>
      <c r="DG4" s="105"/>
      <c r="DH4" s="178">
        <f>IF(COUNT(DH5:DH9)=0,"",SUM(DH5:DH9)/COUNT(DH5:DH9))</f>
        <v>2.5</v>
      </c>
      <c r="DI4" s="194" t="str">
        <f t="shared" ref="DI4:DI21" si="21">IF(DH4="","",IF(DH4&gt;3.7,"A",IF(DH4&gt;2.8,"B",IF(DH4&gt;1.5,"C",IF(DH4&gt;0,"D",IF(DH4=0,""))))))</f>
        <v>C</v>
      </c>
      <c r="DJ4" s="172"/>
      <c r="DK4" s="110"/>
      <c r="DL4" s="110"/>
      <c r="DM4" s="110"/>
      <c r="DN4" s="111"/>
      <c r="DO4" s="178">
        <f>IF(COUNT(DO5:DO9)=0,"",SUM(DO5:DO9)/COUNT(DO5:DO9))</f>
        <v>1.6666666666666667</v>
      </c>
      <c r="DP4" s="202" t="str">
        <f t="shared" ref="DP4:DP21" si="22">IF(DO4="","",IF(DO4&gt;3.7,"A",IF(DO4&gt;2.8,"B",IF(DO4&gt;1.5,"C",IF(DO4&gt;0,"D",IF(DO4=0,""))))))</f>
        <v>C</v>
      </c>
      <c r="DQ4" s="203">
        <f>IF(COUNT(DQ5:DQ9)=0,"",SUM(DQ5:DQ9)/COUNT(DQ5:DQ9))</f>
        <v>2.25</v>
      </c>
      <c r="DR4" s="204" t="str">
        <f t="shared" ref="DR4:DR21" si="23">IF(DQ4="","",IF(DQ4&gt;3.7,"A",IF(DQ4&gt;2.8,"B",IF(DQ4&gt;1.5,"C",IF(DQ4&gt;0,"D",IF(DQ4=0,""))))))</f>
        <v>C</v>
      </c>
      <c r="DS4" s="226"/>
      <c r="DT4" s="85"/>
      <c r="DU4" s="105"/>
      <c r="DV4" s="178">
        <f>IF(COUNT(DV5:DV9)=0,"",SUM(DV5:DV9)/COUNT(DV5:DV9))</f>
        <v>1.6666666666666667</v>
      </c>
      <c r="DW4" s="179" t="str">
        <f t="shared" ref="DW4:DW21" si="24">IF(DV4="","",IF(DV4&gt;3.7,"A",IF(DV4&gt;2.8,"B",IF(DV4&gt;1.5,"C",IF(DV4&gt;0,"D",IF(DV4=0,""))))))</f>
        <v>C</v>
      </c>
      <c r="DX4" s="226"/>
      <c r="DY4" s="85"/>
      <c r="DZ4" s="85"/>
      <c r="EA4" s="105"/>
      <c r="EB4" s="178">
        <f>IF(COUNT(EB5:EB9)=0,"",SUM(EB5:EB9)/COUNT(EB5:EB9))</f>
        <v>3.5</v>
      </c>
      <c r="EC4" s="194" t="str">
        <f t="shared" ref="EC4:EC21" si="25">IF(EB4="","",IF(EB4&gt;3.7,"A",IF(EB4&gt;2.8,"B",IF(EB4&gt;1.5,"C",IF(EB4&gt;0,"D",IF(EB4=0,""))))))</f>
        <v>B</v>
      </c>
      <c r="ED4" s="172"/>
      <c r="EE4" s="110"/>
      <c r="EF4" s="110"/>
      <c r="EG4" s="110"/>
      <c r="EH4" s="111"/>
      <c r="EI4" s="178">
        <f>IF(COUNT(EI5:EI9)=0,"",SUM(EI5:EI9)/COUNT(EI5:EI9))</f>
        <v>2.6666666666666665</v>
      </c>
      <c r="EJ4" s="202" t="str">
        <f t="shared" ref="EJ4:EJ21" si="26">IF(EI4="","",IF(EI4&gt;3.7,"A",IF(EI4&gt;2.8,"B",IF(EI4&gt;1.5,"C",IF(EI4&gt;0,"D",IF(EI4=0,""))))))</f>
        <v>C</v>
      </c>
      <c r="EK4" s="203">
        <f>IF(COUNT(EK5:EK9)=0,"",SUM(EK5:EK9)/COUNT(EK5:EK9))</f>
        <v>2.5</v>
      </c>
      <c r="EL4" s="204" t="str">
        <f t="shared" ref="EL4:EL21" si="27">IF(EK4="","",IF(EK4&gt;3.7,"A",IF(EK4&gt;2.8,"B",IF(EK4&gt;1.5,"C",IF(EK4&gt;0,"D",IF(EK4=0,""))))))</f>
        <v>C</v>
      </c>
      <c r="EM4" s="226"/>
      <c r="EN4" s="85"/>
      <c r="EO4" s="105"/>
      <c r="EP4" s="178">
        <f>IF(COUNT(EP5:EP9)=0,"",SUM(EP5:EP9)/COUNT(EP5:EP9))</f>
        <v>3</v>
      </c>
      <c r="EQ4" s="179" t="str">
        <f t="shared" ref="EQ4:EQ21" si="28">IF(EP4="","",IF(EP4&gt;3.7,"A",IF(EP4&gt;2.8,"B",IF(EP4&gt;1.5,"C",IF(EP4&gt;0,"D",IF(EP4=0,""))))))</f>
        <v>B</v>
      </c>
      <c r="ER4" s="226"/>
      <c r="ES4" s="85"/>
      <c r="ET4" s="85"/>
      <c r="EU4" s="105"/>
      <c r="EV4" s="178">
        <f>IF(COUNT(EV5:EV9)=0,"",SUM(EV5:EV9)/COUNT(EV5:EV9))</f>
        <v>3.5</v>
      </c>
      <c r="EW4" s="194" t="str">
        <f t="shared" ref="EW4:EW21" si="29">IF(EV4="","",IF(EV4&gt;3.7,"A",IF(EV4&gt;2.8,"B",IF(EV4&gt;1.5,"C",IF(EV4&gt;0,"D",IF(EV4=0,""))))))</f>
        <v>B</v>
      </c>
      <c r="EX4" s="172"/>
      <c r="EY4" s="110"/>
      <c r="EZ4" s="110"/>
      <c r="FA4" s="110"/>
      <c r="FB4" s="111"/>
      <c r="FC4" s="178">
        <f>IF(COUNT(FC5:FC9)=0,"",SUM(FC5:FC9)/COUNT(FC5:FC9))</f>
        <v>3.2222222222222219</v>
      </c>
      <c r="FD4" s="202" t="str">
        <f t="shared" ref="FD4:FD21" si="30">IF(FC4="","",IF(FC4&gt;3.7,"A",IF(FC4&gt;2.8,"B",IF(FC4&gt;1.5,"C",IF(FC4&gt;0,"D",IF(FC4=0,""))))))</f>
        <v>B</v>
      </c>
      <c r="FE4" s="203">
        <f>IF(COUNT(FE5:FE9)=0,"",SUM(FE5:FE9)/COUNT(FE5:FE9))</f>
        <v>3.208333333333333</v>
      </c>
      <c r="FF4" s="204" t="str">
        <f t="shared" ref="FF4:FF21" si="31">IF(FE4="","",IF(FE4&gt;3.7,"A",IF(FE4&gt;2.8,"B",IF(FE4&gt;1.5,"C",IF(FE4&gt;0,"D",IF(FE4=0,""))))))</f>
        <v>B</v>
      </c>
      <c r="FG4" s="226"/>
      <c r="FH4" s="85"/>
      <c r="FI4" s="105"/>
      <c r="FJ4" s="178">
        <f>IF(COUNT(FJ5:FJ9)=0,"",SUM(FJ5:FJ9)/COUNT(FJ5:FJ9))</f>
        <v>2.3333333333333335</v>
      </c>
      <c r="FK4" s="179" t="str">
        <f t="shared" ref="FK4:FK21" si="32">IF(FJ4="","",IF(FJ4&gt;3.7,"A",IF(FJ4&gt;2.8,"B",IF(FJ4&gt;1.5,"C",IF(FJ4&gt;0,"D",IF(FJ4=0,""))))))</f>
        <v>C</v>
      </c>
      <c r="FL4" s="226"/>
      <c r="FM4" s="85"/>
      <c r="FN4" s="85"/>
      <c r="FO4" s="105"/>
      <c r="FP4" s="178">
        <f>IF(COUNT(FP5:FP9)=0,"",SUM(FP5:FP9)/COUNT(FP5:FP9))</f>
        <v>4</v>
      </c>
      <c r="FQ4" s="194" t="str">
        <f t="shared" ref="FQ4:FQ21" si="33">IF(FP4="","",IF(FP4&gt;3.7,"A",IF(FP4&gt;2.8,"B",IF(FP4&gt;1.5,"C",IF(FP4&gt;0,"D",IF(FP4=0,""))))))</f>
        <v>A</v>
      </c>
      <c r="FR4" s="172"/>
      <c r="FS4" s="110"/>
      <c r="FT4" s="110"/>
      <c r="FU4" s="110"/>
      <c r="FV4" s="111"/>
      <c r="FW4" s="178">
        <f>IF(COUNT(FW5:FW9)=0,"",SUM(FW5:FW9)/COUNT(FW5:FW9))</f>
        <v>2.6666666666666665</v>
      </c>
      <c r="FX4" s="202" t="str">
        <f t="shared" ref="FX4:FX21" si="34">IF(FW4="","",IF(FW4&gt;3.7,"A",IF(FW4&gt;2.8,"B",IF(FW4&gt;1.5,"C",IF(FW4&gt;0,"D",IF(FW4=0,""))))))</f>
        <v>C</v>
      </c>
      <c r="FY4" s="203">
        <f>IF(COUNT(FY5:FY9)=0,"",SUM(FY5:FY9)/COUNT(FY5:FY9))</f>
        <v>2.875</v>
      </c>
      <c r="FZ4" s="204" t="str">
        <f t="shared" ref="FZ4:FZ21" si="35">IF(FY4="","",IF(FY4&gt;3.7,"A",IF(FY4&gt;2.8,"B",IF(FY4&gt;1.5,"C",IF(FY4&gt;0,"D",IF(FY4=0,""))))))</f>
        <v>B</v>
      </c>
      <c r="GA4" s="226"/>
      <c r="GB4" s="85"/>
      <c r="GC4" s="105"/>
      <c r="GD4" s="178">
        <f>IF(COUNT(GD5:GD9)=0,"",SUM(GD5:GD9)/COUNT(GD5:GD9))</f>
        <v>2.6666666666666665</v>
      </c>
      <c r="GE4" s="179" t="str">
        <f t="shared" ref="GE4:GE21" si="36">IF(GD4="","",IF(GD4&gt;3.7,"A",IF(GD4&gt;2.8,"B",IF(GD4&gt;1.5,"C",IF(GD4&gt;0,"D",IF(GD4=0,""))))))</f>
        <v>C</v>
      </c>
      <c r="GF4" s="226"/>
      <c r="GG4" s="85"/>
      <c r="GH4" s="85"/>
      <c r="GI4" s="105"/>
      <c r="GJ4" s="178" t="str">
        <f>IF(COUNT(GJ5:GJ9)=0,"",SUM(GJ5:GJ9)/COUNT(GJ5:GJ9))</f>
        <v/>
      </c>
      <c r="GK4" s="194" t="str">
        <f t="shared" ref="GK4:GK21" si="37">IF(GJ4="","",IF(GJ4&gt;3.7,"A",IF(GJ4&gt;2.8,"B",IF(GJ4&gt;1.5,"C",IF(GJ4&gt;0,"D",IF(GJ4=0,""))))))</f>
        <v/>
      </c>
      <c r="GL4" s="172"/>
      <c r="GM4" s="110"/>
      <c r="GN4" s="110"/>
      <c r="GO4" s="110"/>
      <c r="GP4" s="111"/>
      <c r="GQ4" s="178">
        <f>IF(COUNT(GQ5:GQ9)=0,"",SUM(GQ5:GQ9)/COUNT(GQ5:GQ9))</f>
        <v>2.5555555555555554</v>
      </c>
      <c r="GR4" s="202" t="str">
        <f t="shared" ref="GR4:GR21" si="38">IF(GQ4="","",IF(GQ4&gt;3.7,"A",IF(GQ4&gt;2.8,"B",IF(GQ4&gt;1.5,"C",IF(GQ4&gt;0,"D",IF(GQ4=0,""))))))</f>
        <v>C</v>
      </c>
      <c r="GS4" s="203">
        <f>IF(COUNT(GS5:GS9)=0,"",SUM(GS5:GS9)/COUNT(GS5:GS9))</f>
        <v>2.375</v>
      </c>
      <c r="GT4" s="204" t="str">
        <f t="shared" ref="GT4:GT21" si="39">IF(GS4="","",IF(GS4&gt;3.7,"A",IF(GS4&gt;2.8,"B",IF(GS4&gt;1.5,"C",IF(GS4&gt;0,"D",IF(GS4=0,""))))))</f>
        <v>C</v>
      </c>
      <c r="GU4" s="226"/>
      <c r="GV4" s="85"/>
      <c r="GW4" s="105"/>
      <c r="GX4" s="178">
        <f>IF(COUNT(GX5:GX9)=0,"",SUM(GX5:GX9)/COUNT(GX5:GX9))</f>
        <v>1.6666666666666667</v>
      </c>
      <c r="GY4" s="179" t="str">
        <f t="shared" ref="GY4:GY21" si="40">IF(GX4="","",IF(GX4&gt;3.7,"A",IF(GX4&gt;2.8,"B",IF(GX4&gt;1.5,"C",IF(GX4&gt;0,"D",IF(GX4=0,""))))))</f>
        <v>C</v>
      </c>
      <c r="GZ4" s="226"/>
      <c r="HA4" s="85"/>
      <c r="HB4" s="85"/>
      <c r="HC4" s="105"/>
      <c r="HD4" s="178">
        <f>IF(COUNT(HD5:HD9)=0,"",SUM(HD5:HD9)/COUNT(HD5:HD9))</f>
        <v>4</v>
      </c>
      <c r="HE4" s="194" t="str">
        <f t="shared" ref="HE4:HE21" si="41">IF(HD4="","",IF(HD4&gt;3.7,"A",IF(HD4&gt;2.8,"B",IF(HD4&gt;1.5,"C",IF(HD4&gt;0,"D",IF(HD4=0,""))))))</f>
        <v>A</v>
      </c>
      <c r="HF4" s="172"/>
      <c r="HG4" s="110"/>
      <c r="HH4" s="110"/>
      <c r="HI4" s="110"/>
      <c r="HJ4" s="111"/>
      <c r="HK4" s="178">
        <f>IF(COUNT(HK5:HK9)=0,"",SUM(HK5:HK9)/COUNT(HK5:HK9))</f>
        <v>2.4444444444444442</v>
      </c>
      <c r="HL4" s="202" t="str">
        <f t="shared" ref="HL4:HL21" si="42">IF(HK4="","",IF(HK4&gt;3.7,"A",IF(HK4&gt;2.8,"B",IF(HK4&gt;1.5,"C",IF(HK4&gt;0,"D",IF(HK4=0,""))))))</f>
        <v>C</v>
      </c>
      <c r="HM4" s="203">
        <f>IF(COUNT(HM5:HM9)=0,"",SUM(HM5:HM9)/COUNT(HM5:HM9))</f>
        <v>2.5416666666666665</v>
      </c>
      <c r="HN4" s="204" t="str">
        <f t="shared" ref="HN4:HN21" si="43">IF(HM4="","",IF(HM4&gt;3.7,"A",IF(HM4&gt;2.8,"B",IF(HM4&gt;1.5,"C",IF(HM4&gt;0,"D",IF(HM4=0,""))))))</f>
        <v>C</v>
      </c>
      <c r="HO4" s="226"/>
      <c r="HP4" s="85"/>
      <c r="HQ4" s="105"/>
      <c r="HR4" s="178">
        <f>IF(COUNT(HR5:HR9)=0,"",SUM(HR5:HR9)/COUNT(HR5:HR9))</f>
        <v>2</v>
      </c>
      <c r="HS4" s="179" t="str">
        <f t="shared" ref="HS4:HS21" si="44">IF(HR4="","",IF(HR4&gt;3.7,"A",IF(HR4&gt;2.8,"B",IF(HR4&gt;1.5,"C",IF(HR4&gt;0,"D",IF(HR4=0,""))))))</f>
        <v>C</v>
      </c>
      <c r="HT4" s="226"/>
      <c r="HU4" s="85"/>
      <c r="HV4" s="85"/>
      <c r="HW4" s="105"/>
      <c r="HX4" s="178">
        <f>IF(COUNT(HX5:HX9)=0,"",SUM(HX5:HX9)/COUNT(HX5:HX9))</f>
        <v>3.5</v>
      </c>
      <c r="HY4" s="194" t="str">
        <f t="shared" ref="HY4:HY21" si="45">IF(HX4="","",IF(HX4&gt;3.7,"A",IF(HX4&gt;2.8,"B",IF(HX4&gt;1.5,"C",IF(HX4&gt;0,"D",IF(HX4=0,""))))))</f>
        <v>B</v>
      </c>
      <c r="HZ4" s="172"/>
      <c r="IA4" s="110"/>
      <c r="IB4" s="110"/>
      <c r="IC4" s="110"/>
      <c r="ID4" s="111"/>
      <c r="IE4" s="178">
        <f>IF(COUNT(IE5:IE9)=0,"",SUM(IE5:IE9)/COUNT(IE5:IE9))</f>
        <v>2.8888888888888888</v>
      </c>
      <c r="IF4" s="202" t="str">
        <f t="shared" ref="IF4:IF21" si="46">IF(IE4="","",IF(IE4&gt;3.7,"A",IF(IE4&gt;2.8,"B",IF(IE4&gt;1.5,"C",IF(IE4&gt;0,"D",IF(IE4=0,""))))))</f>
        <v>B</v>
      </c>
      <c r="IG4" s="203">
        <f>IF(COUNT(IG5:IG9)=0,"",SUM(IG5:IG9)/COUNT(IG5:IG9))</f>
        <v>2.708333333333333</v>
      </c>
      <c r="IH4" s="204" t="str">
        <f t="shared" ref="IH4:IH21" si="47">IF(IG4="","",IF(IG4&gt;3.7,"A",IF(IG4&gt;2.8,"B",IF(IG4&gt;1.5,"C",IF(IG4&gt;0,"D",IF(IG4=0,""))))))</f>
        <v>C</v>
      </c>
      <c r="II4" s="226"/>
      <c r="IJ4" s="85"/>
      <c r="IK4" s="105"/>
      <c r="IL4" s="178">
        <f>IF(COUNT(IL5:IL9)=0,"",SUM(IL5:IL9)/COUNT(IL5:IL9))</f>
        <v>1.6666666666666667</v>
      </c>
      <c r="IM4" s="179" t="str">
        <f t="shared" ref="IM4:IM21" si="48">IF(IL4="","",IF(IL4&gt;3.7,"A",IF(IL4&gt;2.8,"B",IF(IL4&gt;1.5,"C",IF(IL4&gt;0,"D",IF(IL4=0,""))))))</f>
        <v>C</v>
      </c>
      <c r="IN4" s="226"/>
      <c r="IO4" s="85"/>
      <c r="IP4" s="85"/>
      <c r="IQ4" s="105"/>
      <c r="IR4" s="178" t="str">
        <f>IF(COUNT(IR5:IR9)=0,"",SUM(IR5:IR9)/COUNT(IR5:IR9))</f>
        <v/>
      </c>
      <c r="IS4" s="194" t="str">
        <f t="shared" ref="IS4:IS21" si="49">IF(IR4="","",IF(IR4&gt;3.7,"A",IF(IR4&gt;2.8,"B",IF(IR4&gt;1.5,"C",IF(IR4&gt;0,"D",IF(IR4=0,""))))))</f>
        <v/>
      </c>
      <c r="IT4" s="172"/>
      <c r="IU4" s="110"/>
      <c r="IV4" s="110"/>
      <c r="IW4" s="110"/>
      <c r="IX4" s="111"/>
      <c r="IY4" s="178">
        <f>IF(COUNT(IY5:IY9)=0,"",SUM(IY5:IY9)/COUNT(IY5:IY9))</f>
        <v>3</v>
      </c>
      <c r="IZ4" s="202" t="str">
        <f t="shared" ref="IZ4:IZ21" si="50">IF(IY4="","",IF(IY4&gt;3.7,"A",IF(IY4&gt;2.8,"B",IF(IY4&gt;1.5,"C",IF(IY4&gt;0,"D",IF(IY4=0,""))))))</f>
        <v>B</v>
      </c>
      <c r="JA4" s="203">
        <f>IF(COUNT(JA5:JA9)=0,"",SUM(JA5:JA9)/COUNT(JA5:JA9))</f>
        <v>2.25</v>
      </c>
      <c r="JB4" s="204" t="str">
        <f t="shared" ref="JB4:JB21" si="51">IF(JA4="","",IF(JA4&gt;3.7,"A",IF(JA4&gt;2.8,"B",IF(JA4&gt;1.5,"C",IF(JA4&gt;0,"D",IF(JA4=0,""))))))</f>
        <v>C</v>
      </c>
      <c r="JC4" s="226"/>
      <c r="JD4" s="85"/>
      <c r="JE4" s="105"/>
      <c r="JF4" s="178">
        <f>IF(COUNT(JF5:JF9)=0,"",SUM(JF5:JF9)/COUNT(JF5:JF9))</f>
        <v>2.6666666666666665</v>
      </c>
      <c r="JG4" s="179" t="str">
        <f t="shared" ref="JG4:JG21" si="52">IF(JF4="","",IF(JF4&gt;3.7,"A",IF(JF4&gt;2.8,"B",IF(JF4&gt;1.5,"C",IF(JF4&gt;0,"D",IF(JF4=0,""))))))</f>
        <v>C</v>
      </c>
      <c r="JH4" s="226"/>
      <c r="JI4" s="85"/>
      <c r="JJ4" s="85"/>
      <c r="JK4" s="105"/>
      <c r="JL4" s="178">
        <f>IF(COUNT(JL5:JL9)=0,"",SUM(JL5:JL9)/COUNT(JL5:JL9))</f>
        <v>4</v>
      </c>
      <c r="JM4" s="194" t="str">
        <f t="shared" ref="JM4:JM21" si="53">IF(JL4="","",IF(JL4&gt;3.7,"A",IF(JL4&gt;2.8,"B",IF(JL4&gt;1.5,"C",IF(JL4&gt;0,"D",IF(JL4=0,""))))))</f>
        <v>A</v>
      </c>
      <c r="JN4" s="172"/>
      <c r="JO4" s="110"/>
      <c r="JP4" s="110"/>
      <c r="JQ4" s="110"/>
      <c r="JR4" s="111"/>
      <c r="JS4" s="178">
        <f>IF(COUNT(JS5:JS9)=0,"",SUM(JS5:JS9)/COUNT(JS5:JS9))</f>
        <v>3.2222222222222219</v>
      </c>
      <c r="JT4" s="202" t="str">
        <f t="shared" ref="JT4:JT21" si="54">IF(JS4="","",IF(JS4&gt;3.7,"A",IF(JS4&gt;2.8,"B",IF(JS4&gt;1.5,"C",IF(JS4&gt;0,"D",IF(JS4=0,""))))))</f>
        <v>B</v>
      </c>
      <c r="JU4" s="203">
        <f>IF(COUNT(JU5:JU9)=0,"",SUM(JU5:JU9)/COUNT(JU5:JU9))</f>
        <v>3.208333333333333</v>
      </c>
      <c r="JV4" s="204" t="str">
        <f t="shared" ref="JV4:JV21" si="55">IF(JU4="","",IF(JU4&gt;3.7,"A",IF(JU4&gt;2.8,"B",IF(JU4&gt;1.5,"C",IF(JU4&gt;0,"D",IF(JU4=0,""))))))</f>
        <v>B</v>
      </c>
      <c r="JW4" s="226"/>
      <c r="JX4" s="85"/>
      <c r="JY4" s="105"/>
      <c r="JZ4" s="178">
        <f>IF(COUNT(JZ5:JZ9)=0,"",SUM(JZ5:JZ9)/COUNT(JZ5:JZ9))</f>
        <v>3</v>
      </c>
      <c r="KA4" s="179" t="str">
        <f t="shared" ref="KA4:KA21" si="56">IF(JZ4="","",IF(JZ4&gt;3.7,"A",IF(JZ4&gt;2.8,"B",IF(JZ4&gt;1.5,"C",IF(JZ4&gt;0,"D",IF(JZ4=0,""))))))</f>
        <v>B</v>
      </c>
      <c r="KB4" s="226"/>
      <c r="KC4" s="85"/>
      <c r="KD4" s="85"/>
      <c r="KE4" s="105"/>
      <c r="KF4" s="178">
        <f>IF(COUNT(KF5:KF9)=0,"",SUM(KF5:KF9)/COUNT(KF5:KF9))</f>
        <v>4</v>
      </c>
      <c r="KG4" s="194" t="str">
        <f t="shared" ref="KG4:KG21" si="57">IF(KF4="","",IF(KF4&gt;3.7,"A",IF(KF4&gt;2.8,"B",IF(KF4&gt;1.5,"C",IF(KF4&gt;0,"D",IF(KF4=0,""))))))</f>
        <v>A</v>
      </c>
      <c r="KH4" s="172"/>
      <c r="KI4" s="110"/>
      <c r="KJ4" s="110"/>
      <c r="KK4" s="110"/>
      <c r="KL4" s="111"/>
      <c r="KM4" s="178">
        <f>IF(COUNT(KM5:KM9)=0,"",SUM(KM5:KM9)/COUNT(KM5:KM9))</f>
        <v>2.8888888888888893</v>
      </c>
      <c r="KN4" s="202" t="str">
        <f t="shared" ref="KN4:KN21" si="58">IF(KM4="","",IF(KM4&gt;3.7,"A",IF(KM4&gt;2.8,"B",IF(KM4&gt;1.5,"C",IF(KM4&gt;0,"D",IF(KM4=0,""))))))</f>
        <v>B</v>
      </c>
      <c r="KO4" s="203">
        <f>IF(COUNT(KO5:KO9)=0,"",SUM(KO5:KO9)/COUNT(KO5:KO9))</f>
        <v>3.2083333333333339</v>
      </c>
      <c r="KP4" s="204" t="str">
        <f t="shared" ref="KP4:KP21" si="59">IF(KO4="","",IF(KO4&gt;3.7,"A",IF(KO4&gt;2.8,"B",IF(KO4&gt;1.5,"C",IF(KO4&gt;0,"D",IF(KO4=0,""))))))</f>
        <v>B</v>
      </c>
      <c r="KQ4" s="226"/>
      <c r="KR4" s="85"/>
      <c r="KS4" s="105"/>
      <c r="KT4" s="178">
        <f>IF(COUNT(KT5:KT9)=0,"",SUM(KT5:KT9)/COUNT(KT5:KT9))</f>
        <v>1.6666666666666667</v>
      </c>
      <c r="KU4" s="179" t="str">
        <f t="shared" ref="KU4:KU21" si="60">IF(KT4="","",IF(KT4&gt;3.7,"A",IF(KT4&gt;2.8,"B",IF(KT4&gt;1.5,"C",IF(KT4&gt;0,"D",IF(KT4=0,""))))))</f>
        <v>C</v>
      </c>
      <c r="KV4" s="226"/>
      <c r="KW4" s="85"/>
      <c r="KX4" s="85"/>
      <c r="KY4" s="105"/>
      <c r="KZ4" s="178">
        <f>IF(COUNT(KZ5:KZ9)=0,"",SUM(KZ5:KZ9)/COUNT(KZ5:KZ9))</f>
        <v>2.5</v>
      </c>
      <c r="LA4" s="194" t="str">
        <f t="shared" ref="LA4:LA21" si="61">IF(KZ4="","",IF(KZ4&gt;3.7,"A",IF(KZ4&gt;2.8,"B",IF(KZ4&gt;1.5,"C",IF(KZ4&gt;0,"D",IF(KZ4=0,""))))))</f>
        <v>C</v>
      </c>
      <c r="LB4" s="172"/>
      <c r="LC4" s="110"/>
      <c r="LD4" s="110"/>
      <c r="LE4" s="110"/>
      <c r="LF4" s="111"/>
      <c r="LG4" s="178">
        <f>IF(COUNT(LG5:LG9)=0,"",SUM(LG5:LG9)/COUNT(LG5:LG9))</f>
        <v>1.8888888888888886</v>
      </c>
      <c r="LH4" s="202" t="str">
        <f t="shared" ref="LH4:LH21" si="62">IF(LG4="","",IF(LG4&gt;3.7,"A",IF(LG4&gt;2.8,"B",IF(LG4&gt;1.5,"C",IF(LG4&gt;0,"D",IF(LG4=0,""))))))</f>
        <v>C</v>
      </c>
      <c r="LI4" s="203">
        <f>IF(COUNT(LI5:LI9)=0,"",SUM(LI5:LI9)/COUNT(LI5:LI9))</f>
        <v>1.9583333333333333</v>
      </c>
      <c r="LJ4" s="204" t="str">
        <f t="shared" ref="LJ4:LJ21" si="63">IF(LI4="","",IF(LI4&gt;3.7,"A",IF(LI4&gt;2.8,"B",IF(LI4&gt;1.5,"C",IF(LI4&gt;0,"D",IF(LI4=0,""))))))</f>
        <v>C</v>
      </c>
      <c r="LK4" s="226"/>
      <c r="LL4" s="85"/>
      <c r="LM4" s="105"/>
      <c r="LN4" s="178">
        <f>IF(COUNT(LN5:LN9)=0,"",SUM(LN5:LN9)/COUNT(LN5:LN9))</f>
        <v>2</v>
      </c>
      <c r="LO4" s="179" t="str">
        <f t="shared" ref="LO4:LO21" si="64">IF(LN4="","",IF(LN4&gt;3.7,"A",IF(LN4&gt;2.8,"B",IF(LN4&gt;1.5,"C",IF(LN4&gt;0,"D",IF(LN4=0,""))))))</f>
        <v>C</v>
      </c>
      <c r="LP4" s="226"/>
      <c r="LQ4" s="85"/>
      <c r="LR4" s="85"/>
      <c r="LS4" s="105"/>
      <c r="LT4" s="178">
        <f>IF(COUNT(LT5:LT9)=0,"",SUM(LT5:LT9)/COUNT(LT5:LT9))</f>
        <v>2</v>
      </c>
      <c r="LU4" s="194" t="str">
        <f t="shared" ref="LU4:LU21" si="65">IF(LT4="","",IF(LT4&gt;3.7,"A",IF(LT4&gt;2.8,"B",IF(LT4&gt;1.5,"C",IF(LT4&gt;0,"D",IF(LT4=0,""))))))</f>
        <v>C</v>
      </c>
      <c r="LV4" s="172"/>
      <c r="LW4" s="110"/>
      <c r="LX4" s="110"/>
      <c r="LY4" s="110"/>
      <c r="LZ4" s="111"/>
      <c r="MA4" s="178">
        <f>IF(COUNT(MA5:MA9)=0,"",SUM(MA5:MA9)/COUNT(MA5:MA9))</f>
        <v>2.2222222222222219</v>
      </c>
      <c r="MB4" s="202" t="str">
        <f t="shared" ref="MB4:MB21" si="66">IF(MA4="","",IF(MA4&gt;3.7,"A",IF(MA4&gt;2.8,"B",IF(MA4&gt;1.5,"C",IF(MA4&gt;0,"D",IF(MA4=0,""))))))</f>
        <v>C</v>
      </c>
      <c r="MC4" s="203">
        <f>IF(COUNT(MC5:MC9)=0,"",SUM(MC5:MC9)/COUNT(MC5:MC9))</f>
        <v>2.0833333333333335</v>
      </c>
      <c r="MD4" s="204" t="str">
        <f t="shared" ref="MD4:MD21" si="67">IF(MC4="","",IF(MC4&gt;3.7,"A",IF(MC4&gt;2.8,"B",IF(MC4&gt;1.5,"C",IF(MC4&gt;0,"D",IF(MC4=0,""))))))</f>
        <v>C</v>
      </c>
      <c r="ME4" s="226"/>
      <c r="MF4" s="85"/>
      <c r="MG4" s="105"/>
      <c r="MH4" s="178">
        <f>IF(COUNT(MH5:MH9)=0,"",SUM(MH5:MH9)/COUNT(MH5:MH9))</f>
        <v>2</v>
      </c>
      <c r="MI4" s="179" t="str">
        <f t="shared" ref="MI4:MI21" si="68">IF(MH4="","",IF(MH4&gt;3.7,"A",IF(MH4&gt;2.8,"B",IF(MH4&gt;1.5,"C",IF(MH4&gt;0,"D",IF(MH4=0,""))))))</f>
        <v>C</v>
      </c>
      <c r="MJ4" s="226"/>
      <c r="MK4" s="85"/>
      <c r="ML4" s="85"/>
      <c r="MM4" s="105"/>
      <c r="MN4" s="178">
        <f>IF(COUNT(MN5:MN9)=0,"",SUM(MN5:MN9)/COUNT(MN5:MN9))</f>
        <v>2.5</v>
      </c>
      <c r="MO4" s="194" t="str">
        <f t="shared" ref="MO4:MO21" si="69">IF(MN4="","",IF(MN4&gt;3.7,"A",IF(MN4&gt;2.8,"B",IF(MN4&gt;1.5,"C",IF(MN4&gt;0,"D",IF(MN4=0,""))))))</f>
        <v>C</v>
      </c>
      <c r="MP4" s="172"/>
      <c r="MQ4" s="110"/>
      <c r="MR4" s="110"/>
      <c r="MS4" s="110"/>
      <c r="MT4" s="111"/>
      <c r="MU4" s="178">
        <f>IF(COUNT(MU5:MU9)=0,"",SUM(MU5:MU9)/COUNT(MU5:MU9))</f>
        <v>1.8888888888888886</v>
      </c>
      <c r="MV4" s="202" t="str">
        <f t="shared" ref="MV4:MV21" si="70">IF(MU4="","",IF(MU4&gt;3.7,"A",IF(MU4&gt;2.8,"B",IF(MU4&gt;1.5,"C",IF(MU4&gt;0,"D",IF(MU4=0,""))))))</f>
        <v>C</v>
      </c>
      <c r="MW4" s="203">
        <f>IF(COUNT(MW5:MW9)=0,"",SUM(MW5:MW9)/COUNT(MW5:MW9))</f>
        <v>2.083333333333333</v>
      </c>
      <c r="MX4" s="204" t="str">
        <f t="shared" ref="MX4:MX21" si="71">IF(MW4="","",IF(MW4&gt;3.7,"A",IF(MW4&gt;2.8,"B",IF(MW4&gt;1.5,"C",IF(MW4&gt;0,"D",IF(MW4=0,""))))))</f>
        <v>C</v>
      </c>
      <c r="MY4" s="226"/>
      <c r="MZ4" s="85"/>
      <c r="NA4" s="105"/>
      <c r="NB4" s="178">
        <f>IF(COUNT(NB5:NB9)=0,"",SUM(NB5:NB9)/COUNT(NB5:NB9))</f>
        <v>2.6666666666666665</v>
      </c>
      <c r="NC4" s="179" t="str">
        <f t="shared" ref="NC4:NC21" si="72">IF(NB4="","",IF(NB4&gt;3.7,"A",IF(NB4&gt;2.8,"B",IF(NB4&gt;1.5,"C",IF(NB4&gt;0,"D",IF(NB4=0,""))))))</f>
        <v>C</v>
      </c>
      <c r="ND4" s="226"/>
      <c r="NE4" s="85"/>
      <c r="NF4" s="85"/>
      <c r="NG4" s="105"/>
      <c r="NH4" s="178">
        <f>IF(COUNT(NH5:NH9)=0,"",SUM(NH5:NH9)/COUNT(NH5:NH9))</f>
        <v>4</v>
      </c>
      <c r="NI4" s="194" t="str">
        <f t="shared" ref="NI4:NI21" si="73">IF(NH4="","",IF(NH4&gt;3.7,"A",IF(NH4&gt;2.8,"B",IF(NH4&gt;1.5,"C",IF(NH4&gt;0,"D",IF(NH4=0,""))))))</f>
        <v>A</v>
      </c>
      <c r="NJ4" s="172"/>
      <c r="NK4" s="110"/>
      <c r="NL4" s="110"/>
      <c r="NM4" s="110"/>
      <c r="NN4" s="111"/>
      <c r="NO4" s="178">
        <f>IF(COUNT(NO5:NO9)=0,"",SUM(NO5:NO9)/COUNT(NO5:NO9))</f>
        <v>2.6666666666666665</v>
      </c>
      <c r="NP4" s="202" t="str">
        <f t="shared" ref="NP4:NP21" si="74">IF(NO4="","",IF(NO4&gt;3.7,"A",IF(NO4&gt;2.8,"B",IF(NO4&gt;1.5,"C",IF(NO4&gt;0,"D",IF(NO4=0,""))))))</f>
        <v>C</v>
      </c>
      <c r="NQ4" s="203">
        <f>IF(COUNT(NQ5:NQ9)=0,"",SUM(NQ5:NQ9)/COUNT(NQ5:NQ9))</f>
        <v>3</v>
      </c>
      <c r="NR4" s="204" t="str">
        <f t="shared" ref="NR4:NR21" si="75">IF(NQ4="","",IF(NQ4&gt;3.7,"A",IF(NQ4&gt;2.8,"B",IF(NQ4&gt;1.5,"C",IF(NQ4&gt;0,"D",IF(NQ4=0,""))))))</f>
        <v>B</v>
      </c>
      <c r="NS4" s="226"/>
      <c r="NT4" s="85"/>
      <c r="NU4" s="105"/>
      <c r="NV4" s="178">
        <f>IF(COUNT(NV5:NV9)=0,"",SUM(NV5:NV9)/COUNT(NV5:NV9))</f>
        <v>2.3333333333333335</v>
      </c>
      <c r="NW4" s="179" t="str">
        <f t="shared" ref="NW4:NW21" si="76">IF(NV4="","",IF(NV4&gt;3.7,"A",IF(NV4&gt;2.8,"B",IF(NV4&gt;1.5,"C",IF(NV4&gt;0,"D",IF(NV4=0,""))))))</f>
        <v>C</v>
      </c>
      <c r="NX4" s="226"/>
      <c r="NY4" s="85"/>
      <c r="NZ4" s="85"/>
      <c r="OA4" s="105"/>
      <c r="OB4" s="178">
        <f>IF(COUNT(OB5:OB9)=0,"",SUM(OB5:OB9)/COUNT(OB5:OB9))</f>
        <v>4</v>
      </c>
      <c r="OC4" s="194" t="str">
        <f t="shared" ref="OC4:OC21" si="77">IF(OB4="","",IF(OB4&gt;3.7,"A",IF(OB4&gt;2.8,"B",IF(OB4&gt;1.5,"C",IF(OB4&gt;0,"D",IF(OB4=0,""))))))</f>
        <v>A</v>
      </c>
      <c r="OD4" s="172"/>
      <c r="OE4" s="110"/>
      <c r="OF4" s="110"/>
      <c r="OG4" s="110"/>
      <c r="OH4" s="111"/>
      <c r="OI4" s="178">
        <f>IF(COUNT(OI5:OI9)=0,"",SUM(OI5:OI9)/COUNT(OI5:OI9))</f>
        <v>2.8888888888888888</v>
      </c>
      <c r="OJ4" s="202" t="str">
        <f t="shared" ref="OJ4:OJ21" si="78">IF(OI4="","",IF(OI4&gt;3.7,"A",IF(OI4&gt;2.8,"B",IF(OI4&gt;1.5,"C",IF(OI4&gt;0,"D",IF(OI4=0,""))))))</f>
        <v>B</v>
      </c>
      <c r="OK4" s="203">
        <f>IF(COUNT(OK5:OK9)=0,"",SUM(OK5:OK9)/COUNT(OK5:OK9))</f>
        <v>2.958333333333333</v>
      </c>
      <c r="OL4" s="204" t="str">
        <f t="shared" ref="OL4:OL21" si="79">IF(OK4="","",IF(OK4&gt;3.7,"A",IF(OK4&gt;2.8,"B",IF(OK4&gt;1.5,"C",IF(OK4&gt;0,"D",IF(OK4=0,""))))))</f>
        <v>B</v>
      </c>
      <c r="OM4" s="226"/>
      <c r="ON4" s="85"/>
      <c r="OO4" s="105"/>
      <c r="OP4" s="178">
        <f>IF(COUNT(OP5:OP9)=0,"",SUM(OP5:OP9)/COUNT(OP5:OP9))</f>
        <v>2.3333333333333335</v>
      </c>
      <c r="OQ4" s="179" t="str">
        <f t="shared" ref="OQ4:OQ21" si="80">IF(OP4="","",IF(OP4&gt;3.7,"A",IF(OP4&gt;2.8,"B",IF(OP4&gt;1.5,"C",IF(OP4&gt;0,"D",IF(OP4=0,""))))))</f>
        <v>C</v>
      </c>
      <c r="OR4" s="226"/>
      <c r="OS4" s="85"/>
      <c r="OT4" s="85"/>
      <c r="OU4" s="105"/>
      <c r="OV4" s="178">
        <f>IF(COUNT(OV5:OV9)=0,"",SUM(OV5:OV9)/COUNT(OV5:OV9))</f>
        <v>3</v>
      </c>
      <c r="OW4" s="194" t="str">
        <f t="shared" ref="OW4:OW21" si="81">IF(OV4="","",IF(OV4&gt;3.7,"A",IF(OV4&gt;2.8,"B",IF(OV4&gt;1.5,"C",IF(OV4&gt;0,"D",IF(OV4=0,""))))))</f>
        <v>B</v>
      </c>
      <c r="OX4" s="172"/>
      <c r="OY4" s="110"/>
      <c r="OZ4" s="110"/>
      <c r="PA4" s="110"/>
      <c r="PB4" s="111"/>
      <c r="PC4" s="178">
        <f>IF(COUNT(PC5:PC9)=0,"",SUM(PC5:PC9)/COUNT(PC5:PC9))</f>
        <v>3</v>
      </c>
      <c r="PD4" s="202" t="str">
        <f t="shared" ref="PD4:PD21" si="82">IF(PC4="","",IF(PC4&gt;3.7,"A",IF(PC4&gt;2.8,"B",IF(PC4&gt;1.5,"C",IF(PC4&gt;0,"D",IF(PC4=0,""))))))</f>
        <v>B</v>
      </c>
      <c r="PE4" s="203">
        <f>IF(COUNT(PE5:PE9)=0,"",SUM(PE5:PE9)/COUNT(PE5:PE9))</f>
        <v>2.75</v>
      </c>
      <c r="PF4" s="204" t="str">
        <f t="shared" ref="PF4:PF21" si="83">IF(PE4="","",IF(PE4&gt;3.7,"A",IF(PE4&gt;2.8,"B",IF(PE4&gt;1.5,"C",IF(PE4&gt;0,"D",IF(PE4=0,""))))))</f>
        <v>C</v>
      </c>
      <c r="PG4" s="226"/>
      <c r="PH4" s="85"/>
      <c r="PI4" s="105"/>
      <c r="PJ4" s="178">
        <f>IF(COUNT(PJ5:PJ9)=0,"",SUM(PJ5:PJ9)/COUNT(PJ5:PJ9))</f>
        <v>1.6666666666666667</v>
      </c>
      <c r="PK4" s="179" t="str">
        <f t="shared" ref="PK4:PK21" si="84">IF(PJ4="","",IF(PJ4&gt;3.7,"A",IF(PJ4&gt;2.8,"B",IF(PJ4&gt;1.5,"C",IF(PJ4&gt;0,"D",IF(PJ4=0,""))))))</f>
        <v>C</v>
      </c>
      <c r="PL4" s="226"/>
      <c r="PM4" s="85"/>
      <c r="PN4" s="85"/>
      <c r="PO4" s="105"/>
      <c r="PP4" s="178">
        <f>IF(COUNT(PP5:PP9)=0,"",SUM(PP5:PP9)/COUNT(PP5:PP9))</f>
        <v>3.5</v>
      </c>
      <c r="PQ4" s="194" t="str">
        <f t="shared" ref="PQ4:PQ21" si="85">IF(PP4="","",IF(PP4&gt;3.7,"A",IF(PP4&gt;2.8,"B",IF(PP4&gt;1.5,"C",IF(PP4&gt;0,"D",IF(PP4=0,""))))))</f>
        <v>B</v>
      </c>
      <c r="PR4" s="172"/>
      <c r="PS4" s="110"/>
      <c r="PT4" s="110"/>
      <c r="PU4" s="110"/>
      <c r="PV4" s="111"/>
      <c r="PW4" s="178">
        <f>IF(COUNT(PW5:PW9)=0,"",SUM(PW5:PW9)/COUNT(PW5:PW9))</f>
        <v>1.8888888888888886</v>
      </c>
      <c r="PX4" s="202" t="str">
        <f t="shared" ref="PX4:PX21" si="86">IF(PW4="","",IF(PW4&gt;3.7,"A",IF(PW4&gt;2.8,"B",IF(PW4&gt;1.5,"C",IF(PW4&gt;0,"D",IF(PW4=0,""))))))</f>
        <v>C</v>
      </c>
      <c r="PY4" s="203">
        <f>IF(COUNT(PY5:PY9)=0,"",SUM(PY5:PY9)/COUNT(PY5:PY9))</f>
        <v>2.208333333333333</v>
      </c>
      <c r="PZ4" s="204" t="str">
        <f t="shared" ref="PZ4:PZ21" si="87">IF(PY4="","",IF(PY4&gt;3.7,"A",IF(PY4&gt;2.8,"B",IF(PY4&gt;1.5,"C",IF(PY4&gt;0,"D",IF(PY4=0,""))))))</f>
        <v>C</v>
      </c>
      <c r="QA4" s="226"/>
      <c r="QB4" s="85"/>
      <c r="QC4" s="105"/>
      <c r="QD4" s="178">
        <f>IF(COUNT(QD5:QD9)=0,"",SUM(QD5:QD9)/COUNT(QD5:QD9))</f>
        <v>2.3333333333333335</v>
      </c>
      <c r="QE4" s="179" t="str">
        <f t="shared" ref="QE4:QE21" si="88">IF(QD4="","",IF(QD4&gt;3.7,"A",IF(QD4&gt;2.8,"B",IF(QD4&gt;1.5,"C",IF(QD4&gt;0,"D",IF(QD4=0,""))))))</f>
        <v>C</v>
      </c>
      <c r="QF4" s="226"/>
      <c r="QG4" s="85"/>
      <c r="QH4" s="85"/>
      <c r="QI4" s="105"/>
      <c r="QJ4" s="178">
        <f>IF(COUNT(QJ5:QJ9)=0,"",SUM(QJ5:QJ9)/COUNT(QJ5:QJ9))</f>
        <v>3.5</v>
      </c>
      <c r="QK4" s="194" t="str">
        <f t="shared" ref="QK4:QK21" si="89">IF(QJ4="","",IF(QJ4&gt;3.7,"A",IF(QJ4&gt;2.8,"B",IF(QJ4&gt;1.5,"C",IF(QJ4&gt;0,"D",IF(QJ4=0,""))))))</f>
        <v>B</v>
      </c>
      <c r="QL4" s="172"/>
      <c r="QM4" s="110"/>
      <c r="QN4" s="110"/>
      <c r="QO4" s="110"/>
      <c r="QP4" s="111"/>
      <c r="QQ4" s="178">
        <f>IF(COUNT(QQ5:QQ9)=0,"",SUM(QQ5:QQ9)/COUNT(QQ5:QQ9))</f>
        <v>2</v>
      </c>
      <c r="QR4" s="202" t="str">
        <f t="shared" ref="QR4:QR21" si="90">IF(QQ4="","",IF(QQ4&gt;3.7,"A",IF(QQ4&gt;2.8,"B",IF(QQ4&gt;1.5,"C",IF(QQ4&gt;0,"D",IF(QQ4=0,""))))))</f>
        <v>C</v>
      </c>
      <c r="QS4" s="203">
        <f>IF(COUNT(QS5:QS9)=0,"",SUM(QS5:QS9)/COUNT(QS5:QS9))</f>
        <v>2.5</v>
      </c>
      <c r="QT4" s="204" t="str">
        <f t="shared" ref="QT4:QT21" si="91">IF(QS4="","",IF(QS4&gt;3.7,"A",IF(QS4&gt;2.8,"B",IF(QS4&gt;1.5,"C",IF(QS4&gt;0,"D",IF(QS4=0,""))))))</f>
        <v>C</v>
      </c>
      <c r="QU4" s="226"/>
      <c r="QV4" s="85"/>
      <c r="QW4" s="105"/>
      <c r="QX4" s="178">
        <f>IF(COUNT(QX5:QX9)=0,"",SUM(QX5:QX9)/COUNT(QX5:QX9))</f>
        <v>2.3333333333333335</v>
      </c>
      <c r="QY4" s="179" t="str">
        <f t="shared" ref="QY4:QY21" si="92">IF(QX4="","",IF(QX4&gt;3.7,"A",IF(QX4&gt;2.8,"B",IF(QX4&gt;1.5,"C",IF(QX4&gt;0,"D",IF(QX4=0,""))))))</f>
        <v>C</v>
      </c>
      <c r="QZ4" s="226"/>
      <c r="RA4" s="85"/>
      <c r="RB4" s="85"/>
      <c r="RC4" s="105"/>
      <c r="RD4" s="178">
        <f>IF(COUNT(RD5:RD9)=0,"",SUM(RD5:RD9)/COUNT(RD5:RD9))</f>
        <v>3</v>
      </c>
      <c r="RE4" s="194" t="str">
        <f t="shared" ref="RE4:RE21" si="93">IF(RD4="","",IF(RD4&gt;3.7,"A",IF(RD4&gt;2.8,"B",IF(RD4&gt;1.5,"C",IF(RD4&gt;0,"D",IF(RD4=0,""))))))</f>
        <v>B</v>
      </c>
      <c r="RF4" s="172"/>
      <c r="RG4" s="110"/>
      <c r="RH4" s="110"/>
      <c r="RI4" s="110"/>
      <c r="RJ4" s="111"/>
      <c r="RK4" s="178">
        <f>IF(COUNT(RK5:RK9)=0,"",SUM(RK5:RK9)/COUNT(RK5:RK9))</f>
        <v>2.2222222222222219</v>
      </c>
      <c r="RL4" s="202" t="str">
        <f t="shared" ref="RL4:RL21" si="94">IF(RK4="","",IF(RK4&gt;3.7,"A",IF(RK4&gt;2.8,"B",IF(RK4&gt;1.5,"C",IF(RK4&gt;0,"D",IF(RK4=0,""))))))</f>
        <v>C</v>
      </c>
      <c r="RM4" s="203">
        <f>IF(COUNT(RM5:RM9)=0,"",SUM(RM5:RM9)/COUNT(RM5:RM9))</f>
        <v>2.458333333333333</v>
      </c>
      <c r="RN4" s="204" t="str">
        <f t="shared" ref="RN4:RN21" si="95">IF(RM4="","",IF(RM4&gt;3.7,"A",IF(RM4&gt;2.8,"B",IF(RM4&gt;1.5,"C",IF(RM4&gt;0,"D",IF(RM4=0,""))))))</f>
        <v>C</v>
      </c>
      <c r="RO4" s="226"/>
      <c r="RP4" s="85"/>
      <c r="RQ4" s="105"/>
      <c r="RR4" s="178">
        <f>IF(COUNT(RR5:RR9)=0,"",SUM(RR5:RR9)/COUNT(RR5:RR9))</f>
        <v>3.3333333333333335</v>
      </c>
      <c r="RS4" s="179" t="str">
        <f t="shared" ref="RS4:RS21" si="96">IF(RR4="","",IF(RR4&gt;3.7,"A",IF(RR4&gt;2.8,"B",IF(RR4&gt;1.5,"C",IF(RR4&gt;0,"D",IF(RR4=0,""))))))</f>
        <v>B</v>
      </c>
      <c r="RT4" s="226"/>
      <c r="RU4" s="85"/>
      <c r="RV4" s="85"/>
      <c r="RW4" s="105"/>
      <c r="RX4" s="178">
        <f>IF(COUNT(RX5:RX9)=0,"",SUM(RX5:RX9)/COUNT(RX5:RX9))</f>
        <v>3.5</v>
      </c>
      <c r="RY4" s="194" t="str">
        <f t="shared" ref="RY4:RY21" si="97">IF(RX4="","",IF(RX4&gt;3.7,"A",IF(RX4&gt;2.8,"B",IF(RX4&gt;1.5,"C",IF(RX4&gt;0,"D",IF(RX4=0,""))))))</f>
        <v>B</v>
      </c>
      <c r="RZ4" s="172"/>
      <c r="SA4" s="110"/>
      <c r="SB4" s="110"/>
      <c r="SC4" s="110"/>
      <c r="SD4" s="111"/>
      <c r="SE4" s="178">
        <f>IF(COUNT(SE5:SE9)=0,"",SUM(SE5:SE9)/COUNT(SE5:SE9))</f>
        <v>3</v>
      </c>
      <c r="SF4" s="202" t="str">
        <f t="shared" ref="SF4:SF21" si="98">IF(SE4="","",IF(SE4&gt;3.7,"A",IF(SE4&gt;2.8,"B",IF(SE4&gt;1.5,"C",IF(SE4&gt;0,"D",IF(SE4=0,""))))))</f>
        <v>B</v>
      </c>
      <c r="SG4" s="203">
        <f>IF(COUNT(SG5:SG9)=0,"",SUM(SG5:SG9)/COUNT(SG5:SG9))</f>
        <v>3.25</v>
      </c>
      <c r="SH4" s="204" t="str">
        <f t="shared" ref="SH4:SH21" si="99">IF(SG4="","",IF(SG4&gt;3.7,"A",IF(SG4&gt;2.8,"B",IF(SG4&gt;1.5,"C",IF(SG4&gt;0,"D",IF(SG4=0,""))))))</f>
        <v>B</v>
      </c>
      <c r="SI4" s="226"/>
      <c r="SJ4" s="85"/>
      <c r="SK4" s="105"/>
      <c r="SL4" s="178">
        <f>IF(COUNT(SL5:SL9)=0,"",SUM(SL5:SL9)/COUNT(SL5:SL9))</f>
        <v>2.6666666666666665</v>
      </c>
      <c r="SM4" s="179" t="str">
        <f t="shared" ref="SM4:SM21" si="100">IF(SL4="","",IF(SL4&gt;3.7,"A",IF(SL4&gt;2.8,"B",IF(SL4&gt;1.5,"C",IF(SL4&gt;0,"D",IF(SL4=0,""))))))</f>
        <v>C</v>
      </c>
      <c r="SN4" s="226"/>
      <c r="SO4" s="85"/>
      <c r="SP4" s="85"/>
      <c r="SQ4" s="105"/>
      <c r="SR4" s="178">
        <f>IF(COUNT(SR5:SR9)=0,"",SUM(SR5:SR9)/COUNT(SR5:SR9))</f>
        <v>3</v>
      </c>
      <c r="SS4" s="194" t="str">
        <f t="shared" ref="SS4:SS21" si="101">IF(SR4="","",IF(SR4&gt;3.7,"A",IF(SR4&gt;2.8,"B",IF(SR4&gt;1.5,"C",IF(SR4&gt;0,"D",IF(SR4=0,""))))))</f>
        <v>B</v>
      </c>
      <c r="ST4" s="172"/>
      <c r="SU4" s="110"/>
      <c r="SV4" s="110"/>
      <c r="SW4" s="110"/>
      <c r="SX4" s="111"/>
      <c r="SY4" s="178">
        <f>IF(COUNT(SY5:SY9)=0,"",SUM(SY5:SY9)/COUNT(SY5:SY9))</f>
        <v>3</v>
      </c>
      <c r="SZ4" s="202" t="str">
        <f t="shared" ref="SZ4:SZ21" si="102">IF(SY4="","",IF(SY4&gt;3.7,"A",IF(SY4&gt;2.8,"B",IF(SY4&gt;1.5,"C",IF(SY4&gt;0,"D",IF(SY4=0,""))))))</f>
        <v>B</v>
      </c>
      <c r="TA4" s="203">
        <f>IF(COUNT(TA5:TA9)=0,"",SUM(TA5:TA9)/COUNT(TA5:TA9))</f>
        <v>2.875</v>
      </c>
      <c r="TB4" s="204" t="str">
        <f t="shared" ref="TB4:TB21" si="103">IF(TA4="","",IF(TA4&gt;3.7,"A",IF(TA4&gt;2.8,"B",IF(TA4&gt;1.5,"C",IF(TA4&gt;0,"D",IF(TA4=0,""))))))</f>
        <v>B</v>
      </c>
      <c r="TC4" s="226"/>
      <c r="TD4" s="85"/>
      <c r="TE4" s="105"/>
      <c r="TF4" s="178">
        <f>IF(COUNT(TF5:TF9)=0,"",SUM(TF5:TF9)/COUNT(TF5:TF9))</f>
        <v>2.3333333333333335</v>
      </c>
      <c r="TG4" s="179" t="str">
        <f t="shared" ref="TG4:TG21" si="104">IF(TF4="","",IF(TF4&gt;3.7,"A",IF(TF4&gt;2.8,"B",IF(TF4&gt;1.5,"C",IF(TF4&gt;0,"D",IF(TF4=0,""))))))</f>
        <v>C</v>
      </c>
      <c r="TH4" s="226"/>
      <c r="TI4" s="85"/>
      <c r="TJ4" s="85"/>
      <c r="TK4" s="105"/>
      <c r="TL4" s="178">
        <f>IF(COUNT(TL5:TL9)=0,"",SUM(TL5:TL9)/COUNT(TL5:TL9))</f>
        <v>4</v>
      </c>
      <c r="TM4" s="194" t="str">
        <f t="shared" ref="TM4:TM21" si="105">IF(TL4="","",IF(TL4&gt;3.7,"A",IF(TL4&gt;2.8,"B",IF(TL4&gt;1.5,"C",IF(TL4&gt;0,"D",IF(TL4=0,""))))))</f>
        <v>A</v>
      </c>
      <c r="TN4" s="172"/>
      <c r="TO4" s="110"/>
      <c r="TP4" s="110"/>
      <c r="TQ4" s="110"/>
      <c r="TR4" s="111"/>
      <c r="TS4" s="178">
        <f>IF(COUNT(TS5:TS9)=0,"",SUM(TS5:TS9)/COUNT(TS5:TS9))</f>
        <v>3</v>
      </c>
      <c r="TT4" s="202" t="str">
        <f t="shared" ref="TT4:TT21" si="106">IF(TS4="","",IF(TS4&gt;3.7,"A",IF(TS4&gt;2.8,"B",IF(TS4&gt;1.5,"C",IF(TS4&gt;0,"D",IF(TS4=0,""))))))</f>
        <v>B</v>
      </c>
      <c r="TU4" s="203">
        <f>IF(COUNT(TU5:TU9)=0,"",SUM(TU5:TU9)/COUNT(TU5:TU9))</f>
        <v>3</v>
      </c>
      <c r="TV4" s="204" t="str">
        <f t="shared" ref="TV4:TV21" si="107">IF(TU4="","",IF(TU4&gt;3.7,"A",IF(TU4&gt;2.8,"B",IF(TU4&gt;1.5,"C",IF(TU4&gt;0,"D",IF(TU4=0,""))))))</f>
        <v>B</v>
      </c>
      <c r="TW4" s="104"/>
      <c r="TX4" s="85"/>
      <c r="TY4" s="105"/>
      <c r="TZ4" s="106" t="str">
        <f>IF(COUNT(TZ5:TZ9)=0,"",SUM(TZ5:TZ9)/COUNT(TZ5:TZ9))</f>
        <v/>
      </c>
      <c r="UA4" s="107" t="str">
        <f t="shared" ref="UA4:UA21" si="108">IF(TZ4="","",IF(TZ4&gt;3.7,"A",IF(TZ4&gt;2.8,"B",IF(TZ4&gt;1.5,"C",IF(TZ4&gt;0,"D",IF(TZ4=0,""))))))</f>
        <v/>
      </c>
      <c r="UB4" s="104"/>
      <c r="UC4" s="85"/>
      <c r="UD4" s="105"/>
      <c r="UE4" s="106" t="str">
        <f>IF(COUNT(UE5:UE9)=0,"",SUM(UE5:UE9)/COUNT(UE5:UE9))</f>
        <v/>
      </c>
      <c r="UF4" s="108" t="str">
        <f t="shared" ref="UF4:UF21" si="109">IF(UE4="","",IF(UE4&gt;3.7,"A",IF(UE4&gt;2.8,"B",IF(UE4&gt;1.5,"C",IF(UE4&gt;0,"D",IF(UE4=0,""))))))</f>
        <v/>
      </c>
      <c r="UG4" s="109"/>
      <c r="UH4" s="110"/>
      <c r="UI4" s="111"/>
      <c r="UJ4" s="106" t="str">
        <f>IF(COUNT(UJ5:UJ9)=0,"",SUM(UJ5:UJ9)/COUNT(UJ5:UJ9))</f>
        <v/>
      </c>
      <c r="UK4" s="112" t="str">
        <f t="shared" ref="UK4:UK21" si="110">IF(UJ4="","",IF(UJ4&gt;3.7,"A",IF(UJ4&gt;2.8,"B",IF(UJ4&gt;1.5,"C",IF(UJ4&gt;0,"D",IF(UJ4=0,""))))))</f>
        <v/>
      </c>
      <c r="UL4" s="113" t="str">
        <f>IF(COUNT(UL5:UL9)=0,"",SUM(UL5:UL9)/COUNT(UL5:UL9))</f>
        <v/>
      </c>
      <c r="UM4" s="114" t="str">
        <f t="shared" ref="UM4:UM21" si="111">IF(UL4="","",IF(UL4&gt;3.7,"A",IF(UL4&gt;2.8,"B",IF(UL4&gt;1.5,"C",IF(UL4&gt;0,"D",IF(UL4=0,""))))))</f>
        <v/>
      </c>
      <c r="UN4" s="104"/>
      <c r="UO4" s="85"/>
      <c r="UP4" s="105"/>
      <c r="UQ4" s="106" t="str">
        <f>IF(COUNT(UQ5:UQ9)=0,"",SUM(UQ5:UQ9)/COUNT(UQ5:UQ9))</f>
        <v/>
      </c>
      <c r="UR4" s="107" t="str">
        <f t="shared" ref="UR4:UR21" si="112">IF(UQ4="","",IF(UQ4&gt;3.7,"A",IF(UQ4&gt;2.8,"B",IF(UQ4&gt;1.5,"C",IF(UQ4&gt;0,"D",IF(UQ4=0,""))))))</f>
        <v/>
      </c>
      <c r="US4" s="104"/>
      <c r="UT4" s="85"/>
      <c r="UU4" s="105"/>
      <c r="UV4" s="106" t="str">
        <f>IF(COUNT(UV5:UV9)=0,"",SUM(UV5:UV9)/COUNT(UV5:UV9))</f>
        <v/>
      </c>
      <c r="UW4" s="108" t="str">
        <f t="shared" ref="UW4:UW21" si="113">IF(UV4="","",IF(UV4&gt;3.7,"A",IF(UV4&gt;2.8,"B",IF(UV4&gt;1.5,"C",IF(UV4&gt;0,"D",IF(UV4=0,""))))))</f>
        <v/>
      </c>
      <c r="UX4" s="109"/>
      <c r="UY4" s="110"/>
      <c r="UZ4" s="111"/>
      <c r="VA4" s="106" t="str">
        <f>IF(COUNT(VA5:VA9)=0,"",SUM(VA5:VA9)/COUNT(VA5:VA9))</f>
        <v/>
      </c>
      <c r="VB4" s="112" t="str">
        <f t="shared" ref="VB4:VB21" si="114">IF(VA4="","",IF(VA4&gt;3.7,"A",IF(VA4&gt;2.8,"B",IF(VA4&gt;1.5,"C",IF(VA4&gt;0,"D",IF(VA4=0,""))))))</f>
        <v/>
      </c>
      <c r="VC4" s="113" t="str">
        <f>IF(COUNT(VC5:VC9)=0,"",SUM(VC5:VC9)/COUNT(VC5:VC9))</f>
        <v/>
      </c>
      <c r="VD4" s="114" t="str">
        <f t="shared" ref="VD4:VD21" si="115">IF(VC4="","",IF(VC4&gt;3.7,"A",IF(VC4&gt;2.8,"B",IF(VC4&gt;1.5,"C",IF(VC4&gt;0,"D",IF(VC4=0,""))))))</f>
        <v/>
      </c>
      <c r="VE4" s="104"/>
      <c r="VF4" s="85"/>
      <c r="VG4" s="105"/>
      <c r="VH4" s="106" t="str">
        <f>IF(COUNT(VH5:VH9)=0,"",SUM(VH5:VH9)/COUNT(VH5:VH9))</f>
        <v/>
      </c>
      <c r="VI4" s="107" t="str">
        <f t="shared" ref="VI4:VI21" si="116">IF(VH4="","",IF(VH4&gt;3.7,"A",IF(VH4&gt;2.8,"B",IF(VH4&gt;1.5,"C",IF(VH4&gt;0,"D",IF(VH4=0,""))))))</f>
        <v/>
      </c>
      <c r="VJ4" s="104"/>
      <c r="VK4" s="85"/>
      <c r="VL4" s="105"/>
      <c r="VM4" s="106" t="str">
        <f>IF(COUNT(VM5:VM9)=0,"",SUM(VM5:VM9)/COUNT(VM5:VM9))</f>
        <v/>
      </c>
      <c r="VN4" s="108" t="str">
        <f t="shared" ref="VN4:VN21" si="117">IF(VM4="","",IF(VM4&gt;3.7,"A",IF(VM4&gt;2.8,"B",IF(VM4&gt;1.5,"C",IF(VM4&gt;0,"D",IF(VM4=0,""))))))</f>
        <v/>
      </c>
      <c r="VO4" s="109"/>
      <c r="VP4" s="110"/>
      <c r="VQ4" s="111"/>
      <c r="VR4" s="106" t="str">
        <f>IF(COUNT(VR5:VR9)=0,"",SUM(VR5:VR9)/COUNT(VR5:VR9))</f>
        <v/>
      </c>
      <c r="VS4" s="112" t="str">
        <f t="shared" ref="VS4:VS21" si="118">IF(VR4="","",IF(VR4&gt;3.7,"A",IF(VR4&gt;2.8,"B",IF(VR4&gt;1.5,"C",IF(VR4&gt;0,"D",IF(VR4=0,""))))))</f>
        <v/>
      </c>
      <c r="VT4" s="113" t="str">
        <f>IF(COUNT(VT5:VT9)=0,"",SUM(VT5:VT9)/COUNT(VT5:VT9))</f>
        <v/>
      </c>
      <c r="VU4" s="114" t="str">
        <f t="shared" ref="VU4:VU21" si="119">IF(VT4="","",IF(VT4&gt;3.7,"A",IF(VT4&gt;2.8,"B",IF(VT4&gt;1.5,"C",IF(VT4&gt;0,"D",IF(VT4=0,""))))))</f>
        <v/>
      </c>
    </row>
    <row r="5" spans="1:593" ht="18" customHeight="1" x14ac:dyDescent="0.55000000000000004">
      <c r="A5" s="246" t="s">
        <v>12</v>
      </c>
      <c r="B5" s="247"/>
      <c r="C5" s="116"/>
      <c r="D5" s="117" t="s">
        <v>32</v>
      </c>
      <c r="E5" s="118"/>
      <c r="F5" s="180">
        <f>IFERROR((((COUNTIF('Elève (4ème2)'!C5:E5,"A"))*4)+((COUNTIF('Elève (4ème2)'!C5:E5,"B"))*3)+((COUNTIF('Elève (4ème2)'!C5:E5,"C"))*2)+((COUNTIF('Elève (4ème2)'!C5:E5,"D"))*1))/(COUNTA(C5:E5)),"")</f>
        <v>1</v>
      </c>
      <c r="G5" s="181" t="str">
        <f t="shared" si="0"/>
        <v>D</v>
      </c>
      <c r="H5" s="116" t="s">
        <v>29</v>
      </c>
      <c r="I5" s="117"/>
      <c r="J5" s="118"/>
      <c r="K5" s="118"/>
      <c r="L5" s="180">
        <f>IFERROR((((COUNTIF('Elève (4ème2)'!H5:K5,"A"))*4)+((COUNTIF('Elève (4ème2)'!H5:K5,"B"))*3)+((COUNTIF('Elève (4ème2)'!H5:K5,"C"))*2)+((COUNTIF('Elève (4ème2)'!H5:K5,"D"))*1))/(COUNTA(H5:K5)),"")</f>
        <v>4</v>
      </c>
      <c r="M5" s="181" t="str">
        <f t="shared" si="1"/>
        <v>A</v>
      </c>
      <c r="N5" s="116"/>
      <c r="O5" s="117"/>
      <c r="P5" s="217"/>
      <c r="Q5" s="217"/>
      <c r="R5" s="118"/>
      <c r="S5" s="180" t="str">
        <f>IFERROR((((COUNTIF('Elève (4ème2)'!N5:R5,"A"))*4)+((COUNTIF('Elève (4ème2)'!N5:R5,"B"))*3)+((COUNTIF('Elève (4ème2)'!N5:R5,"C"))*2)+((COUNTIF('Elève (4ème2)'!N5:R5,"D"))*1))/(COUNTA(N5:R5)),"")</f>
        <v/>
      </c>
      <c r="T5" s="181" t="str">
        <f t="shared" si="2"/>
        <v/>
      </c>
      <c r="U5" s="180">
        <f>IF(COUNT(F5,L5,S5)=0,"",SUM(F5,L5,S5)/COUNT(F5,L5,S5))</f>
        <v>2.5</v>
      </c>
      <c r="V5" s="205" t="str">
        <f t="shared" si="3"/>
        <v>C</v>
      </c>
      <c r="W5" s="116"/>
      <c r="X5" s="117" t="s">
        <v>31</v>
      </c>
      <c r="Y5" s="118"/>
      <c r="Z5" s="180">
        <f>IFERROR((((COUNTIF('Elève (4ème2)'!W5:Y5,"A"))*4)+((COUNTIF('Elève (4ème2)'!W5:Y5,"B"))*3)+((COUNTIF('Elève (4ème2)'!W5:Y5,"C"))*2)+((COUNTIF('Elève (4ème2)'!W5:Y5,"D"))*1))/(COUNTA(W5:Y5)),"")</f>
        <v>2</v>
      </c>
      <c r="AA5" s="181" t="str">
        <f t="shared" si="4"/>
        <v>C</v>
      </c>
      <c r="AB5" s="116" t="s">
        <v>31</v>
      </c>
      <c r="AC5" s="117"/>
      <c r="AD5" s="118"/>
      <c r="AE5" s="118"/>
      <c r="AF5" s="180">
        <f>IFERROR((((COUNTIF('Elève (4ème2)'!AB5:AE5,"A"))*4)+((COUNTIF('Elève (4ème2)'!AB5:AE5,"B"))*3)+((COUNTIF('Elève (4ème2)'!AB5:AE5,"C"))*2)+((COUNTIF('Elève (4ème2)'!AB5:AE5,"D"))*1))/(COUNTA(AB5:AE5)),"")</f>
        <v>2</v>
      </c>
      <c r="AG5" s="181" t="str">
        <f t="shared" si="5"/>
        <v>C</v>
      </c>
      <c r="AH5" s="116"/>
      <c r="AI5" s="217"/>
      <c r="AJ5" s="217"/>
      <c r="AK5" s="117"/>
      <c r="AL5" s="122"/>
      <c r="AM5" s="180" t="str">
        <f>IFERROR((((COUNTIF('Elève (4ème2)'!AH5:AL5,"A"))*4)+((COUNTIF('Elève (4ème2)'!AH5:AL5,"B"))*3)+((COUNTIF('Elève (4ème2)'!AH5:AL5,"C"))*2)+((COUNTIF('Elève (4ème2)'!AH5:AL5,"D"))*1))/(COUNTA(AH5:AL5)),"")</f>
        <v/>
      </c>
      <c r="AN5" s="181" t="str">
        <f t="shared" si="6"/>
        <v/>
      </c>
      <c r="AO5" s="180">
        <f>IF(COUNT(Z5,AF5,AM5)=0,"",SUM(Z5,AF5,AM5)/COUNT(Z5,AF5,AM5))</f>
        <v>2</v>
      </c>
      <c r="AP5" s="205" t="str">
        <f t="shared" si="7"/>
        <v>C</v>
      </c>
      <c r="AQ5" s="116"/>
      <c r="AR5" s="117" t="s">
        <v>30</v>
      </c>
      <c r="AS5" s="118"/>
      <c r="AT5" s="180">
        <f>IFERROR((((COUNTIF('Elève (4ème2)'!AQ5:AS5,"A"))*4)+((COUNTIF('Elève (4ème2)'!AQ5:AS5,"B"))*3)+((COUNTIF('Elève (4ème2)'!AQ5:AS5,"C"))*2)+((COUNTIF('Elève (4ème2)'!AQ5:AS5,"D"))*1))/(COUNTA(AQ5:AS5)),"")</f>
        <v>3</v>
      </c>
      <c r="AU5" s="181" t="str">
        <f t="shared" si="8"/>
        <v>B</v>
      </c>
      <c r="AV5" s="116" t="s">
        <v>32</v>
      </c>
      <c r="AW5" s="117"/>
      <c r="AX5" s="118"/>
      <c r="AY5" s="118"/>
      <c r="AZ5" s="180">
        <f>IFERROR((((COUNTIF('Elève (4ème2)'!AV5:AY5,"A"))*4)+((COUNTIF('Elève (4ème2)'!AV5:AY5,"B"))*3)+((COUNTIF('Elève (4ème2)'!AV5:AY5,"C"))*2)+((COUNTIF('Elève (4ème2)'!AV5:AY5,"D"))*1))/(COUNTA(AV5:AY5)),"")</f>
        <v>1</v>
      </c>
      <c r="BA5" s="181" t="str">
        <f t="shared" si="9"/>
        <v>D</v>
      </c>
      <c r="BB5" s="116"/>
      <c r="BC5" s="217"/>
      <c r="BD5" s="217"/>
      <c r="BE5" s="117"/>
      <c r="BF5" s="122"/>
      <c r="BG5" s="180" t="str">
        <f>IFERROR((((COUNTIF('Elève (4ème2)'!BB5:BF5,"A"))*4)+((COUNTIF('Elève (4ème2)'!BB5:BF5,"B"))*3)+((COUNTIF('Elève (4ème2)'!BB5:BF5,"C"))*2)+((COUNTIF('Elève (4ème2)'!BB5:BF5,"D"))*1))/(COUNTA(BB5:BF5)),"")</f>
        <v/>
      </c>
      <c r="BH5" s="181" t="str">
        <f t="shared" si="10"/>
        <v/>
      </c>
      <c r="BI5" s="180">
        <f>IF(COUNT(AT5,AZ5,BG5)=0,"",SUM(AT5,AZ5,BG5)/COUNT(AT5,AZ5,BG5))</f>
        <v>2</v>
      </c>
      <c r="BJ5" s="205" t="str">
        <f t="shared" si="11"/>
        <v>C</v>
      </c>
      <c r="BK5" s="116"/>
      <c r="BL5" s="117" t="s">
        <v>31</v>
      </c>
      <c r="BM5" s="118"/>
      <c r="BN5" s="180">
        <f>IFERROR((((COUNTIF('Elève (4ème2)'!BK5:BM5,"A"))*4)+((COUNTIF('Elève (4ème2)'!BK5:BM5,"B"))*3)+((COUNTIF('Elève (4ème2)'!BK5:BM5,"C"))*2)+((COUNTIF('Elève (4ème2)'!BK5:BM5,"D"))*1))/(COUNTA(BK5:BM5)),"")</f>
        <v>2</v>
      </c>
      <c r="BO5" s="181" t="str">
        <f t="shared" si="12"/>
        <v>C</v>
      </c>
      <c r="BP5" s="116" t="s">
        <v>30</v>
      </c>
      <c r="BQ5" s="117"/>
      <c r="BR5" s="118"/>
      <c r="BS5" s="118"/>
      <c r="BT5" s="180">
        <f>IFERROR((((COUNTIF('Elève (4ème2)'!BP5:BS5,"A"))*4)+((COUNTIF('Elève (4ème2)'!BP5:BS5,"B"))*3)+((COUNTIF('Elève (4ème2)'!BP5:BS5,"C"))*2)+((COUNTIF('Elève (4ème2)'!BP5:BS5,"D"))*1))/(COUNTA(BP5:BS5)),"")</f>
        <v>3</v>
      </c>
      <c r="BU5" s="181" t="str">
        <f t="shared" si="13"/>
        <v>B</v>
      </c>
      <c r="BV5" s="116"/>
      <c r="BW5" s="217"/>
      <c r="BX5" s="217"/>
      <c r="BY5" s="117"/>
      <c r="BZ5" s="122"/>
      <c r="CA5" s="180" t="str">
        <f>IFERROR((((COUNTIF('Elève (4ème2)'!BV5:BZ5,"A"))*4)+((COUNTIF('Elève (4ème2)'!BV5:BZ5,"B"))*3)+((COUNTIF('Elève (4ème2)'!BV5:BZ5,"C"))*2)+((COUNTIF('Elève (4ème2)'!BV5:BZ5,"D"))*1))/(COUNTA(BV5:BZ5)),"")</f>
        <v/>
      </c>
      <c r="CB5" s="181" t="str">
        <f t="shared" si="14"/>
        <v/>
      </c>
      <c r="CC5" s="180">
        <f>IF(COUNT(BN5,BT5,CA5)=0,"",SUM(BN5,BT5,CA5)/COUNT(BN5,BT5,CA5))</f>
        <v>2.5</v>
      </c>
      <c r="CD5" s="205" t="str">
        <f t="shared" si="15"/>
        <v>C</v>
      </c>
      <c r="CE5" s="116"/>
      <c r="CF5" s="117" t="s">
        <v>31</v>
      </c>
      <c r="CG5" s="118"/>
      <c r="CH5" s="180">
        <f>IFERROR((((COUNTIF('Elève (4ème2)'!CE5:CG5,"A"))*4)+((COUNTIF('Elève (4ème2)'!CE5:CG5,"B"))*3)+((COUNTIF('Elève (4ème2)'!CE5:CG5,"C"))*2)+((COUNTIF('Elève (4ème2)'!CE5:CG5,"D"))*1))/(COUNTA(CE5:CG5)),"")</f>
        <v>2</v>
      </c>
      <c r="CI5" s="181" t="str">
        <f t="shared" si="16"/>
        <v>C</v>
      </c>
      <c r="CJ5" s="116" t="s">
        <v>29</v>
      </c>
      <c r="CK5" s="117"/>
      <c r="CL5" s="118"/>
      <c r="CM5" s="118"/>
      <c r="CN5" s="180">
        <f>IFERROR((((COUNTIF('Elève (4ème2)'!CJ5:CM5,"A"))*4)+((COUNTIF('Elève (4ème2)'!CJ5:CM5,"B"))*3)+((COUNTIF('Elève (4ème2)'!CJ5:CM5,"C"))*2)+((COUNTIF('Elève (4ème2)'!CJ5:CM5,"D"))*1))/(COUNTA(CJ5:CM5)),"")</f>
        <v>4</v>
      </c>
      <c r="CO5" s="181" t="str">
        <f t="shared" si="17"/>
        <v>A</v>
      </c>
      <c r="CP5" s="116"/>
      <c r="CQ5" s="217"/>
      <c r="CR5" s="217"/>
      <c r="CS5" s="117"/>
      <c r="CT5" s="122"/>
      <c r="CU5" s="180" t="str">
        <f>IFERROR((((COUNTIF('Elève (4ème2)'!CP5:CT5,"A"))*4)+((COUNTIF('Elève (4ème2)'!CP5:CT5,"B"))*3)+((COUNTIF('Elève (4ème2)'!CP5:CT5,"C"))*2)+((COUNTIF('Elève (4ème2)'!CP5:CT5,"D"))*1))/(COUNTA(CP5:CT5)),"")</f>
        <v/>
      </c>
      <c r="CV5" s="181" t="str">
        <f t="shared" si="18"/>
        <v/>
      </c>
      <c r="CW5" s="180">
        <f>IF(COUNT(CH5,CN5,CU5)=0,"",SUM(CH5,CN5,CU5)/COUNT(CH5,CN5,CU5))</f>
        <v>3</v>
      </c>
      <c r="CX5" s="205" t="str">
        <f t="shared" si="19"/>
        <v>B</v>
      </c>
      <c r="CY5" s="116"/>
      <c r="CZ5" s="117" t="s">
        <v>29</v>
      </c>
      <c r="DA5" s="118"/>
      <c r="DB5" s="180">
        <f>IFERROR((((COUNTIF('Elève (4ème2)'!CY5:DA5,"A"))*4)+((COUNTIF('Elève (4ème2)'!CY5:DA5,"B"))*3)+((COUNTIF('Elève (4ème2)'!CY5:DA5,"C"))*2)+((COUNTIF('Elève (4ème2)'!CY5:DA5,"D"))*1))/(COUNTA(CY5:DA5)),"")</f>
        <v>4</v>
      </c>
      <c r="DC5" s="181" t="str">
        <f t="shared" si="20"/>
        <v>A</v>
      </c>
      <c r="DD5" s="116" t="s">
        <v>32</v>
      </c>
      <c r="DE5" s="117"/>
      <c r="DF5" s="118"/>
      <c r="DG5" s="118"/>
      <c r="DH5" s="180">
        <f>IFERROR((((COUNTIF('Elève (4ème2)'!DD5:DG5,"A"))*4)+((COUNTIF('Elève (4ème2)'!DD5:DG5,"B"))*3)+((COUNTIF('Elève (4ème2)'!DD5:DG5,"C"))*2)+((COUNTIF('Elève (4ème2)'!DD5:DG5,"D"))*1))/(COUNTA(DD5:DG5)),"")</f>
        <v>1</v>
      </c>
      <c r="DI5" s="181" t="str">
        <f t="shared" si="21"/>
        <v>D</v>
      </c>
      <c r="DJ5" s="116"/>
      <c r="DK5" s="217"/>
      <c r="DL5" s="217"/>
      <c r="DM5" s="117"/>
      <c r="DN5" s="122"/>
      <c r="DO5" s="180" t="str">
        <f>IFERROR((((COUNTIF('Elève (4ème2)'!DJ5:DN5,"A"))*4)+((COUNTIF('Elève (4ème2)'!DJ5:DN5,"B"))*3)+((COUNTIF('Elève (4ème2)'!DJ5:DN5,"C"))*2)+((COUNTIF('Elève (4ème2)'!DJ5:DN5,"D"))*1))/(COUNTA(DJ5:DN5)),"")</f>
        <v/>
      </c>
      <c r="DP5" s="181" t="str">
        <f t="shared" si="22"/>
        <v/>
      </c>
      <c r="DQ5" s="180">
        <f>IF(COUNT(DB5,DH5,DO5)=0,"",SUM(DB5,DH5,DO5)/COUNT(DB5,DH5,DO5))</f>
        <v>2.5</v>
      </c>
      <c r="DR5" s="205" t="str">
        <f t="shared" si="23"/>
        <v>C</v>
      </c>
      <c r="DS5" s="116"/>
      <c r="DT5" s="117" t="s">
        <v>32</v>
      </c>
      <c r="DU5" s="118"/>
      <c r="DV5" s="180">
        <f>IFERROR((((COUNTIF('Elève (4ème2)'!DS5:DU5,"A"))*4)+((COUNTIF('Elève (4ème2)'!DS5:DU5,"B"))*3)+((COUNTIF('Elève (4ème2)'!DS5:DU5,"C"))*2)+((COUNTIF('Elève (4ème2)'!DS5:DU5,"D"))*1))/(COUNTA(DS5:DU5)),"")</f>
        <v>1</v>
      </c>
      <c r="DW5" s="181" t="str">
        <f t="shared" si="24"/>
        <v>D</v>
      </c>
      <c r="DX5" s="116" t="s">
        <v>30</v>
      </c>
      <c r="DY5" s="117"/>
      <c r="DZ5" s="118"/>
      <c r="EA5" s="118"/>
      <c r="EB5" s="180">
        <f>IFERROR((((COUNTIF('Elève (4ème2)'!DX5:EA5,"A"))*4)+((COUNTIF('Elève (4ème2)'!DX5:EA5,"B"))*3)+((COUNTIF('Elève (4ème2)'!DX5:EA5,"C"))*2)+((COUNTIF('Elève (4ème2)'!DX5:EA5,"D"))*1))/(COUNTA(DX5:EA5)),"")</f>
        <v>3</v>
      </c>
      <c r="EC5" s="181" t="str">
        <f t="shared" si="25"/>
        <v>B</v>
      </c>
      <c r="ED5" s="116"/>
      <c r="EE5" s="217"/>
      <c r="EF5" s="217"/>
      <c r="EG5" s="117"/>
      <c r="EH5" s="122"/>
      <c r="EI5" s="180" t="str">
        <f>IFERROR((((COUNTIF('Elève (4ème2)'!ED5:EH5,"A"))*4)+((COUNTIF('Elève (4ème2)'!ED5:EH5,"B"))*3)+((COUNTIF('Elève (4ème2)'!ED5:EH5,"C"))*2)+((COUNTIF('Elève (4ème2)'!ED5:EH5,"D"))*1))/(COUNTA(ED5:EH5)),"")</f>
        <v/>
      </c>
      <c r="EJ5" s="181" t="str">
        <f t="shared" si="26"/>
        <v/>
      </c>
      <c r="EK5" s="180">
        <f>IF(COUNT(DV5,EB5,EI5)=0,"",SUM(DV5,EB5,EI5)/COUNT(DV5,EB5,EI5))</f>
        <v>2</v>
      </c>
      <c r="EL5" s="205" t="str">
        <f t="shared" si="27"/>
        <v>C</v>
      </c>
      <c r="EM5" s="116"/>
      <c r="EN5" s="117" t="s">
        <v>31</v>
      </c>
      <c r="EO5" s="118"/>
      <c r="EP5" s="180">
        <f>IFERROR((((COUNTIF('Elève (4ème2)'!EM5:EO5,"A"))*4)+((COUNTIF('Elève (4ème2)'!EM5:EO5,"B"))*3)+((COUNTIF('Elève (4ème2)'!EM5:EO5,"C"))*2)+((COUNTIF('Elève (4ème2)'!EM5:EO5,"D"))*1))/(COUNTA(EM5:EO5)),"")</f>
        <v>2</v>
      </c>
      <c r="EQ5" s="181" t="str">
        <f t="shared" si="28"/>
        <v>C</v>
      </c>
      <c r="ER5" s="116" t="s">
        <v>30</v>
      </c>
      <c r="ES5" s="117"/>
      <c r="ET5" s="118"/>
      <c r="EU5" s="118"/>
      <c r="EV5" s="180">
        <f>IFERROR((((COUNTIF('Elève (4ème2)'!ER5:EU5,"A"))*4)+((COUNTIF('Elève (4ème2)'!ER5:EU5,"B"))*3)+((COUNTIF('Elève (4ème2)'!ER5:EU5,"C"))*2)+((COUNTIF('Elève (4ème2)'!ER5:EU5,"D"))*1))/(COUNTA(ER5:EU5)),"")</f>
        <v>3</v>
      </c>
      <c r="EW5" s="181" t="str">
        <f t="shared" si="29"/>
        <v>B</v>
      </c>
      <c r="EX5" s="116"/>
      <c r="EY5" s="217"/>
      <c r="EZ5" s="217"/>
      <c r="FA5" s="117"/>
      <c r="FB5" s="122"/>
      <c r="FC5" s="180" t="str">
        <f>IFERROR((((COUNTIF('Elève (4ème2)'!EX5:FB5,"A"))*4)+((COUNTIF('Elève (4ème2)'!EX5:FB5,"B"))*3)+((COUNTIF('Elève (4ème2)'!EX5:FB5,"C"))*2)+((COUNTIF('Elève (4ème2)'!EX5:FB5,"D"))*1))/(COUNTA(EX5:FB5)),"")</f>
        <v/>
      </c>
      <c r="FD5" s="181" t="str">
        <f t="shared" si="30"/>
        <v/>
      </c>
      <c r="FE5" s="180">
        <f>IF(COUNT(EP5,EV5,FC5)=0,"",SUM(EP5,EV5,FC5)/COUNT(EP5,EV5,FC5))</f>
        <v>2.5</v>
      </c>
      <c r="FF5" s="205" t="str">
        <f t="shared" si="31"/>
        <v>C</v>
      </c>
      <c r="FG5" s="116"/>
      <c r="FH5" s="117" t="s">
        <v>31</v>
      </c>
      <c r="FI5" s="118"/>
      <c r="FJ5" s="180">
        <f>IFERROR((((COUNTIF('Elève (4ème2)'!FG5:FI5,"A"))*4)+((COUNTIF('Elève (4ème2)'!FG5:FI5,"B"))*3)+((COUNTIF('Elève (4ème2)'!FG5:FI5,"C"))*2)+((COUNTIF('Elève (4ème2)'!FG5:FI5,"D"))*1))/(COUNTA(FG5:FI5)),"")</f>
        <v>2</v>
      </c>
      <c r="FK5" s="181" t="str">
        <f t="shared" si="32"/>
        <v>C</v>
      </c>
      <c r="FL5" s="116" t="s">
        <v>29</v>
      </c>
      <c r="FM5" s="117"/>
      <c r="FN5" s="118"/>
      <c r="FO5" s="118"/>
      <c r="FP5" s="180">
        <f>IFERROR((((COUNTIF('Elève (4ème2)'!FL5:FO5,"A"))*4)+((COUNTIF('Elève (4ème2)'!FL5:FO5,"B"))*3)+((COUNTIF('Elève (4ème2)'!FL5:FO5,"C"))*2)+((COUNTIF('Elève (4ème2)'!FL5:FO5,"D"))*1))/(COUNTA(FL5:FO5)),"")</f>
        <v>4</v>
      </c>
      <c r="FQ5" s="181" t="str">
        <f t="shared" si="33"/>
        <v>A</v>
      </c>
      <c r="FR5" s="116"/>
      <c r="FS5" s="217"/>
      <c r="FT5" s="217"/>
      <c r="FU5" s="117"/>
      <c r="FV5" s="122"/>
      <c r="FW5" s="180" t="str">
        <f>IFERROR((((COUNTIF('Elève (4ème2)'!FR5:FV5,"A"))*4)+((COUNTIF('Elève (4ème2)'!FR5:FV5,"B"))*3)+((COUNTIF('Elève (4ème2)'!FR5:FV5,"C"))*2)+((COUNTIF('Elève (4ème2)'!FR5:FV5,"D"))*1))/(COUNTA(FR5:FV5)),"")</f>
        <v/>
      </c>
      <c r="FX5" s="181" t="str">
        <f t="shared" si="34"/>
        <v/>
      </c>
      <c r="FY5" s="180">
        <f>IF(COUNT(FJ5,FP5,FW5)=0,"",SUM(FJ5,FP5,FW5)/COUNT(FJ5,FP5,FW5))</f>
        <v>3</v>
      </c>
      <c r="FZ5" s="205" t="str">
        <f t="shared" si="35"/>
        <v>B</v>
      </c>
      <c r="GA5" s="116"/>
      <c r="GB5" s="117" t="s">
        <v>31</v>
      </c>
      <c r="GC5" s="118"/>
      <c r="GD5" s="180">
        <f>IFERROR((((COUNTIF('Elève (4ème2)'!GA5:GC5,"A"))*4)+((COUNTIF('Elève (4ème2)'!GA5:GC5,"B"))*3)+((COUNTIF('Elève (4ème2)'!GA5:GC5,"C"))*2)+((COUNTIF('Elève (4ème2)'!GA5:GC5,"D"))*1))/(COUNTA(GA5:GC5)),"")</f>
        <v>2</v>
      </c>
      <c r="GE5" s="181" t="str">
        <f t="shared" si="36"/>
        <v>C</v>
      </c>
      <c r="GF5" s="116"/>
      <c r="GG5" s="117"/>
      <c r="GH5" s="118"/>
      <c r="GI5" s="118"/>
      <c r="GJ5" s="180" t="str">
        <f>IFERROR((((COUNTIF('Elève (4ème2)'!GF5:GI5,"A"))*4)+((COUNTIF('Elève (4ème2)'!GF5:GI5,"B"))*3)+((COUNTIF('Elève (4ème2)'!GF5:GI5,"C"))*2)+((COUNTIF('Elève (4ème2)'!GF5:GI5,"D"))*1))/(COUNTA(GF5:GI5)),"")</f>
        <v/>
      </c>
      <c r="GK5" s="181" t="str">
        <f t="shared" si="37"/>
        <v/>
      </c>
      <c r="GL5" s="116"/>
      <c r="GM5" s="217"/>
      <c r="GN5" s="217"/>
      <c r="GO5" s="117"/>
      <c r="GP5" s="122"/>
      <c r="GQ5" s="180" t="str">
        <f>IFERROR((((COUNTIF('Elève (4ème2)'!GL5:GP5,"A"))*4)+((COUNTIF('Elève (4ème2)'!GL5:GP5,"B"))*3)+((COUNTIF('Elève (4ème2)'!GL5:GP5,"C"))*2)+((COUNTIF('Elève (4ème2)'!GL5:GP5,"D"))*1))/(COUNTA(GL5:GP5)),"")</f>
        <v/>
      </c>
      <c r="GR5" s="181" t="str">
        <f t="shared" si="38"/>
        <v/>
      </c>
      <c r="GS5" s="180">
        <f>IF(COUNT(GD5,GJ5,GQ5)=0,"",SUM(GD5,GJ5,GQ5)/COUNT(GD5,GJ5,GQ5))</f>
        <v>2</v>
      </c>
      <c r="GT5" s="205" t="str">
        <f t="shared" si="39"/>
        <v>C</v>
      </c>
      <c r="GU5" s="116"/>
      <c r="GV5" s="117" t="s">
        <v>31</v>
      </c>
      <c r="GW5" s="118"/>
      <c r="GX5" s="180">
        <f>IFERROR((((COUNTIF('Elève (4ème2)'!GU5:GW5,"A"))*4)+((COUNTIF('Elève (4ème2)'!GU5:GW5,"B"))*3)+((COUNTIF('Elève (4ème2)'!GU5:GW5,"C"))*2)+((COUNTIF('Elève (4ème2)'!GU5:GW5,"D"))*1))/(COUNTA(GU5:GW5)),"")</f>
        <v>2</v>
      </c>
      <c r="GY5" s="181" t="str">
        <f t="shared" si="40"/>
        <v>C</v>
      </c>
      <c r="GZ5" s="116" t="s">
        <v>29</v>
      </c>
      <c r="HA5" s="117"/>
      <c r="HB5" s="118"/>
      <c r="HC5" s="118"/>
      <c r="HD5" s="180">
        <f>IFERROR((((COUNTIF('Elève (4ème2)'!GZ5:HC5,"A"))*4)+((COUNTIF('Elève (4ème2)'!GZ5:HC5,"B"))*3)+((COUNTIF('Elève (4ème2)'!GZ5:HC5,"C"))*2)+((COUNTIF('Elève (4ème2)'!GZ5:HC5,"D"))*1))/(COUNTA(GZ5:HC5)),"")</f>
        <v>4</v>
      </c>
      <c r="HE5" s="181" t="str">
        <f t="shared" si="41"/>
        <v>A</v>
      </c>
      <c r="HF5" s="116"/>
      <c r="HG5" s="217"/>
      <c r="HH5" s="217"/>
      <c r="HI5" s="117"/>
      <c r="HJ5" s="122"/>
      <c r="HK5" s="180" t="str">
        <f>IFERROR((((COUNTIF('Elève (4ème2)'!HF5:HJ5,"A"))*4)+((COUNTIF('Elève (4ème2)'!HF5:HJ5,"B"))*3)+((COUNTIF('Elève (4ème2)'!HF5:HJ5,"C"))*2)+((COUNTIF('Elève (4ème2)'!HF5:HJ5,"D"))*1))/(COUNTA(HF5:HJ5)),"")</f>
        <v/>
      </c>
      <c r="HL5" s="181" t="str">
        <f t="shared" si="42"/>
        <v/>
      </c>
      <c r="HM5" s="180">
        <f>IF(COUNT(GX5,HD5,HK5)=0,"",SUM(GX5,HD5,HK5)/COUNT(GX5,HD5,HK5))</f>
        <v>3</v>
      </c>
      <c r="HN5" s="205" t="str">
        <f t="shared" si="43"/>
        <v>B</v>
      </c>
      <c r="HO5" s="116"/>
      <c r="HP5" s="117" t="s">
        <v>31</v>
      </c>
      <c r="HQ5" s="118"/>
      <c r="HR5" s="180">
        <f>IFERROR((((COUNTIF('Elève (4ème2)'!HO5:HQ5,"A"))*4)+((COUNTIF('Elève (4ème2)'!HO5:HQ5,"B"))*3)+((COUNTIF('Elève (4ème2)'!HO5:HQ5,"C"))*2)+((COUNTIF('Elève (4ème2)'!HO5:HQ5,"D"))*1))/(COUNTA(HO5:HQ5)),"")</f>
        <v>2</v>
      </c>
      <c r="HS5" s="181" t="str">
        <f t="shared" si="44"/>
        <v>C</v>
      </c>
      <c r="HT5" s="116" t="s">
        <v>30</v>
      </c>
      <c r="HU5" s="117"/>
      <c r="HV5" s="118"/>
      <c r="HW5" s="118"/>
      <c r="HX5" s="180">
        <f>IFERROR((((COUNTIF('Elève (4ème2)'!HT5:HW5,"A"))*4)+((COUNTIF('Elève (4ème2)'!HT5:HW5,"B"))*3)+((COUNTIF('Elève (4ème2)'!HT5:HW5,"C"))*2)+((COUNTIF('Elève (4ème2)'!HT5:HW5,"D"))*1))/(COUNTA(HT5:HW5)),"")</f>
        <v>3</v>
      </c>
      <c r="HY5" s="181" t="str">
        <f t="shared" si="45"/>
        <v>B</v>
      </c>
      <c r="HZ5" s="116"/>
      <c r="IA5" s="217"/>
      <c r="IB5" s="217"/>
      <c r="IC5" s="117"/>
      <c r="ID5" s="122"/>
      <c r="IE5" s="180" t="str">
        <f>IFERROR((((COUNTIF('Elève (4ème2)'!HZ5:ID5,"A"))*4)+((COUNTIF('Elève (4ème2)'!HZ5:ID5,"B"))*3)+((COUNTIF('Elève (4ème2)'!HZ5:ID5,"C"))*2)+((COUNTIF('Elève (4ème2)'!HZ5:ID5,"D"))*1))/(COUNTA(HZ5:ID5)),"")</f>
        <v/>
      </c>
      <c r="IF5" s="181" t="str">
        <f t="shared" si="46"/>
        <v/>
      </c>
      <c r="IG5" s="180">
        <f>IF(COUNT(HR5,HX5,IE5)=0,"",SUM(HR5,HX5,IE5)/COUNT(HR5,HX5,IE5))</f>
        <v>2.5</v>
      </c>
      <c r="IH5" s="205" t="str">
        <f t="shared" si="47"/>
        <v>C</v>
      </c>
      <c r="II5" s="116"/>
      <c r="IJ5" s="117" t="s">
        <v>31</v>
      </c>
      <c r="IK5" s="118"/>
      <c r="IL5" s="180">
        <f>IFERROR((((COUNTIF('Elève (4ème2)'!II5:IK5,"A"))*4)+((COUNTIF('Elève (4ème2)'!II5:IK5,"B"))*3)+((COUNTIF('Elève (4ème2)'!II5:IK5,"C"))*2)+((COUNTIF('Elève (4ème2)'!II5:IK5,"D"))*1))/(COUNTA(II5:IK5)),"")</f>
        <v>2</v>
      </c>
      <c r="IM5" s="181" t="str">
        <f t="shared" si="48"/>
        <v>C</v>
      </c>
      <c r="IN5" s="116"/>
      <c r="IO5" s="117"/>
      <c r="IP5" s="118"/>
      <c r="IQ5" s="118"/>
      <c r="IR5" s="180" t="str">
        <f>IFERROR((((COUNTIF('Elève (4ème2)'!IN5:IQ5,"A"))*4)+((COUNTIF('Elève (4ème2)'!IN5:IQ5,"B"))*3)+((COUNTIF('Elève (4ème2)'!IN5:IQ5,"C"))*2)+((COUNTIF('Elève (4ème2)'!IN5:IQ5,"D"))*1))/(COUNTA(IN5:IQ5)),"")</f>
        <v/>
      </c>
      <c r="IS5" s="181" t="str">
        <f t="shared" si="49"/>
        <v/>
      </c>
      <c r="IT5" s="116"/>
      <c r="IU5" s="217"/>
      <c r="IV5" s="217"/>
      <c r="IW5" s="117"/>
      <c r="IX5" s="122"/>
      <c r="IY5" s="180" t="str">
        <f>IFERROR((((COUNTIF('Elève (4ème2)'!IT5:IX5,"A"))*4)+((COUNTIF('Elève (4ème2)'!IT5:IX5,"B"))*3)+((COUNTIF('Elève (4ème2)'!IT5:IX5,"C"))*2)+((COUNTIF('Elève (4ème2)'!IT5:IX5,"D"))*1))/(COUNTA(IT5:IX5)),"")</f>
        <v/>
      </c>
      <c r="IZ5" s="181" t="str">
        <f t="shared" si="50"/>
        <v/>
      </c>
      <c r="JA5" s="180">
        <f>IF(COUNT(IL5,IR5,IY5)=0,"",SUM(IL5,IR5,IY5)/COUNT(IL5,IR5,IY5))</f>
        <v>2</v>
      </c>
      <c r="JB5" s="205" t="str">
        <f t="shared" si="51"/>
        <v>C</v>
      </c>
      <c r="JC5" s="116"/>
      <c r="JD5" s="117" t="s">
        <v>31</v>
      </c>
      <c r="JE5" s="118"/>
      <c r="JF5" s="180">
        <f>IFERROR((((COUNTIF('Elève (4ème2)'!JC5:JE5,"A"))*4)+((COUNTIF('Elève (4ème2)'!JC5:JE5,"B"))*3)+((COUNTIF('Elève (4ème2)'!JC5:JE5,"C"))*2)+((COUNTIF('Elève (4ème2)'!JC5:JE5,"D"))*1))/(COUNTA(JC5:JE5)),"")</f>
        <v>2</v>
      </c>
      <c r="JG5" s="181" t="str">
        <f t="shared" si="52"/>
        <v>C</v>
      </c>
      <c r="JH5" s="116" t="s">
        <v>29</v>
      </c>
      <c r="JI5" s="117"/>
      <c r="JJ5" s="118"/>
      <c r="JK5" s="118"/>
      <c r="JL5" s="180">
        <f>IFERROR((((COUNTIF('Elève (4ème2)'!JH5:JK5,"A"))*4)+((COUNTIF('Elève (4ème2)'!JH5:JK5,"B"))*3)+((COUNTIF('Elève (4ème2)'!JH5:JK5,"C"))*2)+((COUNTIF('Elève (4ème2)'!JH5:JK5,"D"))*1))/(COUNTA(JH5:JK5)),"")</f>
        <v>4</v>
      </c>
      <c r="JM5" s="181" t="str">
        <f t="shared" si="53"/>
        <v>A</v>
      </c>
      <c r="JN5" s="116"/>
      <c r="JO5" s="217"/>
      <c r="JP5" s="217"/>
      <c r="JQ5" s="117"/>
      <c r="JR5" s="122"/>
      <c r="JS5" s="180" t="str">
        <f>IFERROR((((COUNTIF('Elève (4ème2)'!JN5:JR5,"A"))*4)+((COUNTIF('Elève (4ème2)'!JN5:JR5,"B"))*3)+((COUNTIF('Elève (4ème2)'!JN5:JR5,"C"))*2)+((COUNTIF('Elève (4ème2)'!JN5:JR5,"D"))*1))/(COUNTA(JN5:JR5)),"")</f>
        <v/>
      </c>
      <c r="JT5" s="181" t="str">
        <f t="shared" si="54"/>
        <v/>
      </c>
      <c r="JU5" s="180">
        <f>IF(COUNT(JF5,JL5,JS5)=0,"",SUM(JF5,JL5,JS5)/COUNT(JF5,JL5,JS5))</f>
        <v>3</v>
      </c>
      <c r="JV5" s="205" t="str">
        <f t="shared" si="55"/>
        <v>B</v>
      </c>
      <c r="JW5" s="116"/>
      <c r="JX5" s="117" t="s">
        <v>30</v>
      </c>
      <c r="JY5" s="118"/>
      <c r="JZ5" s="180">
        <f>IFERROR((((COUNTIF('Elève (4ème2)'!JW5:JY5,"A"))*4)+((COUNTIF('Elève (4ème2)'!JW5:JY5,"B"))*3)+((COUNTIF('Elève (4ème2)'!JW5:JY5,"C"))*2)+((COUNTIF('Elève (4ème2)'!JW5:JY5,"D"))*1))/(COUNTA(JW5:JY5)),"")</f>
        <v>3</v>
      </c>
      <c r="KA5" s="181" t="str">
        <f t="shared" si="56"/>
        <v>B</v>
      </c>
      <c r="KB5" s="116" t="s">
        <v>29</v>
      </c>
      <c r="KC5" s="117"/>
      <c r="KD5" s="118"/>
      <c r="KE5" s="118"/>
      <c r="KF5" s="180">
        <f>IFERROR((((COUNTIF('Elève (4ème2)'!KB5:KE5,"A"))*4)+((COUNTIF('Elève (4ème2)'!KB5:KE5,"B"))*3)+((COUNTIF('Elève (4ème2)'!KB5:KE5,"C"))*2)+((COUNTIF('Elève (4ème2)'!KB5:KE5,"D"))*1))/(COUNTA(KB5:KE5)),"")</f>
        <v>4</v>
      </c>
      <c r="KG5" s="181" t="str">
        <f t="shared" si="57"/>
        <v>A</v>
      </c>
      <c r="KH5" s="116"/>
      <c r="KI5" s="217"/>
      <c r="KJ5" s="217"/>
      <c r="KK5" s="117"/>
      <c r="KL5" s="122"/>
      <c r="KM5" s="180" t="str">
        <f>IFERROR((((COUNTIF('Elève (4ème2)'!KH5:KL5,"A"))*4)+((COUNTIF('Elève (4ème2)'!KH5:KL5,"B"))*3)+((COUNTIF('Elève (4ème2)'!KH5:KL5,"C"))*2)+((COUNTIF('Elève (4ème2)'!KH5:KL5,"D"))*1))/(COUNTA(KH5:KL5)),"")</f>
        <v/>
      </c>
      <c r="KN5" s="181" t="str">
        <f t="shared" si="58"/>
        <v/>
      </c>
      <c r="KO5" s="180">
        <f>IF(COUNT(JZ5,KF5,KM5)=0,"",SUM(JZ5,KF5,KM5)/COUNT(JZ5,KF5,KM5))</f>
        <v>3.5</v>
      </c>
      <c r="KP5" s="205" t="str">
        <f t="shared" si="59"/>
        <v>B</v>
      </c>
      <c r="KQ5" s="116"/>
      <c r="KR5" s="117" t="s">
        <v>31</v>
      </c>
      <c r="KS5" s="118"/>
      <c r="KT5" s="180">
        <f>IFERROR((((COUNTIF('Elève (4ème2)'!KQ5:KS5,"A"))*4)+((COUNTIF('Elève (4ème2)'!KQ5:KS5,"B"))*3)+((COUNTIF('Elève (4ème2)'!KQ5:KS5,"C"))*2)+((COUNTIF('Elève (4ème2)'!KQ5:KS5,"D"))*1))/(COUNTA(KQ5:KS5)),"")</f>
        <v>2</v>
      </c>
      <c r="KU5" s="181" t="str">
        <f t="shared" si="60"/>
        <v>C</v>
      </c>
      <c r="KV5" s="116" t="s">
        <v>29</v>
      </c>
      <c r="KW5" s="117"/>
      <c r="KX5" s="118"/>
      <c r="KY5" s="118"/>
      <c r="KZ5" s="180">
        <f>IFERROR((((COUNTIF('Elève (4ème2)'!KV5:KY5,"A"))*4)+((COUNTIF('Elève (4ème2)'!KV5:KY5,"B"))*3)+((COUNTIF('Elève (4ème2)'!KV5:KY5,"C"))*2)+((COUNTIF('Elève (4ème2)'!KV5:KY5,"D"))*1))/(COUNTA(KV5:KY5)),"")</f>
        <v>4</v>
      </c>
      <c r="LA5" s="181" t="str">
        <f t="shared" si="61"/>
        <v>A</v>
      </c>
      <c r="LB5" s="116"/>
      <c r="LC5" s="217"/>
      <c r="LD5" s="217"/>
      <c r="LE5" s="117"/>
      <c r="LF5" s="122"/>
      <c r="LG5" s="180" t="str">
        <f>IFERROR((((COUNTIF('Elève (4ème2)'!LB5:LF5,"A"))*4)+((COUNTIF('Elève (4ème2)'!LB5:LF5,"B"))*3)+((COUNTIF('Elève (4ème2)'!LB5:LF5,"C"))*2)+((COUNTIF('Elève (4ème2)'!LB5:LF5,"D"))*1))/(COUNTA(LB5:LF5)),"")</f>
        <v/>
      </c>
      <c r="LH5" s="181" t="str">
        <f t="shared" si="62"/>
        <v/>
      </c>
      <c r="LI5" s="180">
        <f>IF(COUNT(KT5,KZ5,LG5)=0,"",SUM(KT5,KZ5,LG5)/COUNT(KT5,KZ5,LG5))</f>
        <v>3</v>
      </c>
      <c r="LJ5" s="205" t="str">
        <f t="shared" si="63"/>
        <v>B</v>
      </c>
      <c r="LK5" s="116"/>
      <c r="LL5" s="117" t="s">
        <v>31</v>
      </c>
      <c r="LM5" s="118"/>
      <c r="LN5" s="180">
        <f>IFERROR((((COUNTIF('Elève (4ème2)'!LK5:LM5,"A"))*4)+((COUNTIF('Elève (4ème2)'!LK5:LM5,"B"))*3)+((COUNTIF('Elève (4ème2)'!LK5:LM5,"C"))*2)+((COUNTIF('Elève (4ème2)'!LK5:LM5,"D"))*1))/(COUNTA(LK5:LM5)),"")</f>
        <v>2</v>
      </c>
      <c r="LO5" s="181" t="str">
        <f t="shared" si="64"/>
        <v>C</v>
      </c>
      <c r="LP5" s="116" t="s">
        <v>32</v>
      </c>
      <c r="LQ5" s="117"/>
      <c r="LR5" s="118"/>
      <c r="LS5" s="118"/>
      <c r="LT5" s="180">
        <f>IFERROR((((COUNTIF('Elève (4ème2)'!LP5:LS5,"A"))*4)+((COUNTIF('Elève (4ème2)'!LP5:LS5,"B"))*3)+((COUNTIF('Elève (4ème2)'!LP5:LS5,"C"))*2)+((COUNTIF('Elève (4ème2)'!LP5:LS5,"D"))*1))/(COUNTA(LP5:LS5)),"")</f>
        <v>1</v>
      </c>
      <c r="LU5" s="181" t="str">
        <f t="shared" si="65"/>
        <v>D</v>
      </c>
      <c r="LV5" s="116"/>
      <c r="LW5" s="217"/>
      <c r="LX5" s="217"/>
      <c r="LY5" s="117"/>
      <c r="LZ5" s="122"/>
      <c r="MA5" s="180" t="str">
        <f>IFERROR((((COUNTIF('Elève (4ème2)'!LV5:LZ5,"A"))*4)+((COUNTIF('Elève (4ème2)'!LV5:LZ5,"B"))*3)+((COUNTIF('Elève (4ème2)'!LV5:LZ5,"C"))*2)+((COUNTIF('Elève (4ème2)'!LV5:LZ5,"D"))*1))/(COUNTA(LV5:LZ5)),"")</f>
        <v/>
      </c>
      <c r="MB5" s="181" t="str">
        <f t="shared" si="66"/>
        <v/>
      </c>
      <c r="MC5" s="180">
        <f>IF(COUNT(LN5,LT5,MA5)=0,"",SUM(LN5,LT5,MA5)/COUNT(LN5,LT5,MA5))</f>
        <v>1.5</v>
      </c>
      <c r="MD5" s="205" t="str">
        <f t="shared" si="67"/>
        <v>D</v>
      </c>
      <c r="ME5" s="116"/>
      <c r="MF5" s="117" t="s">
        <v>31</v>
      </c>
      <c r="MG5" s="118"/>
      <c r="MH5" s="180">
        <f>IFERROR((((COUNTIF('Elève (4ème2)'!ME5:MG5,"A"))*4)+((COUNTIF('Elève (4ème2)'!ME5:MG5,"B"))*3)+((COUNTIF('Elève (4ème2)'!ME5:MG5,"C"))*2)+((COUNTIF('Elève (4ème2)'!ME5:MG5,"D"))*1))/(COUNTA(ME5:MG5)),"")</f>
        <v>2</v>
      </c>
      <c r="MI5" s="181" t="str">
        <f t="shared" si="68"/>
        <v>C</v>
      </c>
      <c r="MJ5" s="116" t="s">
        <v>31</v>
      </c>
      <c r="MK5" s="117"/>
      <c r="ML5" s="118"/>
      <c r="MM5" s="118"/>
      <c r="MN5" s="180">
        <f>IFERROR((((COUNTIF('Elève (4ème2)'!MJ5:MM5,"A"))*4)+((COUNTIF('Elève (4ème2)'!MJ5:MM5,"B"))*3)+((COUNTIF('Elève (4ème2)'!MJ5:MM5,"C"))*2)+((COUNTIF('Elève (4ème2)'!MJ5:MM5,"D"))*1))/(COUNTA(MJ5:MM5)),"")</f>
        <v>2</v>
      </c>
      <c r="MO5" s="181" t="str">
        <f t="shared" si="69"/>
        <v>C</v>
      </c>
      <c r="MP5" s="116"/>
      <c r="MQ5" s="217"/>
      <c r="MR5" s="217"/>
      <c r="MS5" s="117"/>
      <c r="MT5" s="122"/>
      <c r="MU5" s="180" t="str">
        <f>IFERROR((((COUNTIF('Elève (4ème2)'!MP5:MT5,"A"))*4)+((COUNTIF('Elève (4ème2)'!MP5:MT5,"B"))*3)+((COUNTIF('Elève (4ème2)'!MP5:MT5,"C"))*2)+((COUNTIF('Elève (4ème2)'!MP5:MT5,"D"))*1))/(COUNTA(MP5:MT5)),"")</f>
        <v/>
      </c>
      <c r="MV5" s="181" t="str">
        <f t="shared" si="70"/>
        <v/>
      </c>
      <c r="MW5" s="180">
        <f>IF(COUNT(MH5,MN5,MU5)=0,"",SUM(MH5,MN5,MU5)/COUNT(MH5,MN5,MU5))</f>
        <v>2</v>
      </c>
      <c r="MX5" s="205" t="str">
        <f t="shared" si="71"/>
        <v>C</v>
      </c>
      <c r="MY5" s="116"/>
      <c r="MZ5" s="117" t="s">
        <v>31</v>
      </c>
      <c r="NA5" s="118"/>
      <c r="NB5" s="180">
        <f>IFERROR((((COUNTIF('Elève (4ème2)'!MY5:NA5,"A"))*4)+((COUNTIF('Elève (4ème2)'!MY5:NA5,"B"))*3)+((COUNTIF('Elève (4ème2)'!MY5:NA5,"C"))*2)+((COUNTIF('Elève (4ème2)'!MY5:NA5,"D"))*1))/(COUNTA(MY5:NA5)),"")</f>
        <v>2</v>
      </c>
      <c r="NC5" s="181" t="str">
        <f t="shared" si="72"/>
        <v>C</v>
      </c>
      <c r="ND5" s="116" t="s">
        <v>29</v>
      </c>
      <c r="NE5" s="117"/>
      <c r="NF5" s="118"/>
      <c r="NG5" s="118"/>
      <c r="NH5" s="180">
        <f>IFERROR((((COUNTIF('Elève (4ème2)'!ND5:NG5,"A"))*4)+((COUNTIF('Elève (4ème2)'!ND5:NG5,"B"))*3)+((COUNTIF('Elève (4ème2)'!ND5:NG5,"C"))*2)+((COUNTIF('Elève (4ème2)'!ND5:NG5,"D"))*1))/(COUNTA(ND5:NG5)),"")</f>
        <v>4</v>
      </c>
      <c r="NI5" s="181" t="str">
        <f t="shared" si="73"/>
        <v>A</v>
      </c>
      <c r="NJ5" s="116"/>
      <c r="NK5" s="217"/>
      <c r="NL5" s="217"/>
      <c r="NM5" s="117"/>
      <c r="NN5" s="122"/>
      <c r="NO5" s="180" t="str">
        <f>IFERROR((((COUNTIF('Elève (4ème2)'!NJ5:NN5,"A"))*4)+((COUNTIF('Elève (4ème2)'!NJ5:NN5,"B"))*3)+((COUNTIF('Elève (4ème2)'!NJ5:NN5,"C"))*2)+((COUNTIF('Elève (4ème2)'!NJ5:NN5,"D"))*1))/(COUNTA(NJ5:NN5)),"")</f>
        <v/>
      </c>
      <c r="NP5" s="181" t="str">
        <f t="shared" si="74"/>
        <v/>
      </c>
      <c r="NQ5" s="180">
        <f>IF(COUNT(NB5,NH5,NO5)=0,"",SUM(NB5,NH5,NO5)/COUNT(NB5,NH5,NO5))</f>
        <v>3</v>
      </c>
      <c r="NR5" s="205" t="str">
        <f t="shared" si="75"/>
        <v>B</v>
      </c>
      <c r="NS5" s="116"/>
      <c r="NT5" s="117" t="s">
        <v>32</v>
      </c>
      <c r="NU5" s="118"/>
      <c r="NV5" s="180">
        <f>IFERROR((((COUNTIF('Elève (4ème2)'!NS5:NU5,"A"))*4)+((COUNTIF('Elève (4ème2)'!NS5:NU5,"B"))*3)+((COUNTIF('Elève (4ème2)'!NS5:NU5,"C"))*2)+((COUNTIF('Elève (4ème2)'!NS5:NU5,"D"))*1))/(COUNTA(NS5:NU5)),"")</f>
        <v>1</v>
      </c>
      <c r="NW5" s="181" t="str">
        <f t="shared" si="76"/>
        <v>D</v>
      </c>
      <c r="NX5" s="116" t="s">
        <v>29</v>
      </c>
      <c r="NY5" s="117"/>
      <c r="NZ5" s="118"/>
      <c r="OA5" s="118"/>
      <c r="OB5" s="180">
        <f>IFERROR((((COUNTIF('Elève (4ème2)'!NX5:OA5,"A"))*4)+((COUNTIF('Elève (4ème2)'!NX5:OA5,"B"))*3)+((COUNTIF('Elève (4ème2)'!NX5:OA5,"C"))*2)+((COUNTIF('Elève (4ème2)'!NX5:OA5,"D"))*1))/(COUNTA(NX5:OA5)),"")</f>
        <v>4</v>
      </c>
      <c r="OC5" s="181" t="str">
        <f t="shared" si="77"/>
        <v>A</v>
      </c>
      <c r="OD5" s="116"/>
      <c r="OE5" s="217"/>
      <c r="OF5" s="217"/>
      <c r="OG5" s="117"/>
      <c r="OH5" s="122"/>
      <c r="OI5" s="180" t="str">
        <f>IFERROR((((COUNTIF('Elève (4ème2)'!OD5:OH5,"A"))*4)+((COUNTIF('Elève (4ème2)'!OD5:OH5,"B"))*3)+((COUNTIF('Elève (4ème2)'!OD5:OH5,"C"))*2)+((COUNTIF('Elève (4ème2)'!OD5:OH5,"D"))*1))/(COUNTA(OD5:OH5)),"")</f>
        <v/>
      </c>
      <c r="OJ5" s="181" t="str">
        <f t="shared" si="78"/>
        <v/>
      </c>
      <c r="OK5" s="180">
        <f>IF(COUNT(NV5,OB5,OI5)=0,"",SUM(NV5,OB5,OI5)/COUNT(NV5,OB5,OI5))</f>
        <v>2.5</v>
      </c>
      <c r="OL5" s="205" t="str">
        <f t="shared" si="79"/>
        <v>C</v>
      </c>
      <c r="OM5" s="116"/>
      <c r="ON5" s="117" t="s">
        <v>31</v>
      </c>
      <c r="OO5" s="118"/>
      <c r="OP5" s="180">
        <f>IFERROR((((COUNTIF('Elève (4ème2)'!OM5:OO5,"A"))*4)+((COUNTIF('Elève (4ème2)'!OM5:OO5,"B"))*3)+((COUNTIF('Elève (4ème2)'!OM5:OO5,"C"))*2)+((COUNTIF('Elève (4ème2)'!OM5:OO5,"D"))*1))/(COUNTA(OM5:OO5)),"")</f>
        <v>2</v>
      </c>
      <c r="OQ5" s="181" t="str">
        <f t="shared" si="80"/>
        <v>C</v>
      </c>
      <c r="OR5" s="116" t="s">
        <v>31</v>
      </c>
      <c r="OS5" s="117"/>
      <c r="OT5" s="118"/>
      <c r="OU5" s="118"/>
      <c r="OV5" s="180">
        <f>IFERROR((((COUNTIF('Elève (4ème2)'!OR5:OU5,"A"))*4)+((COUNTIF('Elève (4ème2)'!OR5:OU5,"B"))*3)+((COUNTIF('Elève (4ème2)'!OR5:OU5,"C"))*2)+((COUNTIF('Elève (4ème2)'!OR5:OU5,"D"))*1))/(COUNTA(OR5:OU5)),"")</f>
        <v>2</v>
      </c>
      <c r="OW5" s="181" t="str">
        <f t="shared" si="81"/>
        <v>C</v>
      </c>
      <c r="OX5" s="116"/>
      <c r="OY5" s="217"/>
      <c r="OZ5" s="217"/>
      <c r="PA5" s="117"/>
      <c r="PB5" s="122"/>
      <c r="PC5" s="180" t="str">
        <f>IFERROR((((COUNTIF('Elève (4ème2)'!OX5:PB5,"A"))*4)+((COUNTIF('Elève (4ème2)'!OX5:PB5,"B"))*3)+((COUNTIF('Elève (4ème2)'!OX5:PB5,"C"))*2)+((COUNTIF('Elève (4ème2)'!OX5:PB5,"D"))*1))/(COUNTA(OX5:PB5)),"")</f>
        <v/>
      </c>
      <c r="PD5" s="181" t="str">
        <f t="shared" si="82"/>
        <v/>
      </c>
      <c r="PE5" s="180">
        <f>IF(COUNT(OP5,OV5,PC5)=0,"",SUM(OP5,OV5,PC5)/COUNT(OP5,OV5,PC5))</f>
        <v>2</v>
      </c>
      <c r="PF5" s="205" t="str">
        <f t="shared" si="83"/>
        <v>C</v>
      </c>
      <c r="PG5" s="116"/>
      <c r="PH5" s="117" t="s">
        <v>32</v>
      </c>
      <c r="PI5" s="118"/>
      <c r="PJ5" s="180">
        <f>IFERROR((((COUNTIF('Elève (4ème2)'!PG5:PI5,"A"))*4)+((COUNTIF('Elève (4ème2)'!PG5:PI5,"B"))*3)+((COUNTIF('Elève (4ème2)'!PG5:PI5,"C"))*2)+((COUNTIF('Elève (4ème2)'!PG5:PI5,"D"))*1))/(COUNTA(PG5:PI5)),"")</f>
        <v>1</v>
      </c>
      <c r="PK5" s="181" t="str">
        <f t="shared" si="84"/>
        <v>D</v>
      </c>
      <c r="PL5" s="116" t="s">
        <v>30</v>
      </c>
      <c r="PM5" s="117"/>
      <c r="PN5" s="118"/>
      <c r="PO5" s="118"/>
      <c r="PP5" s="180">
        <f>IFERROR((((COUNTIF('Elève (4ème2)'!PL5:PO5,"A"))*4)+((COUNTIF('Elève (4ème2)'!PL5:PO5,"B"))*3)+((COUNTIF('Elève (4ème2)'!PL5:PO5,"C"))*2)+((COUNTIF('Elève (4ème2)'!PL5:PO5,"D"))*1))/(COUNTA(PL5:PO5)),"")</f>
        <v>3</v>
      </c>
      <c r="PQ5" s="181" t="str">
        <f t="shared" si="85"/>
        <v>B</v>
      </c>
      <c r="PR5" s="116"/>
      <c r="PS5" s="217"/>
      <c r="PT5" s="217"/>
      <c r="PU5" s="117"/>
      <c r="PV5" s="122"/>
      <c r="PW5" s="180" t="str">
        <f>IFERROR((((COUNTIF('Elève (4ème2)'!PR5:PV5,"A"))*4)+((COUNTIF('Elève (4ème2)'!PR5:PV5,"B"))*3)+((COUNTIF('Elève (4ème2)'!PR5:PV5,"C"))*2)+((COUNTIF('Elève (4ème2)'!PR5:PV5,"D"))*1))/(COUNTA(PR5:PV5)),"")</f>
        <v/>
      </c>
      <c r="PX5" s="181" t="str">
        <f t="shared" si="86"/>
        <v/>
      </c>
      <c r="PY5" s="180">
        <f>IF(COUNT(PJ5,PP5,PW5)=0,"",SUM(PJ5,PP5,PW5)/COUNT(PJ5,PP5,PW5))</f>
        <v>2</v>
      </c>
      <c r="PZ5" s="205" t="str">
        <f t="shared" si="87"/>
        <v>C</v>
      </c>
      <c r="QA5" s="116"/>
      <c r="QB5" s="117" t="s">
        <v>32</v>
      </c>
      <c r="QC5" s="118"/>
      <c r="QD5" s="180">
        <f>IFERROR((((COUNTIF('Elève (4ème2)'!QA5:QC5,"A"))*4)+((COUNTIF('Elève (4ème2)'!QA5:QC5,"B"))*3)+((COUNTIF('Elève (4ème2)'!QA5:QC5,"C"))*2)+((COUNTIF('Elève (4ème2)'!QA5:QC5,"D"))*1))/(COUNTA(QA5:QC5)),"")</f>
        <v>1</v>
      </c>
      <c r="QE5" s="181" t="str">
        <f t="shared" si="88"/>
        <v>D</v>
      </c>
      <c r="QF5" s="116" t="s">
        <v>30</v>
      </c>
      <c r="QG5" s="117"/>
      <c r="QH5" s="118"/>
      <c r="QI5" s="118"/>
      <c r="QJ5" s="180">
        <f>IFERROR((((COUNTIF('Elève (4ème2)'!QF5:QI5,"A"))*4)+((COUNTIF('Elève (4ème2)'!QF5:QI5,"B"))*3)+((COUNTIF('Elève (4ème2)'!QF5:QI5,"C"))*2)+((COUNTIF('Elève (4ème2)'!QF5:QI5,"D"))*1))/(COUNTA(QF5:QI5)),"")</f>
        <v>3</v>
      </c>
      <c r="QK5" s="181" t="str">
        <f t="shared" si="89"/>
        <v>B</v>
      </c>
      <c r="QL5" s="116"/>
      <c r="QM5" s="217"/>
      <c r="QN5" s="217"/>
      <c r="QO5" s="117"/>
      <c r="QP5" s="122"/>
      <c r="QQ5" s="180" t="str">
        <f>IFERROR((((COUNTIF('Elève (4ème2)'!QL5:QP5,"A"))*4)+((COUNTIF('Elève (4ème2)'!QL5:QP5,"B"))*3)+((COUNTIF('Elève (4ème2)'!QL5:QP5,"C"))*2)+((COUNTIF('Elève (4ème2)'!QL5:QP5,"D"))*1))/(COUNTA(QL5:QP5)),"")</f>
        <v/>
      </c>
      <c r="QR5" s="181" t="str">
        <f t="shared" si="90"/>
        <v/>
      </c>
      <c r="QS5" s="180">
        <f>IF(COUNT(QD5,QJ5,QQ5)=0,"",SUM(QD5,QJ5,QQ5)/COUNT(QD5,QJ5,QQ5))</f>
        <v>2</v>
      </c>
      <c r="QT5" s="205" t="str">
        <f t="shared" si="91"/>
        <v>C</v>
      </c>
      <c r="QU5" s="116"/>
      <c r="QV5" s="117" t="s">
        <v>31</v>
      </c>
      <c r="QW5" s="118"/>
      <c r="QX5" s="180">
        <f>IFERROR((((COUNTIF('Elève (4ème2)'!QU5:QW5,"A"))*4)+((COUNTIF('Elève (4ème2)'!QU5:QW5,"B"))*3)+((COUNTIF('Elève (4ème2)'!QU5:QW5,"C"))*2)+((COUNTIF('Elève (4ème2)'!QU5:QW5,"D"))*1))/(COUNTA(QU5:QW5)),"")</f>
        <v>2</v>
      </c>
      <c r="QY5" s="181" t="str">
        <f t="shared" si="92"/>
        <v>C</v>
      </c>
      <c r="QZ5" s="116" t="s">
        <v>31</v>
      </c>
      <c r="RA5" s="117"/>
      <c r="RB5" s="118"/>
      <c r="RC5" s="118"/>
      <c r="RD5" s="180">
        <f>IFERROR((((COUNTIF('Elève (4ème2)'!QZ5:RC5,"A"))*4)+((COUNTIF('Elève (4ème2)'!QZ5:RC5,"B"))*3)+((COUNTIF('Elève (4ème2)'!QZ5:RC5,"C"))*2)+((COUNTIF('Elève (4ème2)'!QZ5:RC5,"D"))*1))/(COUNTA(QZ5:RC5)),"")</f>
        <v>2</v>
      </c>
      <c r="RE5" s="181" t="str">
        <f t="shared" si="93"/>
        <v>C</v>
      </c>
      <c r="RF5" s="116"/>
      <c r="RG5" s="217"/>
      <c r="RH5" s="217"/>
      <c r="RI5" s="117"/>
      <c r="RJ5" s="122"/>
      <c r="RK5" s="180" t="str">
        <f>IFERROR((((COUNTIF('Elève (4ème2)'!RF5:RJ5,"A"))*4)+((COUNTIF('Elève (4ème2)'!RF5:RJ5,"B"))*3)+((COUNTIF('Elève (4ème2)'!RF5:RJ5,"C"))*2)+((COUNTIF('Elève (4ème2)'!RF5:RJ5,"D"))*1))/(COUNTA(RF5:RJ5)),"")</f>
        <v/>
      </c>
      <c r="RL5" s="181" t="str">
        <f t="shared" si="94"/>
        <v/>
      </c>
      <c r="RM5" s="180">
        <f>IF(COUNT(QX5,RD5,RK5)=0,"",SUM(QX5,RD5,RK5)/COUNT(QX5,RD5,RK5))</f>
        <v>2</v>
      </c>
      <c r="RN5" s="205" t="str">
        <f t="shared" si="95"/>
        <v>C</v>
      </c>
      <c r="RO5" s="116"/>
      <c r="RP5" s="117" t="s">
        <v>30</v>
      </c>
      <c r="RQ5" s="118"/>
      <c r="RR5" s="180">
        <f>IFERROR((((COUNTIF('Elève (4ème2)'!RO5:RQ5,"A"))*4)+((COUNTIF('Elève (4ème2)'!RO5:RQ5,"B"))*3)+((COUNTIF('Elève (4ème2)'!RO5:RQ5,"C"))*2)+((COUNTIF('Elève (4ème2)'!RO5:RQ5,"D"))*1))/(COUNTA(RO5:RQ5)),"")</f>
        <v>3</v>
      </c>
      <c r="RS5" s="181" t="str">
        <f t="shared" si="96"/>
        <v>B</v>
      </c>
      <c r="RT5" s="116" t="s">
        <v>30</v>
      </c>
      <c r="RU5" s="117"/>
      <c r="RV5" s="118"/>
      <c r="RW5" s="118"/>
      <c r="RX5" s="180">
        <f>IFERROR((((COUNTIF('Elève (4ème2)'!RT5:RW5,"A"))*4)+((COUNTIF('Elève (4ème2)'!RT5:RW5,"B"))*3)+((COUNTIF('Elève (4ème2)'!RT5:RW5,"C"))*2)+((COUNTIF('Elève (4ème2)'!RT5:RW5,"D"))*1))/(COUNTA(RT5:RW5)),"")</f>
        <v>3</v>
      </c>
      <c r="RY5" s="181" t="str">
        <f t="shared" si="97"/>
        <v>B</v>
      </c>
      <c r="RZ5" s="116"/>
      <c r="SA5" s="217"/>
      <c r="SB5" s="217"/>
      <c r="SC5" s="117"/>
      <c r="SD5" s="122"/>
      <c r="SE5" s="180" t="str">
        <f>IFERROR((((COUNTIF('Elève (4ème2)'!RZ5:SD5,"A"))*4)+((COUNTIF('Elève (4ème2)'!RZ5:SD5,"B"))*3)+((COUNTIF('Elève (4ème2)'!RZ5:SD5,"C"))*2)+((COUNTIF('Elève (4ème2)'!RZ5:SD5,"D"))*1))/(COUNTA(RZ5:SD5)),"")</f>
        <v/>
      </c>
      <c r="SF5" s="181" t="str">
        <f t="shared" si="98"/>
        <v/>
      </c>
      <c r="SG5" s="180">
        <f>IF(COUNT(RR5,RX5,SE5)=0,"",SUM(RR5,RX5,SE5)/COUNT(RR5,RX5,SE5))</f>
        <v>3</v>
      </c>
      <c r="SH5" s="205" t="str">
        <f t="shared" si="99"/>
        <v>B</v>
      </c>
      <c r="SI5" s="116"/>
      <c r="SJ5" s="117" t="s">
        <v>31</v>
      </c>
      <c r="SK5" s="118"/>
      <c r="SL5" s="180">
        <f>IFERROR((((COUNTIF('Elève (4ème2)'!SI5:SK5,"A"))*4)+((COUNTIF('Elève (4ème2)'!SI5:SK5,"B"))*3)+((COUNTIF('Elève (4ème2)'!SI5:SK5,"C"))*2)+((COUNTIF('Elève (4ème2)'!SI5:SK5,"D"))*1))/(COUNTA(SI5:SK5)),"")</f>
        <v>2</v>
      </c>
      <c r="SM5" s="181" t="str">
        <f t="shared" si="100"/>
        <v>C</v>
      </c>
      <c r="SN5" s="116" t="s">
        <v>31</v>
      </c>
      <c r="SO5" s="117"/>
      <c r="SP5" s="118"/>
      <c r="SQ5" s="118"/>
      <c r="SR5" s="180">
        <f>IFERROR((((COUNTIF('Elève (4ème2)'!SN5:SQ5,"A"))*4)+((COUNTIF('Elève (4ème2)'!SN5:SQ5,"B"))*3)+((COUNTIF('Elève (4ème2)'!SN5:SQ5,"C"))*2)+((COUNTIF('Elève (4ème2)'!SN5:SQ5,"D"))*1))/(COUNTA(SN5:SQ5)),"")</f>
        <v>2</v>
      </c>
      <c r="SS5" s="181" t="str">
        <f t="shared" si="101"/>
        <v>C</v>
      </c>
      <c r="ST5" s="116"/>
      <c r="SU5" s="217"/>
      <c r="SV5" s="217"/>
      <c r="SW5" s="117"/>
      <c r="SX5" s="122"/>
      <c r="SY5" s="180" t="str">
        <f>IFERROR((((COUNTIF('Elève (4ème2)'!ST5:SX5,"A"))*4)+((COUNTIF('Elève (4ème2)'!ST5:SX5,"B"))*3)+((COUNTIF('Elève (4ème2)'!ST5:SX5,"C"))*2)+((COUNTIF('Elève (4ème2)'!ST5:SX5,"D"))*1))/(COUNTA(ST5:SX5)),"")</f>
        <v/>
      </c>
      <c r="SZ5" s="181" t="str">
        <f t="shared" si="102"/>
        <v/>
      </c>
      <c r="TA5" s="180">
        <f>IF(COUNT(SL5,SR5,SY5)=0,"",SUM(SL5,SR5,SY5)/COUNT(SL5,SR5,SY5))</f>
        <v>2</v>
      </c>
      <c r="TB5" s="205" t="str">
        <f t="shared" si="103"/>
        <v>C</v>
      </c>
      <c r="TC5" s="116"/>
      <c r="TD5" s="117" t="s">
        <v>32</v>
      </c>
      <c r="TE5" s="118"/>
      <c r="TF5" s="180">
        <f>IFERROR((((COUNTIF('Elève (4ème2)'!TC5:TE5,"A"))*4)+((COUNTIF('Elève (4ème2)'!TC5:TE5,"B"))*3)+((COUNTIF('Elève (4ème2)'!TC5:TE5,"C"))*2)+((COUNTIF('Elève (4ème2)'!TC5:TE5,"D"))*1))/(COUNTA(TC5:TE5)),"")</f>
        <v>1</v>
      </c>
      <c r="TG5" s="181" t="str">
        <f t="shared" si="104"/>
        <v>D</v>
      </c>
      <c r="TH5" s="116" t="s">
        <v>29</v>
      </c>
      <c r="TI5" s="117"/>
      <c r="TJ5" s="118"/>
      <c r="TK5" s="118"/>
      <c r="TL5" s="180">
        <f>IFERROR((((COUNTIF('Elève (4ème2)'!TH5:TK5,"A"))*4)+((COUNTIF('Elève (4ème2)'!TH5:TK5,"B"))*3)+((COUNTIF('Elève (4ème2)'!TH5:TK5,"C"))*2)+((COUNTIF('Elève (4ème2)'!TH5:TK5,"D"))*1))/(COUNTA(TH5:TK5)),"")</f>
        <v>4</v>
      </c>
      <c r="TM5" s="181" t="str">
        <f t="shared" si="105"/>
        <v>A</v>
      </c>
      <c r="TN5" s="116"/>
      <c r="TO5" s="217"/>
      <c r="TP5" s="217"/>
      <c r="TQ5" s="117"/>
      <c r="TR5" s="122"/>
      <c r="TS5" s="180" t="str">
        <f>IFERROR((((COUNTIF('Elève (4ème2)'!TN5:TR5,"A"))*4)+((COUNTIF('Elève (4ème2)'!TN5:TR5,"B"))*3)+((COUNTIF('Elève (4ème2)'!TN5:TR5,"C"))*2)+((COUNTIF('Elève (4ème2)'!TN5:TR5,"D"))*1))/(COUNTA(TN5:TR5)),"")</f>
        <v/>
      </c>
      <c r="TT5" s="181" t="str">
        <f t="shared" si="106"/>
        <v/>
      </c>
      <c r="TU5" s="180">
        <f>IF(COUNT(TF5,TL5,TS5)=0,"",SUM(TF5,TL5,TS5)/COUNT(TF5,TL5,TS5))</f>
        <v>2.5</v>
      </c>
      <c r="TV5" s="205" t="str">
        <f t="shared" si="107"/>
        <v>C</v>
      </c>
      <c r="TW5" s="116"/>
      <c r="TX5" s="117"/>
      <c r="TY5" s="118"/>
      <c r="TZ5" s="119" t="str">
        <f>IFERROR((((COUNTIF('Elève (4ème2)'!TW5:TY5,"A"))*4)+((COUNTIF('Elève (4ème2)'!TW5:TY5,"B"))*3)+((COUNTIF('Elève (4ème2)'!TW5:TY5,"C"))*2)+((COUNTIF('Elève (4ème2)'!TW5:TY5,"D"))*1))/(COUNTA(TW5:TY5)),"")</f>
        <v/>
      </c>
      <c r="UA5" s="120" t="str">
        <f t="shared" si="108"/>
        <v/>
      </c>
      <c r="UB5" s="116"/>
      <c r="UC5" s="117"/>
      <c r="UD5" s="118"/>
      <c r="UE5" s="119" t="str">
        <f>IFERROR((((COUNTIF('Elève (4ème2)'!UB5:UD5,"A"))*4)+((COUNTIF('Elève (4ème2)'!UB5:UD5,"B"))*3)+((COUNTIF('Elève (4ème2)'!UB5:UD5,"C"))*2)+((COUNTIF('Elève (4ème2)'!UB5:UD5,"D"))*1))/(COUNTA(UB5:UD5)),"")</f>
        <v/>
      </c>
      <c r="UF5" s="120" t="str">
        <f t="shared" si="109"/>
        <v/>
      </c>
      <c r="UG5" s="116"/>
      <c r="UH5" s="117"/>
      <c r="UI5" s="122"/>
      <c r="UJ5" s="119" t="str">
        <f>IFERROR((((COUNTIF('Elève (4ème2)'!UG5:UI5,"A"))*4)+((COUNTIF('Elève (4ème2)'!UG5:UI5,"B"))*3)+((COUNTIF('Elève (4ème2)'!UG5:UI5,"C"))*2)+((COUNTIF('Elève (4ème2)'!UG5:UI5,"D"))*1))/(COUNTA(UG5:UI5)),"")</f>
        <v/>
      </c>
      <c r="UK5" s="120" t="str">
        <f t="shared" si="110"/>
        <v/>
      </c>
      <c r="UL5" s="119" t="str">
        <f>IF(COUNT(TZ5,UE5,UJ5)=0,"",SUM(TZ5,UE5,UJ5)/COUNT(TZ5,UE5,UJ5))</f>
        <v/>
      </c>
      <c r="UM5" s="121" t="str">
        <f t="shared" si="111"/>
        <v/>
      </c>
      <c r="UN5" s="116"/>
      <c r="UO5" s="117"/>
      <c r="UP5" s="118"/>
      <c r="UQ5" s="119" t="str">
        <f>IFERROR((((COUNTIF('Elève (4ème2)'!UN5:UP5,"A"))*4)+((COUNTIF('Elève (4ème2)'!UN5:UP5,"B"))*3)+((COUNTIF('Elève (4ème2)'!UN5:UP5,"C"))*2)+((COUNTIF('Elève (4ème2)'!UN5:UP5,"D"))*1))/(COUNTA(UN5:UP5)),"")</f>
        <v/>
      </c>
      <c r="UR5" s="120" t="str">
        <f t="shared" si="112"/>
        <v/>
      </c>
      <c r="US5" s="116"/>
      <c r="UT5" s="117"/>
      <c r="UU5" s="118"/>
      <c r="UV5" s="119" t="str">
        <f>IFERROR((((COUNTIF('Elève (4ème2)'!US5:UU5,"A"))*4)+((COUNTIF('Elève (4ème2)'!US5:UU5,"B"))*3)+((COUNTIF('Elève (4ème2)'!US5:UU5,"C"))*2)+((COUNTIF('Elève (4ème2)'!US5:UU5,"D"))*1))/(COUNTA(US5:UU5)),"")</f>
        <v/>
      </c>
      <c r="UW5" s="120" t="str">
        <f t="shared" si="113"/>
        <v/>
      </c>
      <c r="UX5" s="116"/>
      <c r="UY5" s="117"/>
      <c r="UZ5" s="122"/>
      <c r="VA5" s="119" t="str">
        <f>IFERROR((((COUNTIF('Elève (4ème2)'!UX5:UZ5,"A"))*4)+((COUNTIF('Elève (4ème2)'!UX5:UZ5,"B"))*3)+((COUNTIF('Elève (4ème2)'!UX5:UZ5,"C"))*2)+((COUNTIF('Elève (4ème2)'!UX5:UZ5,"D"))*1))/(COUNTA(UX5:UZ5)),"")</f>
        <v/>
      </c>
      <c r="VB5" s="120" t="str">
        <f t="shared" si="114"/>
        <v/>
      </c>
      <c r="VC5" s="119" t="str">
        <f>IF(COUNT(UQ5,UV5,VA5)=0,"",SUM(UQ5,UV5,VA5)/COUNT(UQ5,UV5,VA5))</f>
        <v/>
      </c>
      <c r="VD5" s="121" t="str">
        <f t="shared" si="115"/>
        <v/>
      </c>
      <c r="VE5" s="116"/>
      <c r="VF5" s="117"/>
      <c r="VG5" s="118"/>
      <c r="VH5" s="119" t="str">
        <f>IFERROR((((COUNTIF('Elève (4ème2)'!VE5:VG5,"A"))*4)+((COUNTIF('Elève (4ème2)'!VE5:VG5,"B"))*3)+((COUNTIF('Elève (4ème2)'!VE5:VG5,"C"))*2)+((COUNTIF('Elève (4ème2)'!VE5:VG5,"D"))*1))/(COUNTA(VE5:VG5)),"")</f>
        <v/>
      </c>
      <c r="VI5" s="120" t="str">
        <f t="shared" si="116"/>
        <v/>
      </c>
      <c r="VJ5" s="116"/>
      <c r="VK5" s="117"/>
      <c r="VL5" s="118"/>
      <c r="VM5" s="119" t="str">
        <f>IFERROR((((COUNTIF('Elève (4ème2)'!VJ5:VL5,"A"))*4)+((COUNTIF('Elève (4ème2)'!VJ5:VL5,"B"))*3)+((COUNTIF('Elève (4ème2)'!VJ5:VL5,"C"))*2)+((COUNTIF('Elève (4ème2)'!VJ5:VL5,"D"))*1))/(COUNTA(VJ5:VL5)),"")</f>
        <v/>
      </c>
      <c r="VN5" s="120" t="str">
        <f t="shared" si="117"/>
        <v/>
      </c>
      <c r="VO5" s="116"/>
      <c r="VP5" s="117"/>
      <c r="VQ5" s="122"/>
      <c r="VR5" s="119" t="str">
        <f>IFERROR((((COUNTIF('Elève (4ème2)'!VO5:VQ5,"A"))*4)+((COUNTIF('Elève (4ème2)'!VO5:VQ5,"B"))*3)+((COUNTIF('Elève (4ème2)'!VO5:VQ5,"C"))*2)+((COUNTIF('Elève (4ème2)'!VO5:VQ5,"D"))*1))/(COUNTA(VO5:VQ5)),"")</f>
        <v/>
      </c>
      <c r="VS5" s="120" t="str">
        <f t="shared" si="118"/>
        <v/>
      </c>
      <c r="VT5" s="119" t="str">
        <f>IF(COUNT(VH5,VM5,VR5)=0,"",SUM(VH5,VM5,VR5)/COUNT(VH5,VM5,VR5))</f>
        <v/>
      </c>
      <c r="VU5" s="121" t="str">
        <f t="shared" si="119"/>
        <v/>
      </c>
    </row>
    <row r="6" spans="1:593" ht="18" customHeight="1" x14ac:dyDescent="0.55000000000000004">
      <c r="A6" s="248" t="s">
        <v>13</v>
      </c>
      <c r="B6" s="249"/>
      <c r="C6" s="123"/>
      <c r="D6" s="124" t="s">
        <v>32</v>
      </c>
      <c r="E6" s="125"/>
      <c r="F6" s="182">
        <f>IFERROR((((COUNTIF('Elève (4ème2)'!C6:E6,"A"))*4)+((COUNTIF('Elève (4ème2)'!C6:E6,"B"))*3)+((COUNTIF('Elève (4ème2)'!C6:E6,"C"))*2)+((COUNTIF('Elève (4ème2)'!C6:E6,"D"))*1))/(COUNTA(C6:E6)),"")</f>
        <v>1</v>
      </c>
      <c r="G6" s="183" t="str">
        <f t="shared" si="0"/>
        <v>D</v>
      </c>
      <c r="H6" s="123"/>
      <c r="I6" s="124"/>
      <c r="J6" s="125"/>
      <c r="K6" s="125"/>
      <c r="L6" s="182" t="str">
        <f>IFERROR((((COUNTIF('Elève (4ème2)'!H6:K6,"A"))*4)+((COUNTIF('Elève (4ème2)'!H6:K6,"B"))*3)+((COUNTIF('Elève (4ème2)'!H6:K6,"C"))*2)+((COUNTIF('Elève (4ème2)'!H6:K6,"D"))*1))/(COUNTA(H6:K6)),"")</f>
        <v/>
      </c>
      <c r="M6" s="183" t="str">
        <f t="shared" si="1"/>
        <v/>
      </c>
      <c r="N6" s="123"/>
      <c r="O6" s="124" t="s">
        <v>31</v>
      </c>
      <c r="P6" s="218"/>
      <c r="Q6" s="218"/>
      <c r="R6" s="125"/>
      <c r="S6" s="182">
        <f>IFERROR((((COUNTIF('Elève (4ème2)'!N6:R6,"A"))*4)+((COUNTIF('Elève (4ème2)'!N6:R6,"B"))*3)+((COUNTIF('Elève (4ème2)'!N6:R6,"C"))*2)+((COUNTIF('Elève (4ème2)'!N6:R6,"D"))*1))/(COUNTA(N6:R6)),"")</f>
        <v>2</v>
      </c>
      <c r="T6" s="183" t="str">
        <f t="shared" si="2"/>
        <v>C</v>
      </c>
      <c r="U6" s="182">
        <f>IF(COUNT(F6,L6,S6)=0,"",SUM(F6,L6,S6)/COUNT(F6,L6,S6))</f>
        <v>1.5</v>
      </c>
      <c r="V6" s="206" t="str">
        <f t="shared" si="3"/>
        <v>D</v>
      </c>
      <c r="W6" s="123"/>
      <c r="X6" s="124" t="s">
        <v>31</v>
      </c>
      <c r="Y6" s="125"/>
      <c r="Z6" s="182">
        <f>IFERROR((((COUNTIF('Elève (4ème2)'!W6:Y6,"A"))*4)+((COUNTIF('Elève (4ème2)'!W6:Y6,"B"))*3)+((COUNTIF('Elève (4ème2)'!W6:Y6,"C"))*2)+((COUNTIF('Elève (4ème2)'!W6:Y6,"D"))*1))/(COUNTA(W6:Y6)),"")</f>
        <v>2</v>
      </c>
      <c r="AA6" s="183" t="str">
        <f t="shared" si="4"/>
        <v>C</v>
      </c>
      <c r="AB6" s="123"/>
      <c r="AC6" s="124"/>
      <c r="AD6" s="125"/>
      <c r="AE6" s="125"/>
      <c r="AF6" s="182" t="str">
        <f>IFERROR((((COUNTIF('Elève (4ème2)'!AB6:AE6,"A"))*4)+((COUNTIF('Elève (4ème2)'!AB6:AE6,"B"))*3)+((COUNTIF('Elève (4ème2)'!AB6:AE6,"C"))*2)+((COUNTIF('Elève (4ème2)'!AB6:AE6,"D"))*1))/(COUNTA(AB6:AE6)),"")</f>
        <v/>
      </c>
      <c r="AG6" s="183" t="str">
        <f t="shared" si="5"/>
        <v/>
      </c>
      <c r="AH6" s="123"/>
      <c r="AI6" s="218" t="s">
        <v>29</v>
      </c>
      <c r="AJ6" s="218"/>
      <c r="AK6" s="124"/>
      <c r="AL6" s="129"/>
      <c r="AM6" s="182">
        <f>IFERROR((((COUNTIF('Elève (4ème2)'!AH6:AL6,"A"))*4)+((COUNTIF('Elève (4ème2)'!AH6:AL6,"B"))*3)+((COUNTIF('Elève (4ème2)'!AH6:AL6,"C"))*2)+((COUNTIF('Elève (4ème2)'!AH6:AL6,"D"))*1))/(COUNTA(AH6:AL6)),"")</f>
        <v>4</v>
      </c>
      <c r="AN6" s="183" t="str">
        <f t="shared" si="6"/>
        <v>A</v>
      </c>
      <c r="AO6" s="182">
        <f>IF(COUNT(Z6,AF6,AM6)=0,"",SUM(Z6,AF6,AM6)/COUNT(Z6,AF6,AM6))</f>
        <v>3</v>
      </c>
      <c r="AP6" s="206" t="str">
        <f t="shared" si="7"/>
        <v>B</v>
      </c>
      <c r="AQ6" s="123"/>
      <c r="AR6" s="124" t="s">
        <v>30</v>
      </c>
      <c r="AS6" s="125"/>
      <c r="AT6" s="182">
        <f>IFERROR((((COUNTIF('Elève (4ème2)'!AQ6:AS6,"A"))*4)+((COUNTIF('Elève (4ème2)'!AQ6:AS6,"B"))*3)+((COUNTIF('Elève (4ème2)'!AQ6:AS6,"C"))*2)+((COUNTIF('Elève (4ème2)'!AQ6:AS6,"D"))*1))/(COUNTA(AQ6:AS6)),"")</f>
        <v>3</v>
      </c>
      <c r="AU6" s="183" t="str">
        <f t="shared" si="8"/>
        <v>B</v>
      </c>
      <c r="AV6" s="123"/>
      <c r="AW6" s="124"/>
      <c r="AX6" s="125"/>
      <c r="AY6" s="125"/>
      <c r="AZ6" s="182" t="str">
        <f>IFERROR((((COUNTIF('Elève (4ème2)'!AV6:AY6,"A"))*4)+((COUNTIF('Elève (4ème2)'!AV6:AY6,"B"))*3)+((COUNTIF('Elève (4ème2)'!AV6:AY6,"C"))*2)+((COUNTIF('Elève (4ème2)'!AV6:AY6,"D"))*1))/(COUNTA(AV6:AY6)),"")</f>
        <v/>
      </c>
      <c r="BA6" s="183" t="str">
        <f t="shared" si="9"/>
        <v/>
      </c>
      <c r="BB6" s="123"/>
      <c r="BC6" s="218"/>
      <c r="BD6" s="218"/>
      <c r="BE6" s="124"/>
      <c r="BF6" s="129"/>
      <c r="BG6" s="182" t="str">
        <f>IFERROR((((COUNTIF('Elève (4ème2)'!BB6:BF6,"A"))*4)+((COUNTIF('Elève (4ème2)'!BB6:BF6,"B"))*3)+((COUNTIF('Elève (4ème2)'!BB6:BF6,"C"))*2)+((COUNTIF('Elève (4ème2)'!BB6:BF6,"D"))*1))/(COUNTA(BB6:BF6)),"")</f>
        <v/>
      </c>
      <c r="BH6" s="183" t="str">
        <f t="shared" si="10"/>
        <v/>
      </c>
      <c r="BI6" s="182">
        <f>IF(COUNT(AT6,AZ6,BG6)=0,"",SUM(AT6,AZ6,BG6)/COUNT(AT6,AZ6,BG6))</f>
        <v>3</v>
      </c>
      <c r="BJ6" s="206" t="str">
        <f t="shared" si="11"/>
        <v>B</v>
      </c>
      <c r="BK6" s="123"/>
      <c r="BL6" s="124" t="s">
        <v>30</v>
      </c>
      <c r="BM6" s="125"/>
      <c r="BN6" s="182">
        <f>IFERROR((((COUNTIF('Elève (4ème2)'!BK6:BM6,"A"))*4)+((COUNTIF('Elève (4ème2)'!BK6:BM6,"B"))*3)+((COUNTIF('Elève (4ème2)'!BK6:BM6,"C"))*2)+((COUNTIF('Elève (4ème2)'!BK6:BM6,"D"))*1))/(COUNTA(BK6:BM6)),"")</f>
        <v>3</v>
      </c>
      <c r="BO6" s="183" t="str">
        <f t="shared" si="12"/>
        <v>B</v>
      </c>
      <c r="BP6" s="123"/>
      <c r="BQ6" s="124"/>
      <c r="BR6" s="125"/>
      <c r="BS6" s="125"/>
      <c r="BT6" s="182" t="str">
        <f>IFERROR((((COUNTIF('Elève (4ème2)'!BP6:BS6,"A"))*4)+((COUNTIF('Elève (4ème2)'!BP6:BS6,"B"))*3)+((COUNTIF('Elève (4ème2)'!BP6:BS6,"C"))*2)+((COUNTIF('Elève (4ème2)'!BP6:BS6,"D"))*1))/(COUNTA(BP6:BS6)),"")</f>
        <v/>
      </c>
      <c r="BU6" s="183" t="str">
        <f t="shared" si="13"/>
        <v/>
      </c>
      <c r="BV6" s="123"/>
      <c r="BW6" s="218" t="s">
        <v>31</v>
      </c>
      <c r="BX6" s="218"/>
      <c r="BY6" s="124"/>
      <c r="BZ6" s="129"/>
      <c r="CA6" s="182">
        <f>IFERROR((((COUNTIF('Elève (4ème2)'!BV6:BZ6,"A"))*4)+((COUNTIF('Elève (4ème2)'!BV6:BZ6,"B"))*3)+((COUNTIF('Elève (4ème2)'!BV6:BZ6,"C"))*2)+((COUNTIF('Elève (4ème2)'!BV6:BZ6,"D"))*1))/(COUNTA(BV6:BZ6)),"")</f>
        <v>2</v>
      </c>
      <c r="CB6" s="183" t="str">
        <f t="shared" si="14"/>
        <v>C</v>
      </c>
      <c r="CC6" s="182">
        <f>IF(COUNT(BN6,BT6,CA6)=0,"",SUM(BN6,BT6,CA6)/COUNT(BN6,BT6,CA6))</f>
        <v>2.5</v>
      </c>
      <c r="CD6" s="206" t="str">
        <f t="shared" si="15"/>
        <v>C</v>
      </c>
      <c r="CE6" s="123"/>
      <c r="CF6" s="124" t="s">
        <v>29</v>
      </c>
      <c r="CG6" s="125"/>
      <c r="CH6" s="182">
        <f>IFERROR((((COUNTIF('Elève (4ème2)'!CE6:CG6,"A"))*4)+((COUNTIF('Elève (4ème2)'!CE6:CG6,"B"))*3)+((COUNTIF('Elève (4ème2)'!CE6:CG6,"C"))*2)+((COUNTIF('Elève (4ème2)'!CE6:CG6,"D"))*1))/(COUNTA(CE6:CG6)),"")</f>
        <v>4</v>
      </c>
      <c r="CI6" s="183" t="str">
        <f t="shared" si="16"/>
        <v>A</v>
      </c>
      <c r="CJ6" s="123"/>
      <c r="CK6" s="124"/>
      <c r="CL6" s="125"/>
      <c r="CM6" s="125"/>
      <c r="CN6" s="182" t="str">
        <f>IFERROR((((COUNTIF('Elève (4ème2)'!CJ6:CM6,"A"))*4)+((COUNTIF('Elève (4ème2)'!CJ6:CM6,"B"))*3)+((COUNTIF('Elève (4ème2)'!CJ6:CM6,"C"))*2)+((COUNTIF('Elève (4ème2)'!CJ6:CM6,"D"))*1))/(COUNTA(CJ6:CM6)),"")</f>
        <v/>
      </c>
      <c r="CO6" s="183" t="str">
        <f t="shared" si="17"/>
        <v/>
      </c>
      <c r="CP6" s="123"/>
      <c r="CQ6" s="218" t="s">
        <v>29</v>
      </c>
      <c r="CR6" s="218"/>
      <c r="CS6" s="124"/>
      <c r="CT6" s="129"/>
      <c r="CU6" s="182">
        <f>IFERROR((((COUNTIF('Elève (4ème2)'!CP6:CT6,"A"))*4)+((COUNTIF('Elève (4ème2)'!CP6:CT6,"B"))*3)+((COUNTIF('Elève (4ème2)'!CP6:CT6,"C"))*2)+((COUNTIF('Elève (4ème2)'!CP6:CT6,"D"))*1))/(COUNTA(CP6:CT6)),"")</f>
        <v>4</v>
      </c>
      <c r="CV6" s="183" t="str">
        <f t="shared" si="18"/>
        <v>A</v>
      </c>
      <c r="CW6" s="182">
        <f>IF(COUNT(CH6,CN6,CU6)=0,"",SUM(CH6,CN6,CU6)/COUNT(CH6,CN6,CU6))</f>
        <v>4</v>
      </c>
      <c r="CX6" s="206" t="str">
        <f t="shared" si="19"/>
        <v>A</v>
      </c>
      <c r="CY6" s="123"/>
      <c r="CZ6" s="124" t="s">
        <v>30</v>
      </c>
      <c r="DA6" s="125"/>
      <c r="DB6" s="182">
        <f>IFERROR((((COUNTIF('Elève (4ème2)'!CY6:DA6,"A"))*4)+((COUNTIF('Elève (4ème2)'!CY6:DA6,"B"))*3)+((COUNTIF('Elève (4ème2)'!CY6:DA6,"C"))*2)+((COUNTIF('Elève (4ème2)'!CY6:DA6,"D"))*1))/(COUNTA(CY6:DA6)),"")</f>
        <v>3</v>
      </c>
      <c r="DC6" s="183" t="str">
        <f t="shared" si="20"/>
        <v>B</v>
      </c>
      <c r="DD6" s="123"/>
      <c r="DE6" s="124"/>
      <c r="DF6" s="125"/>
      <c r="DG6" s="125"/>
      <c r="DH6" s="182" t="str">
        <f>IFERROR((((COUNTIF('Elève (4ème2)'!DD6:DG6,"A"))*4)+((COUNTIF('Elève (4ème2)'!DD6:DG6,"B"))*3)+((COUNTIF('Elève (4ème2)'!DD6:DG6,"C"))*2)+((COUNTIF('Elève (4ème2)'!DD6:DG6,"D"))*1))/(COUNTA(DD6:DG6)),"")</f>
        <v/>
      </c>
      <c r="DI6" s="183" t="str">
        <f t="shared" si="21"/>
        <v/>
      </c>
      <c r="DJ6" s="123"/>
      <c r="DK6" s="218" t="s">
        <v>32</v>
      </c>
      <c r="DL6" s="218"/>
      <c r="DM6" s="124"/>
      <c r="DN6" s="129"/>
      <c r="DO6" s="182">
        <f>IFERROR((((COUNTIF('Elève (4ème2)'!DJ6:DN6,"A"))*4)+((COUNTIF('Elève (4ème2)'!DJ6:DN6,"B"))*3)+((COUNTIF('Elève (4ème2)'!DJ6:DN6,"C"))*2)+((COUNTIF('Elève (4ème2)'!DJ6:DN6,"D"))*1))/(COUNTA(DJ6:DN6)),"")</f>
        <v>1</v>
      </c>
      <c r="DP6" s="183" t="str">
        <f t="shared" si="22"/>
        <v>D</v>
      </c>
      <c r="DQ6" s="182">
        <f>IF(COUNT(DB6,DH6,DO6)=0,"",SUM(DB6,DH6,DO6)/COUNT(DB6,DH6,DO6))</f>
        <v>2</v>
      </c>
      <c r="DR6" s="206" t="str">
        <f t="shared" si="23"/>
        <v>C</v>
      </c>
      <c r="DS6" s="123"/>
      <c r="DT6" s="124" t="s">
        <v>30</v>
      </c>
      <c r="DU6" s="125"/>
      <c r="DV6" s="182">
        <f>IFERROR((((COUNTIF('Elève (4ème2)'!DS6:DU6,"A"))*4)+((COUNTIF('Elève (4ème2)'!DS6:DU6,"B"))*3)+((COUNTIF('Elève (4ème2)'!DS6:DU6,"C"))*2)+((COUNTIF('Elève (4ème2)'!DS6:DU6,"D"))*1))/(COUNTA(DS6:DU6)),"")</f>
        <v>3</v>
      </c>
      <c r="DW6" s="183" t="str">
        <f t="shared" si="24"/>
        <v>B</v>
      </c>
      <c r="DX6" s="123"/>
      <c r="DY6" s="124"/>
      <c r="DZ6" s="125"/>
      <c r="EA6" s="125"/>
      <c r="EB6" s="182" t="str">
        <f>IFERROR((((COUNTIF('Elève (4ème2)'!DX6:EA6,"A"))*4)+((COUNTIF('Elève (4ème2)'!DX6:EA6,"B"))*3)+((COUNTIF('Elève (4ème2)'!DX6:EA6,"C"))*2)+((COUNTIF('Elève (4ème2)'!DX6:EA6,"D"))*1))/(COUNTA(DX6:EA6)),"")</f>
        <v/>
      </c>
      <c r="EC6" s="183" t="str">
        <f t="shared" si="25"/>
        <v/>
      </c>
      <c r="ED6" s="123"/>
      <c r="EE6" s="218" t="s">
        <v>29</v>
      </c>
      <c r="EF6" s="218"/>
      <c r="EG6" s="124"/>
      <c r="EH6" s="129"/>
      <c r="EI6" s="182">
        <f>IFERROR((((COUNTIF('Elève (4ème2)'!ED6:EH6,"A"))*4)+((COUNTIF('Elève (4ème2)'!ED6:EH6,"B"))*3)+((COUNTIF('Elève (4ème2)'!ED6:EH6,"C"))*2)+((COUNTIF('Elève (4ème2)'!ED6:EH6,"D"))*1))/(COUNTA(ED6:EH6)),"")</f>
        <v>4</v>
      </c>
      <c r="EJ6" s="183" t="str">
        <f t="shared" si="26"/>
        <v>A</v>
      </c>
      <c r="EK6" s="182">
        <f>IF(COUNT(DV6,EB6,EI6)=0,"",SUM(DV6,EB6,EI6)/COUNT(DV6,EB6,EI6))</f>
        <v>3.5</v>
      </c>
      <c r="EL6" s="206" t="str">
        <f t="shared" si="27"/>
        <v>B</v>
      </c>
      <c r="EM6" s="123"/>
      <c r="EN6" s="124" t="s">
        <v>29</v>
      </c>
      <c r="EO6" s="125"/>
      <c r="EP6" s="182">
        <f>IFERROR((((COUNTIF('Elève (4ème2)'!EM6:EO6,"A"))*4)+((COUNTIF('Elève (4ème2)'!EM6:EO6,"B"))*3)+((COUNTIF('Elève (4ème2)'!EM6:EO6,"C"))*2)+((COUNTIF('Elève (4ème2)'!EM6:EO6,"D"))*1))/(COUNTA(EM6:EO6)),"")</f>
        <v>4</v>
      </c>
      <c r="EQ6" s="183" t="str">
        <f t="shared" si="28"/>
        <v>A</v>
      </c>
      <c r="ER6" s="123"/>
      <c r="ES6" s="124"/>
      <c r="ET6" s="125"/>
      <c r="EU6" s="125"/>
      <c r="EV6" s="182" t="str">
        <f>IFERROR((((COUNTIF('Elève (4ème2)'!ER6:EU6,"A"))*4)+((COUNTIF('Elève (4ème2)'!ER6:EU6,"B"))*3)+((COUNTIF('Elève (4ème2)'!ER6:EU6,"C"))*2)+((COUNTIF('Elève (4ème2)'!ER6:EU6,"D"))*1))/(COUNTA(ER6:EU6)),"")</f>
        <v/>
      </c>
      <c r="EW6" s="183" t="str">
        <f t="shared" si="29"/>
        <v/>
      </c>
      <c r="EX6" s="123"/>
      <c r="EY6" s="218" t="s">
        <v>29</v>
      </c>
      <c r="EZ6" s="218"/>
      <c r="FA6" s="124"/>
      <c r="FB6" s="129"/>
      <c r="FC6" s="182">
        <f>IFERROR((((COUNTIF('Elève (4ème2)'!EX6:FB6,"A"))*4)+((COUNTIF('Elève (4ème2)'!EX6:FB6,"B"))*3)+((COUNTIF('Elève (4ème2)'!EX6:FB6,"C"))*2)+((COUNTIF('Elève (4ème2)'!EX6:FB6,"D"))*1))/(COUNTA(EX6:FB6)),"")</f>
        <v>4</v>
      </c>
      <c r="FD6" s="183" t="str">
        <f t="shared" si="30"/>
        <v>A</v>
      </c>
      <c r="FE6" s="182">
        <f>IF(COUNT(EP6,EV6,FC6)=0,"",SUM(EP6,EV6,FC6)/COUNT(EP6,EV6,FC6))</f>
        <v>4</v>
      </c>
      <c r="FF6" s="206" t="str">
        <f t="shared" si="31"/>
        <v>A</v>
      </c>
      <c r="FG6" s="123"/>
      <c r="FH6" s="124" t="s">
        <v>31</v>
      </c>
      <c r="FI6" s="125"/>
      <c r="FJ6" s="182">
        <f>IFERROR((((COUNTIF('Elève (4ème2)'!FG6:FI6,"A"))*4)+((COUNTIF('Elève (4ème2)'!FG6:FI6,"B"))*3)+((COUNTIF('Elève (4ème2)'!FG6:FI6,"C"))*2)+((COUNTIF('Elève (4ème2)'!FG6:FI6,"D"))*1))/(COUNTA(FG6:FI6)),"")</f>
        <v>2</v>
      </c>
      <c r="FK6" s="183" t="str">
        <f t="shared" si="32"/>
        <v>C</v>
      </c>
      <c r="FL6" s="123"/>
      <c r="FM6" s="124"/>
      <c r="FN6" s="125"/>
      <c r="FO6" s="125"/>
      <c r="FP6" s="182" t="str">
        <f>IFERROR((((COUNTIF('Elève (4ème2)'!FL6:FO6,"A"))*4)+((COUNTIF('Elève (4ème2)'!FL6:FO6,"B"))*3)+((COUNTIF('Elève (4ème2)'!FL6:FO6,"C"))*2)+((COUNTIF('Elève (4ème2)'!FL6:FO6,"D"))*1))/(COUNTA(FL6:FO6)),"")</f>
        <v/>
      </c>
      <c r="FQ6" s="183" t="str">
        <f t="shared" si="33"/>
        <v/>
      </c>
      <c r="FR6" s="123"/>
      <c r="FS6" s="218" t="s">
        <v>29</v>
      </c>
      <c r="FT6" s="218"/>
      <c r="FU6" s="124"/>
      <c r="FV6" s="129"/>
      <c r="FW6" s="182">
        <f>IFERROR((((COUNTIF('Elève (4ème2)'!FR6:FV6,"A"))*4)+((COUNTIF('Elève (4ème2)'!FR6:FV6,"B"))*3)+((COUNTIF('Elève (4ème2)'!FR6:FV6,"C"))*2)+((COUNTIF('Elève (4ème2)'!FR6:FV6,"D"))*1))/(COUNTA(FR6:FV6)),"")</f>
        <v>4</v>
      </c>
      <c r="FX6" s="183" t="str">
        <f t="shared" si="34"/>
        <v>A</v>
      </c>
      <c r="FY6" s="182">
        <f>IF(COUNT(FJ6,FP6,FW6)=0,"",SUM(FJ6,FP6,FW6)/COUNT(FJ6,FP6,FW6))</f>
        <v>3</v>
      </c>
      <c r="FZ6" s="206" t="str">
        <f t="shared" si="35"/>
        <v>B</v>
      </c>
      <c r="GA6" s="123"/>
      <c r="GB6" s="124" t="s">
        <v>29</v>
      </c>
      <c r="GC6" s="125"/>
      <c r="GD6" s="182">
        <f>IFERROR((((COUNTIF('Elève (4ème2)'!GA6:GC6,"A"))*4)+((COUNTIF('Elève (4ème2)'!GA6:GC6,"B"))*3)+((COUNTIF('Elève (4ème2)'!GA6:GC6,"C"))*2)+((COUNTIF('Elève (4ème2)'!GA6:GC6,"D"))*1))/(COUNTA(GA6:GC6)),"")</f>
        <v>4</v>
      </c>
      <c r="GE6" s="183" t="str">
        <f t="shared" si="36"/>
        <v>A</v>
      </c>
      <c r="GF6" s="123"/>
      <c r="GG6" s="124"/>
      <c r="GH6" s="125"/>
      <c r="GI6" s="125"/>
      <c r="GJ6" s="182" t="str">
        <f>IFERROR((((COUNTIF('Elève (4ème2)'!GF6:GI6,"A"))*4)+((COUNTIF('Elève (4ème2)'!GF6:GI6,"B"))*3)+((COUNTIF('Elève (4ème2)'!GF6:GI6,"C"))*2)+((COUNTIF('Elève (4ème2)'!GF6:GI6,"D"))*1))/(COUNTA(GF6:GI6)),"")</f>
        <v/>
      </c>
      <c r="GK6" s="183" t="str">
        <f t="shared" si="37"/>
        <v/>
      </c>
      <c r="GL6" s="123"/>
      <c r="GM6" s="218" t="s">
        <v>29</v>
      </c>
      <c r="GN6" s="218"/>
      <c r="GO6" s="124"/>
      <c r="GP6" s="129"/>
      <c r="GQ6" s="182">
        <f>IFERROR((((COUNTIF('Elève (4ème2)'!GL6:GP6,"A"))*4)+((COUNTIF('Elève (4ème2)'!GL6:GP6,"B"))*3)+((COUNTIF('Elève (4ème2)'!GL6:GP6,"C"))*2)+((COUNTIF('Elève (4ème2)'!GL6:GP6,"D"))*1))/(COUNTA(GL6:GP6)),"")</f>
        <v>4</v>
      </c>
      <c r="GR6" s="183" t="str">
        <f t="shared" si="38"/>
        <v>A</v>
      </c>
      <c r="GS6" s="182">
        <f>IF(COUNT(GD6,GJ6,GQ6)=0,"",SUM(GD6,GJ6,GQ6)/COUNT(GD6,GJ6,GQ6))</f>
        <v>4</v>
      </c>
      <c r="GT6" s="206" t="str">
        <f t="shared" si="39"/>
        <v>A</v>
      </c>
      <c r="GU6" s="123"/>
      <c r="GV6" s="124" t="s">
        <v>32</v>
      </c>
      <c r="GW6" s="125"/>
      <c r="GX6" s="182">
        <f>IFERROR((((COUNTIF('Elève (4ème2)'!GU6:GW6,"A"))*4)+((COUNTIF('Elève (4ème2)'!GU6:GW6,"B"))*3)+((COUNTIF('Elève (4ème2)'!GU6:GW6,"C"))*2)+((COUNTIF('Elève (4ème2)'!GU6:GW6,"D"))*1))/(COUNTA(GU6:GW6)),"")</f>
        <v>1</v>
      </c>
      <c r="GY6" s="183" t="str">
        <f t="shared" si="40"/>
        <v>D</v>
      </c>
      <c r="GZ6" s="123"/>
      <c r="HA6" s="124"/>
      <c r="HB6" s="125"/>
      <c r="HC6" s="125"/>
      <c r="HD6" s="182" t="str">
        <f>IFERROR((((COUNTIF('Elève (4ème2)'!GZ6:HC6,"A"))*4)+((COUNTIF('Elève (4ème2)'!GZ6:HC6,"B"))*3)+((COUNTIF('Elève (4ème2)'!GZ6:HC6,"C"))*2)+((COUNTIF('Elève (4ème2)'!GZ6:HC6,"D"))*1))/(COUNTA(GZ6:HC6)),"")</f>
        <v/>
      </c>
      <c r="HE6" s="183" t="str">
        <f t="shared" si="41"/>
        <v/>
      </c>
      <c r="HF6" s="123"/>
      <c r="HG6" s="218" t="s">
        <v>29</v>
      </c>
      <c r="HH6" s="218"/>
      <c r="HI6" s="124"/>
      <c r="HJ6" s="129"/>
      <c r="HK6" s="182">
        <f>IFERROR((((COUNTIF('Elève (4ème2)'!HF6:HJ6,"A"))*4)+((COUNTIF('Elève (4ème2)'!HF6:HJ6,"B"))*3)+((COUNTIF('Elève (4ème2)'!HF6:HJ6,"C"))*2)+((COUNTIF('Elève (4ème2)'!HF6:HJ6,"D"))*1))/(COUNTA(HF6:HJ6)),"")</f>
        <v>4</v>
      </c>
      <c r="HL6" s="183" t="str">
        <f t="shared" si="42"/>
        <v>A</v>
      </c>
      <c r="HM6" s="182">
        <f>IF(COUNT(GX6,HD6,HK6)=0,"",SUM(GX6,HD6,HK6)/COUNT(GX6,HD6,HK6))</f>
        <v>2.5</v>
      </c>
      <c r="HN6" s="206" t="str">
        <f t="shared" si="43"/>
        <v>C</v>
      </c>
      <c r="HO6" s="123"/>
      <c r="HP6" s="124" t="s">
        <v>30</v>
      </c>
      <c r="HQ6" s="125"/>
      <c r="HR6" s="182">
        <f>IFERROR((((COUNTIF('Elève (4ème2)'!HO6:HQ6,"A"))*4)+((COUNTIF('Elève (4ème2)'!HO6:HQ6,"B"))*3)+((COUNTIF('Elève (4ème2)'!HO6:HQ6,"C"))*2)+((COUNTIF('Elève (4ème2)'!HO6:HQ6,"D"))*1))/(COUNTA(HO6:HQ6)),"")</f>
        <v>3</v>
      </c>
      <c r="HS6" s="183" t="str">
        <f t="shared" si="44"/>
        <v>B</v>
      </c>
      <c r="HT6" s="123"/>
      <c r="HU6" s="124"/>
      <c r="HV6" s="125"/>
      <c r="HW6" s="125"/>
      <c r="HX6" s="182" t="str">
        <f>IFERROR((((COUNTIF('Elève (4ème2)'!HT6:HW6,"A"))*4)+((COUNTIF('Elève (4ème2)'!HT6:HW6,"B"))*3)+((COUNTIF('Elève (4ème2)'!HT6:HW6,"C"))*2)+((COUNTIF('Elève (4ème2)'!HT6:HW6,"D"))*1))/(COUNTA(HT6:HW6)),"")</f>
        <v/>
      </c>
      <c r="HY6" s="183" t="str">
        <f t="shared" si="45"/>
        <v/>
      </c>
      <c r="HZ6" s="123"/>
      <c r="IA6" s="218" t="s">
        <v>29</v>
      </c>
      <c r="IB6" s="218"/>
      <c r="IC6" s="124"/>
      <c r="ID6" s="129"/>
      <c r="IE6" s="182">
        <f>IFERROR((((COUNTIF('Elève (4ème2)'!HZ6:ID6,"A"))*4)+((COUNTIF('Elève (4ème2)'!HZ6:ID6,"B"))*3)+((COUNTIF('Elève (4ème2)'!HZ6:ID6,"C"))*2)+((COUNTIF('Elève (4ème2)'!HZ6:ID6,"D"))*1))/(COUNTA(HZ6:ID6)),"")</f>
        <v>4</v>
      </c>
      <c r="IF6" s="183" t="str">
        <f t="shared" si="46"/>
        <v>A</v>
      </c>
      <c r="IG6" s="182">
        <f>IF(COUNT(HR6,HX6,IE6)=0,"",SUM(HR6,HX6,IE6)/COUNT(HR6,HX6,IE6))</f>
        <v>3.5</v>
      </c>
      <c r="IH6" s="206" t="str">
        <f t="shared" si="47"/>
        <v>B</v>
      </c>
      <c r="II6" s="123"/>
      <c r="IJ6" s="124" t="s">
        <v>31</v>
      </c>
      <c r="IK6" s="125"/>
      <c r="IL6" s="182">
        <f>IFERROR((((COUNTIF('Elève (4ème2)'!II6:IK6,"A"))*4)+((COUNTIF('Elève (4ème2)'!II6:IK6,"B"))*3)+((COUNTIF('Elève (4ème2)'!II6:IK6,"C"))*2)+((COUNTIF('Elève (4ème2)'!II6:IK6,"D"))*1))/(COUNTA(II6:IK6)),"")</f>
        <v>2</v>
      </c>
      <c r="IM6" s="183" t="str">
        <f t="shared" si="48"/>
        <v>C</v>
      </c>
      <c r="IN6" s="123"/>
      <c r="IO6" s="124"/>
      <c r="IP6" s="125"/>
      <c r="IQ6" s="125"/>
      <c r="IR6" s="182" t="str">
        <f>IFERROR((((COUNTIF('Elève (4ème2)'!IN6:IQ6,"A"))*4)+((COUNTIF('Elève (4ème2)'!IN6:IQ6,"B"))*3)+((COUNTIF('Elève (4ème2)'!IN6:IQ6,"C"))*2)+((COUNTIF('Elève (4ème2)'!IN6:IQ6,"D"))*1))/(COUNTA(IN6:IQ6)),"")</f>
        <v/>
      </c>
      <c r="IS6" s="183" t="str">
        <f t="shared" si="49"/>
        <v/>
      </c>
      <c r="IT6" s="123"/>
      <c r="IU6" s="218" t="s">
        <v>29</v>
      </c>
      <c r="IV6" s="218"/>
      <c r="IW6" s="124"/>
      <c r="IX6" s="129"/>
      <c r="IY6" s="182">
        <f>IFERROR((((COUNTIF('Elève (4ème2)'!IT6:IX6,"A"))*4)+((COUNTIF('Elève (4ème2)'!IT6:IX6,"B"))*3)+((COUNTIF('Elève (4ème2)'!IT6:IX6,"C"))*2)+((COUNTIF('Elève (4ème2)'!IT6:IX6,"D"))*1))/(COUNTA(IT6:IX6)),"")</f>
        <v>4</v>
      </c>
      <c r="IZ6" s="183" t="str">
        <f t="shared" si="50"/>
        <v>A</v>
      </c>
      <c r="JA6" s="182">
        <f>IF(COUNT(IL6,IR6,IY6)=0,"",SUM(IL6,IR6,IY6)/COUNT(IL6,IR6,IY6))</f>
        <v>3</v>
      </c>
      <c r="JB6" s="206" t="str">
        <f t="shared" si="51"/>
        <v>B</v>
      </c>
      <c r="JC6" s="123"/>
      <c r="JD6" s="124" t="s">
        <v>30</v>
      </c>
      <c r="JE6" s="125"/>
      <c r="JF6" s="182">
        <f>IFERROR((((COUNTIF('Elève (4ème2)'!JC6:JE6,"A"))*4)+((COUNTIF('Elève (4ème2)'!JC6:JE6,"B"))*3)+((COUNTIF('Elève (4ème2)'!JC6:JE6,"C"))*2)+((COUNTIF('Elève (4ème2)'!JC6:JE6,"D"))*1))/(COUNTA(JC6:JE6)),"")</f>
        <v>3</v>
      </c>
      <c r="JG6" s="183" t="str">
        <f t="shared" si="52"/>
        <v>B</v>
      </c>
      <c r="JH6" s="123"/>
      <c r="JI6" s="124"/>
      <c r="JJ6" s="125"/>
      <c r="JK6" s="125"/>
      <c r="JL6" s="182" t="str">
        <f>IFERROR((((COUNTIF('Elève (4ème2)'!JH6:JK6,"A"))*4)+((COUNTIF('Elève (4ème2)'!JH6:JK6,"B"))*3)+((COUNTIF('Elève (4ème2)'!JH6:JK6,"C"))*2)+((COUNTIF('Elève (4ème2)'!JH6:JK6,"D"))*1))/(COUNTA(JH6:JK6)),"")</f>
        <v/>
      </c>
      <c r="JM6" s="183" t="str">
        <f t="shared" si="53"/>
        <v/>
      </c>
      <c r="JN6" s="123"/>
      <c r="JO6" s="218" t="s">
        <v>29</v>
      </c>
      <c r="JP6" s="218"/>
      <c r="JQ6" s="124"/>
      <c r="JR6" s="129"/>
      <c r="JS6" s="182">
        <f>IFERROR((((COUNTIF('Elève (4ème2)'!JN6:JR6,"A"))*4)+((COUNTIF('Elève (4ème2)'!JN6:JR6,"B"))*3)+((COUNTIF('Elève (4ème2)'!JN6:JR6,"C"))*2)+((COUNTIF('Elève (4ème2)'!JN6:JR6,"D"))*1))/(COUNTA(JN6:JR6)),"")</f>
        <v>4</v>
      </c>
      <c r="JT6" s="183" t="str">
        <f t="shared" si="54"/>
        <v>A</v>
      </c>
      <c r="JU6" s="182">
        <f>IF(COUNT(JF6,JL6,JS6)=0,"",SUM(JF6,JL6,JS6)/COUNT(JF6,JL6,JS6))</f>
        <v>3.5</v>
      </c>
      <c r="JV6" s="206" t="str">
        <f t="shared" si="55"/>
        <v>B</v>
      </c>
      <c r="JW6" s="123"/>
      <c r="JX6" s="124" t="s">
        <v>29</v>
      </c>
      <c r="JY6" s="125"/>
      <c r="JZ6" s="182">
        <f>IFERROR((((COUNTIF('Elève (4ème2)'!JW6:JY6,"A"))*4)+((COUNTIF('Elève (4ème2)'!JW6:JY6,"B"))*3)+((COUNTIF('Elève (4ème2)'!JW6:JY6,"C"))*2)+((COUNTIF('Elève (4ème2)'!JW6:JY6,"D"))*1))/(COUNTA(JW6:JY6)),"")</f>
        <v>4</v>
      </c>
      <c r="KA6" s="183" t="str">
        <f t="shared" si="56"/>
        <v>A</v>
      </c>
      <c r="KB6" s="123"/>
      <c r="KC6" s="124"/>
      <c r="KD6" s="125"/>
      <c r="KE6" s="125"/>
      <c r="KF6" s="182" t="str">
        <f>IFERROR((((COUNTIF('Elève (4ème2)'!KB6:KE6,"A"))*4)+((COUNTIF('Elève (4ème2)'!KB6:KE6,"B"))*3)+((COUNTIF('Elève (4ème2)'!KB6:KE6,"C"))*2)+((COUNTIF('Elève (4ème2)'!KB6:KE6,"D"))*1))/(COUNTA(KB6:KE6)),"")</f>
        <v/>
      </c>
      <c r="KG6" s="183" t="str">
        <f t="shared" si="57"/>
        <v/>
      </c>
      <c r="KH6" s="123"/>
      <c r="KI6" s="218" t="s">
        <v>29</v>
      </c>
      <c r="KJ6" s="218"/>
      <c r="KK6" s="124"/>
      <c r="KL6" s="129"/>
      <c r="KM6" s="182">
        <f>IFERROR((((COUNTIF('Elève (4ème2)'!KH6:KL6,"A"))*4)+((COUNTIF('Elève (4ème2)'!KH6:KL6,"B"))*3)+((COUNTIF('Elève (4ème2)'!KH6:KL6,"C"))*2)+((COUNTIF('Elève (4ème2)'!KH6:KL6,"D"))*1))/(COUNTA(KH6:KL6)),"")</f>
        <v>4</v>
      </c>
      <c r="KN6" s="183" t="str">
        <f t="shared" si="58"/>
        <v>A</v>
      </c>
      <c r="KO6" s="182">
        <f>IF(COUNT(JZ6,KF6,KM6)=0,"",SUM(JZ6,KF6,KM6)/COUNT(JZ6,KF6,KM6))</f>
        <v>4</v>
      </c>
      <c r="KP6" s="206" t="str">
        <f t="shared" si="59"/>
        <v>A</v>
      </c>
      <c r="KQ6" s="123"/>
      <c r="KR6" s="124" t="s">
        <v>31</v>
      </c>
      <c r="KS6" s="125"/>
      <c r="KT6" s="182">
        <f>IFERROR((((COUNTIF('Elève (4ème2)'!KQ6:KS6,"A"))*4)+((COUNTIF('Elève (4ème2)'!KQ6:KS6,"B"))*3)+((COUNTIF('Elève (4ème2)'!KQ6:KS6,"C"))*2)+((COUNTIF('Elève (4ème2)'!KQ6:KS6,"D"))*1))/(COUNTA(KQ6:KS6)),"")</f>
        <v>2</v>
      </c>
      <c r="KU6" s="183" t="str">
        <f t="shared" si="60"/>
        <v>C</v>
      </c>
      <c r="KV6" s="123"/>
      <c r="KW6" s="124"/>
      <c r="KX6" s="125"/>
      <c r="KY6" s="125"/>
      <c r="KZ6" s="182" t="str">
        <f>IFERROR((((COUNTIF('Elève (4ème2)'!KV6:KY6,"A"))*4)+((COUNTIF('Elève (4ème2)'!KV6:KY6,"B"))*3)+((COUNTIF('Elève (4ème2)'!KV6:KY6,"C"))*2)+((COUNTIF('Elève (4ème2)'!KV6:KY6,"D"))*1))/(COUNTA(KV6:KY6)),"")</f>
        <v/>
      </c>
      <c r="LA6" s="183" t="str">
        <f t="shared" si="61"/>
        <v/>
      </c>
      <c r="LB6" s="123"/>
      <c r="LC6" s="218" t="s">
        <v>31</v>
      </c>
      <c r="LD6" s="218"/>
      <c r="LE6" s="124"/>
      <c r="LF6" s="129"/>
      <c r="LG6" s="182">
        <f>IFERROR((((COUNTIF('Elève (4ème2)'!LB6:LF6,"A"))*4)+((COUNTIF('Elève (4ème2)'!LB6:LF6,"B"))*3)+((COUNTIF('Elève (4ème2)'!LB6:LF6,"C"))*2)+((COUNTIF('Elève (4ème2)'!LB6:LF6,"D"))*1))/(COUNTA(LB6:LF6)),"")</f>
        <v>2</v>
      </c>
      <c r="LH6" s="183" t="str">
        <f t="shared" si="62"/>
        <v>C</v>
      </c>
      <c r="LI6" s="182">
        <f>IF(COUNT(KT6,KZ6,LG6)=0,"",SUM(KT6,KZ6,LG6)/COUNT(KT6,KZ6,LG6))</f>
        <v>2</v>
      </c>
      <c r="LJ6" s="206" t="str">
        <f t="shared" si="63"/>
        <v>C</v>
      </c>
      <c r="LK6" s="123"/>
      <c r="LL6" s="124" t="s">
        <v>30</v>
      </c>
      <c r="LM6" s="125"/>
      <c r="LN6" s="182">
        <f>IFERROR((((COUNTIF('Elève (4ème2)'!LK6:LM6,"A"))*4)+((COUNTIF('Elève (4ème2)'!LK6:LM6,"B"))*3)+((COUNTIF('Elève (4ème2)'!LK6:LM6,"C"))*2)+((COUNTIF('Elève (4ème2)'!LK6:LM6,"D"))*1))/(COUNTA(LK6:LM6)),"")</f>
        <v>3</v>
      </c>
      <c r="LO6" s="183" t="str">
        <f t="shared" si="64"/>
        <v>B</v>
      </c>
      <c r="LP6" s="123"/>
      <c r="LQ6" s="124"/>
      <c r="LR6" s="125"/>
      <c r="LS6" s="125"/>
      <c r="LT6" s="182" t="str">
        <f>IFERROR((((COUNTIF('Elève (4ème2)'!LP6:LS6,"A"))*4)+((COUNTIF('Elève (4ème2)'!LP6:LS6,"B"))*3)+((COUNTIF('Elève (4ème2)'!LP6:LS6,"C"))*2)+((COUNTIF('Elève (4ème2)'!LP6:LS6,"D"))*1))/(COUNTA(LP6:LS6)),"")</f>
        <v/>
      </c>
      <c r="LU6" s="183" t="str">
        <f t="shared" si="65"/>
        <v/>
      </c>
      <c r="LV6" s="123"/>
      <c r="LW6" s="218" t="s">
        <v>30</v>
      </c>
      <c r="LX6" s="218"/>
      <c r="LY6" s="124"/>
      <c r="LZ6" s="129"/>
      <c r="MA6" s="182">
        <f>IFERROR((((COUNTIF('Elève (4ème2)'!LV6:LZ6,"A"))*4)+((COUNTIF('Elève (4ème2)'!LV6:LZ6,"B"))*3)+((COUNTIF('Elève (4ème2)'!LV6:LZ6,"C"))*2)+((COUNTIF('Elève (4ème2)'!LV6:LZ6,"D"))*1))/(COUNTA(LV6:LZ6)),"")</f>
        <v>3</v>
      </c>
      <c r="MB6" s="183" t="str">
        <f t="shared" si="66"/>
        <v>B</v>
      </c>
      <c r="MC6" s="182">
        <f>IF(COUNT(LN6,LT6,MA6)=0,"",SUM(LN6,LT6,MA6)/COUNT(LN6,LT6,MA6))</f>
        <v>3</v>
      </c>
      <c r="MD6" s="206" t="str">
        <f t="shared" si="67"/>
        <v>B</v>
      </c>
      <c r="ME6" s="123"/>
      <c r="MF6" s="124" t="s">
        <v>30</v>
      </c>
      <c r="MG6" s="125"/>
      <c r="MH6" s="182">
        <f>IFERROR((((COUNTIF('Elève (4ème2)'!ME6:MG6,"A"))*4)+((COUNTIF('Elève (4ème2)'!ME6:MG6,"B"))*3)+((COUNTIF('Elève (4ème2)'!ME6:MG6,"C"))*2)+((COUNTIF('Elève (4ème2)'!ME6:MG6,"D"))*1))/(COUNTA(ME6:MG6)),"")</f>
        <v>3</v>
      </c>
      <c r="MI6" s="183" t="str">
        <f t="shared" si="68"/>
        <v>B</v>
      </c>
      <c r="MJ6" s="123"/>
      <c r="MK6" s="124"/>
      <c r="ML6" s="125"/>
      <c r="MM6" s="125"/>
      <c r="MN6" s="182" t="str">
        <f>IFERROR((((COUNTIF('Elève (4ème2)'!MJ6:MM6,"A"))*4)+((COUNTIF('Elève (4ème2)'!MJ6:MM6,"B"))*3)+((COUNTIF('Elève (4ème2)'!MJ6:MM6,"C"))*2)+((COUNTIF('Elève (4ème2)'!MJ6:MM6,"D"))*1))/(COUNTA(MJ6:MM6)),"")</f>
        <v/>
      </c>
      <c r="MO6" s="183" t="str">
        <f t="shared" si="69"/>
        <v/>
      </c>
      <c r="MP6" s="123"/>
      <c r="MQ6" s="218" t="s">
        <v>31</v>
      </c>
      <c r="MR6" s="218"/>
      <c r="MS6" s="124"/>
      <c r="MT6" s="129"/>
      <c r="MU6" s="182">
        <f>IFERROR((((COUNTIF('Elève (4ème2)'!MP6:MT6,"A"))*4)+((COUNTIF('Elève (4ème2)'!MP6:MT6,"B"))*3)+((COUNTIF('Elève (4ème2)'!MP6:MT6,"C"))*2)+((COUNTIF('Elève (4ème2)'!MP6:MT6,"D"))*1))/(COUNTA(MP6:MT6)),"")</f>
        <v>2</v>
      </c>
      <c r="MV6" s="183" t="str">
        <f t="shared" si="70"/>
        <v>C</v>
      </c>
      <c r="MW6" s="182">
        <f>IF(COUNT(MH6,MN6,MU6)=0,"",SUM(MH6,MN6,MU6)/COUNT(MH6,MN6,MU6))</f>
        <v>2.5</v>
      </c>
      <c r="MX6" s="206" t="str">
        <f t="shared" si="71"/>
        <v>C</v>
      </c>
      <c r="MY6" s="123"/>
      <c r="MZ6" s="124" t="s">
        <v>29</v>
      </c>
      <c r="NA6" s="125"/>
      <c r="NB6" s="182">
        <f>IFERROR((((COUNTIF('Elève (4ème2)'!MY6:NA6,"A"))*4)+((COUNTIF('Elève (4ème2)'!MY6:NA6,"B"))*3)+((COUNTIF('Elève (4ème2)'!MY6:NA6,"C"))*2)+((COUNTIF('Elève (4ème2)'!MY6:NA6,"D"))*1))/(COUNTA(MY6:NA6)),"")</f>
        <v>4</v>
      </c>
      <c r="NC6" s="183" t="str">
        <f t="shared" si="72"/>
        <v>A</v>
      </c>
      <c r="ND6" s="123"/>
      <c r="NE6" s="124"/>
      <c r="NF6" s="125"/>
      <c r="NG6" s="125"/>
      <c r="NH6" s="182" t="str">
        <f>IFERROR((((COUNTIF('Elève (4ème2)'!ND6:NG6,"A"))*4)+((COUNTIF('Elève (4ème2)'!ND6:NG6,"B"))*3)+((COUNTIF('Elève (4ème2)'!ND6:NG6,"C"))*2)+((COUNTIF('Elève (4ème2)'!ND6:NG6,"D"))*1))/(COUNTA(ND6:NG6)),"")</f>
        <v/>
      </c>
      <c r="NI6" s="183" t="str">
        <f t="shared" si="73"/>
        <v/>
      </c>
      <c r="NJ6" s="123"/>
      <c r="NK6" s="218" t="s">
        <v>29</v>
      </c>
      <c r="NL6" s="218"/>
      <c r="NM6" s="124"/>
      <c r="NN6" s="129"/>
      <c r="NO6" s="182">
        <f>IFERROR((((COUNTIF('Elève (4ème2)'!NJ6:NN6,"A"))*4)+((COUNTIF('Elève (4ème2)'!NJ6:NN6,"B"))*3)+((COUNTIF('Elève (4ème2)'!NJ6:NN6,"C"))*2)+((COUNTIF('Elève (4ème2)'!NJ6:NN6,"D"))*1))/(COUNTA(NJ6:NN6)),"")</f>
        <v>4</v>
      </c>
      <c r="NP6" s="183" t="str">
        <f t="shared" si="74"/>
        <v>A</v>
      </c>
      <c r="NQ6" s="182">
        <f>IF(COUNT(NB6,NH6,NO6)=0,"",SUM(NB6,NH6,NO6)/COUNT(NB6,NH6,NO6))</f>
        <v>4</v>
      </c>
      <c r="NR6" s="206" t="str">
        <f t="shared" si="75"/>
        <v>A</v>
      </c>
      <c r="NS6" s="123"/>
      <c r="NT6" s="124" t="s">
        <v>30</v>
      </c>
      <c r="NU6" s="125"/>
      <c r="NV6" s="182">
        <f>IFERROR((((COUNTIF('Elève (4ème2)'!NS6:NU6,"A"))*4)+((COUNTIF('Elève (4ème2)'!NS6:NU6,"B"))*3)+((COUNTIF('Elève (4ème2)'!NS6:NU6,"C"))*2)+((COUNTIF('Elève (4ème2)'!NS6:NU6,"D"))*1))/(COUNTA(NS6:NU6)),"")</f>
        <v>3</v>
      </c>
      <c r="NW6" s="183" t="str">
        <f t="shared" si="76"/>
        <v>B</v>
      </c>
      <c r="NX6" s="123"/>
      <c r="NY6" s="124"/>
      <c r="NZ6" s="125"/>
      <c r="OA6" s="125"/>
      <c r="OB6" s="182" t="str">
        <f>IFERROR((((COUNTIF('Elève (4ème2)'!NX6:OA6,"A"))*4)+((COUNTIF('Elève (4ème2)'!NX6:OA6,"B"))*3)+((COUNTIF('Elève (4ème2)'!NX6:OA6,"C"))*2)+((COUNTIF('Elève (4ème2)'!NX6:OA6,"D"))*1))/(COUNTA(NX6:OA6)),"")</f>
        <v/>
      </c>
      <c r="OC6" s="183" t="str">
        <f t="shared" si="77"/>
        <v/>
      </c>
      <c r="OD6" s="123"/>
      <c r="OE6" s="218" t="s">
        <v>30</v>
      </c>
      <c r="OF6" s="218"/>
      <c r="OG6" s="124"/>
      <c r="OH6" s="129"/>
      <c r="OI6" s="182">
        <f>IFERROR((((COUNTIF('Elève (4ème2)'!OD6:OH6,"A"))*4)+((COUNTIF('Elève (4ème2)'!OD6:OH6,"B"))*3)+((COUNTIF('Elève (4ème2)'!OD6:OH6,"C"))*2)+((COUNTIF('Elève (4ème2)'!OD6:OH6,"D"))*1))/(COUNTA(OD6:OH6)),"")</f>
        <v>3</v>
      </c>
      <c r="OJ6" s="183" t="str">
        <f t="shared" si="78"/>
        <v>B</v>
      </c>
      <c r="OK6" s="182">
        <f>IF(COUNT(NV6,OB6,OI6)=0,"",SUM(NV6,OB6,OI6)/COUNT(NV6,OB6,OI6))</f>
        <v>3</v>
      </c>
      <c r="OL6" s="206" t="str">
        <f t="shared" si="79"/>
        <v>B</v>
      </c>
      <c r="OM6" s="123"/>
      <c r="ON6" s="124" t="s">
        <v>30</v>
      </c>
      <c r="OO6" s="125"/>
      <c r="OP6" s="182">
        <f>IFERROR((((COUNTIF('Elève (4ème2)'!OM6:OO6,"A"))*4)+((COUNTIF('Elève (4ème2)'!OM6:OO6,"B"))*3)+((COUNTIF('Elève (4ème2)'!OM6:OO6,"C"))*2)+((COUNTIF('Elève (4ème2)'!OM6:OO6,"D"))*1))/(COUNTA(OM6:OO6)),"")</f>
        <v>3</v>
      </c>
      <c r="OQ6" s="183" t="str">
        <f t="shared" si="80"/>
        <v>B</v>
      </c>
      <c r="OR6" s="123"/>
      <c r="OS6" s="124"/>
      <c r="OT6" s="125"/>
      <c r="OU6" s="125"/>
      <c r="OV6" s="182" t="str">
        <f>IFERROR((((COUNTIF('Elève (4ème2)'!OR6:OU6,"A"))*4)+((COUNTIF('Elève (4ème2)'!OR6:OU6,"B"))*3)+((COUNTIF('Elève (4ème2)'!OR6:OU6,"C"))*2)+((COUNTIF('Elève (4ème2)'!OR6:OU6,"D"))*1))/(COUNTA(OR6:OU6)),"")</f>
        <v/>
      </c>
      <c r="OW6" s="183" t="str">
        <f t="shared" si="81"/>
        <v/>
      </c>
      <c r="OX6" s="123"/>
      <c r="OY6" s="218" t="s">
        <v>29</v>
      </c>
      <c r="OZ6" s="218"/>
      <c r="PA6" s="124"/>
      <c r="PB6" s="129"/>
      <c r="PC6" s="182">
        <f>IFERROR((((COUNTIF('Elève (4ème2)'!OX6:PB6,"A"))*4)+((COUNTIF('Elève (4ème2)'!OX6:PB6,"B"))*3)+((COUNTIF('Elève (4ème2)'!OX6:PB6,"C"))*2)+((COUNTIF('Elève (4ème2)'!OX6:PB6,"D"))*1))/(COUNTA(OX6:PB6)),"")</f>
        <v>4</v>
      </c>
      <c r="PD6" s="183" t="str">
        <f t="shared" si="82"/>
        <v>A</v>
      </c>
      <c r="PE6" s="182">
        <f>IF(COUNT(OP6,OV6,PC6)=0,"",SUM(OP6,OV6,PC6)/COUNT(OP6,OV6,PC6))</f>
        <v>3.5</v>
      </c>
      <c r="PF6" s="206" t="str">
        <f t="shared" si="83"/>
        <v>B</v>
      </c>
      <c r="PG6" s="123"/>
      <c r="PH6" s="124" t="s">
        <v>30</v>
      </c>
      <c r="PI6" s="125"/>
      <c r="PJ6" s="182">
        <f>IFERROR((((COUNTIF('Elève (4ème2)'!PG6:PI6,"A"))*4)+((COUNTIF('Elève (4ème2)'!PG6:PI6,"B"))*3)+((COUNTIF('Elève (4ème2)'!PG6:PI6,"C"))*2)+((COUNTIF('Elève (4ème2)'!PG6:PI6,"D"))*1))/(COUNTA(PG6:PI6)),"")</f>
        <v>3</v>
      </c>
      <c r="PK6" s="183" t="str">
        <f t="shared" si="84"/>
        <v>B</v>
      </c>
      <c r="PL6" s="123"/>
      <c r="PM6" s="124"/>
      <c r="PN6" s="125"/>
      <c r="PO6" s="125"/>
      <c r="PP6" s="182" t="str">
        <f>IFERROR((((COUNTIF('Elève (4ème2)'!PL6:PO6,"A"))*4)+((COUNTIF('Elève (4ème2)'!PL6:PO6,"B"))*3)+((COUNTIF('Elève (4ème2)'!PL6:PO6,"C"))*2)+((COUNTIF('Elève (4ème2)'!PL6:PO6,"D"))*1))/(COUNTA(PL6:PO6)),"")</f>
        <v/>
      </c>
      <c r="PQ6" s="183" t="str">
        <f t="shared" si="85"/>
        <v/>
      </c>
      <c r="PR6" s="123"/>
      <c r="PS6" s="218" t="s">
        <v>30</v>
      </c>
      <c r="PT6" s="218"/>
      <c r="PU6" s="124"/>
      <c r="PV6" s="129"/>
      <c r="PW6" s="182">
        <f>IFERROR((((COUNTIF('Elève (4ème2)'!PR6:PV6,"A"))*4)+((COUNTIF('Elève (4ème2)'!PR6:PV6,"B"))*3)+((COUNTIF('Elève (4ème2)'!PR6:PV6,"C"))*2)+((COUNTIF('Elève (4ème2)'!PR6:PV6,"D"))*1))/(COUNTA(PR6:PV6)),"")</f>
        <v>3</v>
      </c>
      <c r="PX6" s="183" t="str">
        <f t="shared" si="86"/>
        <v>B</v>
      </c>
      <c r="PY6" s="182">
        <f>IF(COUNT(PJ6,PP6,PW6)=0,"",SUM(PJ6,PP6,PW6)/COUNT(PJ6,PP6,PW6))</f>
        <v>3</v>
      </c>
      <c r="PZ6" s="206" t="str">
        <f t="shared" si="87"/>
        <v>B</v>
      </c>
      <c r="QA6" s="123"/>
      <c r="QB6" s="124" t="s">
        <v>30</v>
      </c>
      <c r="QC6" s="125"/>
      <c r="QD6" s="182">
        <f>IFERROR((((COUNTIF('Elève (4ème2)'!QA6:QC6,"A"))*4)+((COUNTIF('Elève (4ème2)'!QA6:QC6,"B"))*3)+((COUNTIF('Elève (4ème2)'!QA6:QC6,"C"))*2)+((COUNTIF('Elève (4ème2)'!QA6:QC6,"D"))*1))/(COUNTA(QA6:QC6)),"")</f>
        <v>3</v>
      </c>
      <c r="QE6" s="183" t="str">
        <f t="shared" si="88"/>
        <v>B</v>
      </c>
      <c r="QF6" s="123"/>
      <c r="QG6" s="124"/>
      <c r="QH6" s="125"/>
      <c r="QI6" s="125"/>
      <c r="QJ6" s="182" t="str">
        <f>IFERROR((((COUNTIF('Elève (4ème2)'!QF6:QI6,"A"))*4)+((COUNTIF('Elève (4ème2)'!QF6:QI6,"B"))*3)+((COUNTIF('Elève (4ème2)'!QF6:QI6,"C"))*2)+((COUNTIF('Elève (4ème2)'!QF6:QI6,"D"))*1))/(COUNTA(QF6:QI6)),"")</f>
        <v/>
      </c>
      <c r="QK6" s="183" t="str">
        <f t="shared" si="89"/>
        <v/>
      </c>
      <c r="QL6" s="123"/>
      <c r="QM6" s="218" t="s">
        <v>31</v>
      </c>
      <c r="QN6" s="218"/>
      <c r="QO6" s="124"/>
      <c r="QP6" s="129"/>
      <c r="QQ6" s="182">
        <f>IFERROR((((COUNTIF('Elève (4ème2)'!QL6:QP6,"A"))*4)+((COUNTIF('Elève (4ème2)'!QL6:QP6,"B"))*3)+((COUNTIF('Elève (4ème2)'!QL6:QP6,"C"))*2)+((COUNTIF('Elève (4ème2)'!QL6:QP6,"D"))*1))/(COUNTA(QL6:QP6)),"")</f>
        <v>2</v>
      </c>
      <c r="QR6" s="183" t="str">
        <f t="shared" si="90"/>
        <v>C</v>
      </c>
      <c r="QS6" s="182">
        <f>IF(COUNT(QD6,QJ6,QQ6)=0,"",SUM(QD6,QJ6,QQ6)/COUNT(QD6,QJ6,QQ6))</f>
        <v>2.5</v>
      </c>
      <c r="QT6" s="206" t="str">
        <f t="shared" si="91"/>
        <v>C</v>
      </c>
      <c r="QU6" s="123"/>
      <c r="QV6" s="124" t="s">
        <v>30</v>
      </c>
      <c r="QW6" s="125"/>
      <c r="QX6" s="182">
        <f>IFERROR((((COUNTIF('Elève (4ème2)'!QU6:QW6,"A"))*4)+((COUNTIF('Elève (4ème2)'!QU6:QW6,"B"))*3)+((COUNTIF('Elève (4ème2)'!QU6:QW6,"C"))*2)+((COUNTIF('Elève (4ème2)'!QU6:QW6,"D"))*1))/(COUNTA(QU6:QW6)),"")</f>
        <v>3</v>
      </c>
      <c r="QY6" s="183" t="str">
        <f t="shared" si="92"/>
        <v>B</v>
      </c>
      <c r="QZ6" s="123"/>
      <c r="RA6" s="124"/>
      <c r="RB6" s="125"/>
      <c r="RC6" s="125"/>
      <c r="RD6" s="182" t="str">
        <f>IFERROR((((COUNTIF('Elève (4ème2)'!QZ6:RC6,"A"))*4)+((COUNTIF('Elève (4ème2)'!QZ6:RC6,"B"))*3)+((COUNTIF('Elève (4ème2)'!QZ6:RC6,"C"))*2)+((COUNTIF('Elève (4ème2)'!QZ6:RC6,"D"))*1))/(COUNTA(QZ6:RC6)),"")</f>
        <v/>
      </c>
      <c r="RE6" s="183" t="str">
        <f t="shared" si="93"/>
        <v/>
      </c>
      <c r="RF6" s="123"/>
      <c r="RG6" s="218" t="s">
        <v>31</v>
      </c>
      <c r="RH6" s="218"/>
      <c r="RI6" s="124"/>
      <c r="RJ6" s="129"/>
      <c r="RK6" s="182">
        <f>IFERROR((((COUNTIF('Elève (4ème2)'!RF6:RJ6,"A"))*4)+((COUNTIF('Elève (4ème2)'!RF6:RJ6,"B"))*3)+((COUNTIF('Elève (4ème2)'!RF6:RJ6,"C"))*2)+((COUNTIF('Elève (4ème2)'!RF6:RJ6,"D"))*1))/(COUNTA(RF6:RJ6)),"")</f>
        <v>2</v>
      </c>
      <c r="RL6" s="183" t="str">
        <f t="shared" si="94"/>
        <v>C</v>
      </c>
      <c r="RM6" s="182">
        <f>IF(COUNT(QX6,RD6,RK6)=0,"",SUM(QX6,RD6,RK6)/COUNT(QX6,RD6,RK6))</f>
        <v>2.5</v>
      </c>
      <c r="RN6" s="206" t="str">
        <f t="shared" si="95"/>
        <v>C</v>
      </c>
      <c r="RO6" s="123"/>
      <c r="RP6" s="124" t="s">
        <v>29</v>
      </c>
      <c r="RQ6" s="125"/>
      <c r="RR6" s="182">
        <f>IFERROR((((COUNTIF('Elève (4ème2)'!RO6:RQ6,"A"))*4)+((COUNTIF('Elève (4ème2)'!RO6:RQ6,"B"))*3)+((COUNTIF('Elève (4ème2)'!RO6:RQ6,"C"))*2)+((COUNTIF('Elève (4ème2)'!RO6:RQ6,"D"))*1))/(COUNTA(RO6:RQ6)),"")</f>
        <v>4</v>
      </c>
      <c r="RS6" s="183" t="str">
        <f t="shared" si="96"/>
        <v>A</v>
      </c>
      <c r="RT6" s="123"/>
      <c r="RU6" s="124"/>
      <c r="RV6" s="125"/>
      <c r="RW6" s="125"/>
      <c r="RX6" s="182" t="str">
        <f>IFERROR((((COUNTIF('Elève (4ème2)'!RT6:RW6,"A"))*4)+((COUNTIF('Elève (4ème2)'!RT6:RW6,"B"))*3)+((COUNTIF('Elève (4ème2)'!RT6:RW6,"C"))*2)+((COUNTIF('Elève (4ème2)'!RT6:RW6,"D"))*1))/(COUNTA(RT6:RW6)),"")</f>
        <v/>
      </c>
      <c r="RY6" s="183" t="str">
        <f t="shared" si="97"/>
        <v/>
      </c>
      <c r="RZ6" s="123"/>
      <c r="SA6" s="218" t="s">
        <v>29</v>
      </c>
      <c r="SB6" s="218"/>
      <c r="SC6" s="124"/>
      <c r="SD6" s="129"/>
      <c r="SE6" s="182">
        <f>IFERROR((((COUNTIF('Elève (4ème2)'!RZ6:SD6,"A"))*4)+((COUNTIF('Elève (4ème2)'!RZ6:SD6,"B"))*3)+((COUNTIF('Elève (4ème2)'!RZ6:SD6,"C"))*2)+((COUNTIF('Elève (4ème2)'!RZ6:SD6,"D"))*1))/(COUNTA(RZ6:SD6)),"")</f>
        <v>4</v>
      </c>
      <c r="SF6" s="183" t="str">
        <f t="shared" si="98"/>
        <v>A</v>
      </c>
      <c r="SG6" s="182">
        <f>IF(COUNT(RR6,RX6,SE6)=0,"",SUM(RR6,RX6,SE6)/COUNT(RR6,RX6,SE6))</f>
        <v>4</v>
      </c>
      <c r="SH6" s="206" t="str">
        <f t="shared" si="99"/>
        <v>A</v>
      </c>
      <c r="SI6" s="123"/>
      <c r="SJ6" s="124" t="s">
        <v>29</v>
      </c>
      <c r="SK6" s="125"/>
      <c r="SL6" s="182">
        <f>IFERROR((((COUNTIF('Elève (4ème2)'!SI6:SK6,"A"))*4)+((COUNTIF('Elève (4ème2)'!SI6:SK6,"B"))*3)+((COUNTIF('Elève (4ème2)'!SI6:SK6,"C"))*2)+((COUNTIF('Elève (4ème2)'!SI6:SK6,"D"))*1))/(COUNTA(SI6:SK6)),"")</f>
        <v>4</v>
      </c>
      <c r="SM6" s="183" t="str">
        <f t="shared" si="100"/>
        <v>A</v>
      </c>
      <c r="SN6" s="123"/>
      <c r="SO6" s="124"/>
      <c r="SP6" s="125"/>
      <c r="SQ6" s="125"/>
      <c r="SR6" s="182" t="str">
        <f>IFERROR((((COUNTIF('Elève (4ème2)'!SN6:SQ6,"A"))*4)+((COUNTIF('Elève (4ème2)'!SN6:SQ6,"B"))*3)+((COUNTIF('Elève (4ème2)'!SN6:SQ6,"C"))*2)+((COUNTIF('Elève (4ème2)'!SN6:SQ6,"D"))*1))/(COUNTA(SN6:SQ6)),"")</f>
        <v/>
      </c>
      <c r="SS6" s="183" t="str">
        <f t="shared" si="101"/>
        <v/>
      </c>
      <c r="ST6" s="123"/>
      <c r="SU6" s="218" t="s">
        <v>29</v>
      </c>
      <c r="SV6" s="218"/>
      <c r="SW6" s="124"/>
      <c r="SX6" s="129"/>
      <c r="SY6" s="182">
        <f>IFERROR((((COUNTIF('Elève (4ème2)'!ST6:SX6,"A"))*4)+((COUNTIF('Elève (4ème2)'!ST6:SX6,"B"))*3)+((COUNTIF('Elève (4ème2)'!ST6:SX6,"C"))*2)+((COUNTIF('Elève (4ème2)'!ST6:SX6,"D"))*1))/(COUNTA(ST6:SX6)),"")</f>
        <v>4</v>
      </c>
      <c r="SZ6" s="183" t="str">
        <f t="shared" si="102"/>
        <v>A</v>
      </c>
      <c r="TA6" s="182">
        <f>IF(COUNT(SL6,SR6,SY6)=0,"",SUM(SL6,SR6,SY6)/COUNT(SL6,SR6,SY6))</f>
        <v>4</v>
      </c>
      <c r="TB6" s="206" t="str">
        <f t="shared" si="103"/>
        <v>A</v>
      </c>
      <c r="TC6" s="123"/>
      <c r="TD6" s="124" t="s">
        <v>30</v>
      </c>
      <c r="TE6" s="125"/>
      <c r="TF6" s="182">
        <f>IFERROR((((COUNTIF('Elève (4ème2)'!TC6:TE6,"A"))*4)+((COUNTIF('Elève (4ème2)'!TC6:TE6,"B"))*3)+((COUNTIF('Elève (4ème2)'!TC6:TE6,"C"))*2)+((COUNTIF('Elève (4ème2)'!TC6:TE6,"D"))*1))/(COUNTA(TC6:TE6)),"")</f>
        <v>3</v>
      </c>
      <c r="TG6" s="183" t="str">
        <f t="shared" si="104"/>
        <v>B</v>
      </c>
      <c r="TH6" s="123"/>
      <c r="TI6" s="124"/>
      <c r="TJ6" s="125"/>
      <c r="TK6" s="125"/>
      <c r="TL6" s="182" t="str">
        <f>IFERROR((((COUNTIF('Elève (4ème2)'!TH6:TK6,"A"))*4)+((COUNTIF('Elève (4ème2)'!TH6:TK6,"B"))*3)+((COUNTIF('Elève (4ème2)'!TH6:TK6,"C"))*2)+((COUNTIF('Elève (4ème2)'!TH6:TK6,"D"))*1))/(COUNTA(TH6:TK6)),"")</f>
        <v/>
      </c>
      <c r="TM6" s="183" t="str">
        <f t="shared" si="105"/>
        <v/>
      </c>
      <c r="TN6" s="123"/>
      <c r="TO6" s="218" t="s">
        <v>30</v>
      </c>
      <c r="TP6" s="218"/>
      <c r="TQ6" s="124"/>
      <c r="TR6" s="129"/>
      <c r="TS6" s="182">
        <f>IFERROR((((COUNTIF('Elève (4ème2)'!TN6:TR6,"A"))*4)+((COUNTIF('Elève (4ème2)'!TN6:TR6,"B"))*3)+((COUNTIF('Elève (4ème2)'!TN6:TR6,"C"))*2)+((COUNTIF('Elève (4ème2)'!TN6:TR6,"D"))*1))/(COUNTA(TN6:TR6)),"")</f>
        <v>3</v>
      </c>
      <c r="TT6" s="183" t="str">
        <f t="shared" si="106"/>
        <v>B</v>
      </c>
      <c r="TU6" s="182">
        <f>IF(COUNT(TF6,TL6,TS6)=0,"",SUM(TF6,TL6,TS6)/COUNT(TF6,TL6,TS6))</f>
        <v>3</v>
      </c>
      <c r="TV6" s="206" t="str">
        <f t="shared" si="107"/>
        <v>B</v>
      </c>
      <c r="TW6" s="123"/>
      <c r="TX6" s="124"/>
      <c r="TY6" s="125"/>
      <c r="TZ6" s="126" t="str">
        <f>IFERROR((((COUNTIF('Elève (4ème2)'!TW6:TY6,"A"))*4)+((COUNTIF('Elève (4ème2)'!TW6:TY6,"B"))*3)+((COUNTIF('Elève (4ème2)'!TW6:TY6,"C"))*2)+((COUNTIF('Elève (4ème2)'!TW6:TY6,"D"))*1))/(COUNTA(TW6:TY6)),"")</f>
        <v/>
      </c>
      <c r="UA6" s="127" t="str">
        <f t="shared" si="108"/>
        <v/>
      </c>
      <c r="UB6" s="123"/>
      <c r="UC6" s="124"/>
      <c r="UD6" s="125"/>
      <c r="UE6" s="126" t="str">
        <f>IFERROR((((COUNTIF('Elève (4ème2)'!UB6:UD6,"A"))*4)+((COUNTIF('Elève (4ème2)'!UB6:UD6,"B"))*3)+((COUNTIF('Elève (4ème2)'!UB6:UD6,"C"))*2)+((COUNTIF('Elève (4ème2)'!UB6:UD6,"D"))*1))/(COUNTA(UB6:UD6)),"")</f>
        <v/>
      </c>
      <c r="UF6" s="127" t="str">
        <f t="shared" si="109"/>
        <v/>
      </c>
      <c r="UG6" s="123"/>
      <c r="UH6" s="124"/>
      <c r="UI6" s="129"/>
      <c r="UJ6" s="126" t="str">
        <f>IFERROR((((COUNTIF('Elève (4ème2)'!UG6:UI6,"A"))*4)+((COUNTIF('Elève (4ème2)'!UG6:UI6,"B"))*3)+((COUNTIF('Elève (4ème2)'!UG6:UI6,"C"))*2)+((COUNTIF('Elève (4ème2)'!UG6:UI6,"D"))*1))/(COUNTA(UG6:UI6)),"")</f>
        <v/>
      </c>
      <c r="UK6" s="127" t="str">
        <f t="shared" si="110"/>
        <v/>
      </c>
      <c r="UL6" s="126" t="str">
        <f>IF(COUNT(TZ6,UE6,UJ6)=0,"",SUM(TZ6,UE6,UJ6)/COUNT(TZ6,UE6,UJ6))</f>
        <v/>
      </c>
      <c r="UM6" s="128" t="str">
        <f t="shared" si="111"/>
        <v/>
      </c>
      <c r="UN6" s="123"/>
      <c r="UO6" s="124"/>
      <c r="UP6" s="125"/>
      <c r="UQ6" s="126" t="str">
        <f>IFERROR((((COUNTIF('Elève (4ème2)'!UN6:UP6,"A"))*4)+((COUNTIF('Elève (4ème2)'!UN6:UP6,"B"))*3)+((COUNTIF('Elève (4ème2)'!UN6:UP6,"C"))*2)+((COUNTIF('Elève (4ème2)'!UN6:UP6,"D"))*1))/(COUNTA(UN6:UP6)),"")</f>
        <v/>
      </c>
      <c r="UR6" s="127" t="str">
        <f t="shared" si="112"/>
        <v/>
      </c>
      <c r="US6" s="123"/>
      <c r="UT6" s="124"/>
      <c r="UU6" s="125"/>
      <c r="UV6" s="126" t="str">
        <f>IFERROR((((COUNTIF('Elève (4ème2)'!US6:UU6,"A"))*4)+((COUNTIF('Elève (4ème2)'!US6:UU6,"B"))*3)+((COUNTIF('Elève (4ème2)'!US6:UU6,"C"))*2)+((COUNTIF('Elève (4ème2)'!US6:UU6,"D"))*1))/(COUNTA(US6:UU6)),"")</f>
        <v/>
      </c>
      <c r="UW6" s="127" t="str">
        <f t="shared" si="113"/>
        <v/>
      </c>
      <c r="UX6" s="123"/>
      <c r="UY6" s="124"/>
      <c r="UZ6" s="129"/>
      <c r="VA6" s="126" t="str">
        <f>IFERROR((((COUNTIF('Elève (4ème2)'!UX6:UZ6,"A"))*4)+((COUNTIF('Elève (4ème2)'!UX6:UZ6,"B"))*3)+((COUNTIF('Elève (4ème2)'!UX6:UZ6,"C"))*2)+((COUNTIF('Elève (4ème2)'!UX6:UZ6,"D"))*1))/(COUNTA(UX6:UZ6)),"")</f>
        <v/>
      </c>
      <c r="VB6" s="127" t="str">
        <f t="shared" si="114"/>
        <v/>
      </c>
      <c r="VC6" s="126" t="str">
        <f>IF(COUNT(UQ6,UV6,VA6)=0,"",SUM(UQ6,UV6,VA6)/COUNT(UQ6,UV6,VA6))</f>
        <v/>
      </c>
      <c r="VD6" s="128" t="str">
        <f t="shared" si="115"/>
        <v/>
      </c>
      <c r="VE6" s="123"/>
      <c r="VF6" s="124"/>
      <c r="VG6" s="125"/>
      <c r="VH6" s="126" t="str">
        <f>IFERROR((((COUNTIF('Elève (4ème2)'!VE6:VG6,"A"))*4)+((COUNTIF('Elève (4ème2)'!VE6:VG6,"B"))*3)+((COUNTIF('Elève (4ème2)'!VE6:VG6,"C"))*2)+((COUNTIF('Elève (4ème2)'!VE6:VG6,"D"))*1))/(COUNTA(VE6:VG6)),"")</f>
        <v/>
      </c>
      <c r="VI6" s="127" t="str">
        <f t="shared" si="116"/>
        <v/>
      </c>
      <c r="VJ6" s="123"/>
      <c r="VK6" s="124"/>
      <c r="VL6" s="125"/>
      <c r="VM6" s="126" t="str">
        <f>IFERROR((((COUNTIF('Elève (4ème2)'!VJ6:VL6,"A"))*4)+((COUNTIF('Elève (4ème2)'!VJ6:VL6,"B"))*3)+((COUNTIF('Elève (4ème2)'!VJ6:VL6,"C"))*2)+((COUNTIF('Elève (4ème2)'!VJ6:VL6,"D"))*1))/(COUNTA(VJ6:VL6)),"")</f>
        <v/>
      </c>
      <c r="VN6" s="127" t="str">
        <f t="shared" si="117"/>
        <v/>
      </c>
      <c r="VO6" s="123"/>
      <c r="VP6" s="124"/>
      <c r="VQ6" s="129"/>
      <c r="VR6" s="126" t="str">
        <f>IFERROR((((COUNTIF('Elève (4ème2)'!VO6:VQ6,"A"))*4)+((COUNTIF('Elève (4ème2)'!VO6:VQ6,"B"))*3)+((COUNTIF('Elève (4ème2)'!VO6:VQ6,"C"))*2)+((COUNTIF('Elève (4ème2)'!VO6:VQ6,"D"))*1))/(COUNTA(VO6:VQ6)),"")</f>
        <v/>
      </c>
      <c r="VS6" s="127" t="str">
        <f t="shared" si="118"/>
        <v/>
      </c>
      <c r="VT6" s="126" t="str">
        <f>IF(COUNT(VH6,VM6,VR6)=0,"",SUM(VH6,VM6,VR6)/COUNT(VH6,VM6,VR6))</f>
        <v/>
      </c>
      <c r="VU6" s="128" t="str">
        <f t="shared" si="119"/>
        <v/>
      </c>
    </row>
    <row r="7" spans="1:593" ht="18" customHeight="1" x14ac:dyDescent="0.55000000000000004">
      <c r="A7" s="248" t="s">
        <v>14</v>
      </c>
      <c r="B7" s="249"/>
      <c r="C7" s="123"/>
      <c r="D7" s="124"/>
      <c r="E7" s="125"/>
      <c r="F7" s="182" t="str">
        <f>IFERROR((((COUNTIF('Elève (4ème2)'!C7:E7,"A"))*4)+((COUNTIF('Elève (4ème2)'!C7:E7,"B"))*3)+((COUNTIF('Elève (4ème2)'!C7:E7,"C"))*2)+((COUNTIF('Elève (4ème2)'!C7:E7,"D"))*1))/(COUNTA(C7:E7)),"")</f>
        <v/>
      </c>
      <c r="G7" s="183" t="str">
        <f t="shared" si="0"/>
        <v/>
      </c>
      <c r="H7" s="123"/>
      <c r="I7" s="124"/>
      <c r="J7" s="125"/>
      <c r="K7" s="125"/>
      <c r="L7" s="182" t="str">
        <f>IFERROR((((COUNTIF('Elève (4ème2)'!H7:K7,"A"))*4)+((COUNTIF('Elève (4ème2)'!H7:K7,"B"))*3)+((COUNTIF('Elève (4ème2)'!H7:K7,"C"))*2)+((COUNTIF('Elève (4ème2)'!H7:K7,"D"))*1))/(COUNTA(H7:K7)),"")</f>
        <v/>
      </c>
      <c r="M7" s="183" t="str">
        <f t="shared" si="1"/>
        <v/>
      </c>
      <c r="N7" s="123"/>
      <c r="O7" s="124"/>
      <c r="P7" s="218"/>
      <c r="Q7" s="218"/>
      <c r="R7" s="125"/>
      <c r="S7" s="182" t="str">
        <f>IFERROR((((COUNTIF('Elève (4ème2)'!N7:R7,"A"))*4)+((COUNTIF('Elève (4ème2)'!N7:R7,"B"))*3)+((COUNTIF('Elève (4ème2)'!N7:R7,"C"))*2)+((COUNTIF('Elève (4ème2)'!N7:R7,"D"))*1))/(COUNTA(N7:R7)),"")</f>
        <v/>
      </c>
      <c r="T7" s="183" t="str">
        <f t="shared" si="2"/>
        <v/>
      </c>
      <c r="U7" s="182" t="str">
        <f>IF(COUNT(F7,L7,S7)=0,"",SUM(F7,L7,S7)/COUNT(F7,L7,S7))</f>
        <v/>
      </c>
      <c r="V7" s="206" t="str">
        <f t="shared" si="3"/>
        <v/>
      </c>
      <c r="W7" s="123"/>
      <c r="X7" s="124"/>
      <c r="Y7" s="125"/>
      <c r="Z7" s="182" t="str">
        <f>IFERROR((((COUNTIF('Elève (4ème2)'!W7:Y7,"A"))*4)+((COUNTIF('Elève (4ème2)'!W7:Y7,"B"))*3)+((COUNTIF('Elève (4ème2)'!W7:Y7,"C"))*2)+((COUNTIF('Elève (4ème2)'!W7:Y7,"D"))*1))/(COUNTA(W7:Y7)),"")</f>
        <v/>
      </c>
      <c r="AA7" s="183" t="str">
        <f t="shared" si="4"/>
        <v/>
      </c>
      <c r="AB7" s="123"/>
      <c r="AC7" s="124"/>
      <c r="AD7" s="125"/>
      <c r="AE7" s="125"/>
      <c r="AF7" s="182" t="str">
        <f>IFERROR((((COUNTIF('Elève (4ème2)'!AB7:AE7,"A"))*4)+((COUNTIF('Elève (4ème2)'!AB7:AE7,"B"))*3)+((COUNTIF('Elève (4ème2)'!AB7:AE7,"C"))*2)+((COUNTIF('Elève (4ème2)'!AB7:AE7,"D"))*1))/(COUNTA(AB7:AE7)),"")</f>
        <v/>
      </c>
      <c r="AG7" s="183" t="str">
        <f t="shared" si="5"/>
        <v/>
      </c>
      <c r="AH7" s="123"/>
      <c r="AI7" s="218"/>
      <c r="AJ7" s="218"/>
      <c r="AK7" s="124"/>
      <c r="AL7" s="129"/>
      <c r="AM7" s="182" t="str">
        <f>IFERROR((((COUNTIF('Elève (4ème2)'!AH7:AL7,"A"))*4)+((COUNTIF('Elève (4ème2)'!AH7:AL7,"B"))*3)+((COUNTIF('Elève (4ème2)'!AH7:AL7,"C"))*2)+((COUNTIF('Elève (4ème2)'!AH7:AL7,"D"))*1))/(COUNTA(AH7:AL7)),"")</f>
        <v/>
      </c>
      <c r="AN7" s="183" t="str">
        <f t="shared" si="6"/>
        <v/>
      </c>
      <c r="AO7" s="182" t="str">
        <f>IF(COUNT(Z7,AF7,AM7)=0,"",SUM(Z7,AF7,AM7)/COUNT(Z7,AF7,AM7))</f>
        <v/>
      </c>
      <c r="AP7" s="206" t="str">
        <f t="shared" si="7"/>
        <v/>
      </c>
      <c r="AQ7" s="123"/>
      <c r="AR7" s="124"/>
      <c r="AS7" s="125"/>
      <c r="AT7" s="182" t="str">
        <f>IFERROR((((COUNTIF('Elève (4ème2)'!AQ7:AS7,"A"))*4)+((COUNTIF('Elève (4ème2)'!AQ7:AS7,"B"))*3)+((COUNTIF('Elève (4ème2)'!AQ7:AS7,"C"))*2)+((COUNTIF('Elève (4ème2)'!AQ7:AS7,"D"))*1))/(COUNTA(AQ7:AS7)),"")</f>
        <v/>
      </c>
      <c r="AU7" s="183" t="str">
        <f t="shared" si="8"/>
        <v/>
      </c>
      <c r="AV7" s="123"/>
      <c r="AW7" s="124"/>
      <c r="AX7" s="125"/>
      <c r="AY7" s="125"/>
      <c r="AZ7" s="182" t="str">
        <f>IFERROR((((COUNTIF('Elève (4ème2)'!AV7:AY7,"A"))*4)+((COUNTIF('Elève (4ème2)'!AV7:AY7,"B"))*3)+((COUNTIF('Elève (4ème2)'!AV7:AY7,"C"))*2)+((COUNTIF('Elève (4ème2)'!AV7:AY7,"D"))*1))/(COUNTA(AV7:AY7)),"")</f>
        <v/>
      </c>
      <c r="BA7" s="183" t="str">
        <f t="shared" si="9"/>
        <v/>
      </c>
      <c r="BB7" s="123"/>
      <c r="BC7" s="218"/>
      <c r="BD7" s="218"/>
      <c r="BE7" s="124"/>
      <c r="BF7" s="129"/>
      <c r="BG7" s="182" t="str">
        <f>IFERROR((((COUNTIF('Elève (4ème2)'!BB7:BF7,"A"))*4)+((COUNTIF('Elève (4ème2)'!BB7:BF7,"B"))*3)+((COUNTIF('Elève (4ème2)'!BB7:BF7,"C"))*2)+((COUNTIF('Elève (4ème2)'!BB7:BF7,"D"))*1))/(COUNTA(BB7:BF7)),"")</f>
        <v/>
      </c>
      <c r="BH7" s="183" t="str">
        <f t="shared" si="10"/>
        <v/>
      </c>
      <c r="BI7" s="182" t="str">
        <f>IF(COUNT(AT7,AZ7,BG7)=0,"",SUM(AT7,AZ7,BG7)/COUNT(AT7,AZ7,BG7))</f>
        <v/>
      </c>
      <c r="BJ7" s="206" t="str">
        <f t="shared" si="11"/>
        <v/>
      </c>
      <c r="BK7" s="123"/>
      <c r="BL7" s="124"/>
      <c r="BM7" s="125"/>
      <c r="BN7" s="182" t="str">
        <f>IFERROR((((COUNTIF('Elève (4ème2)'!BK7:BM7,"A"))*4)+((COUNTIF('Elève (4ème2)'!BK7:BM7,"B"))*3)+((COUNTIF('Elève (4ème2)'!BK7:BM7,"C"))*2)+((COUNTIF('Elève (4ème2)'!BK7:BM7,"D"))*1))/(COUNTA(BK7:BM7)),"")</f>
        <v/>
      </c>
      <c r="BO7" s="183" t="str">
        <f t="shared" si="12"/>
        <v/>
      </c>
      <c r="BP7" s="123"/>
      <c r="BQ7" s="124"/>
      <c r="BR7" s="125"/>
      <c r="BS7" s="125"/>
      <c r="BT7" s="182" t="str">
        <f>IFERROR((((COUNTIF('Elève (4ème2)'!BP7:BS7,"A"))*4)+((COUNTIF('Elève (4ème2)'!BP7:BS7,"B"))*3)+((COUNTIF('Elève (4ème2)'!BP7:BS7,"C"))*2)+((COUNTIF('Elève (4ème2)'!BP7:BS7,"D"))*1))/(COUNTA(BP7:BS7)),"")</f>
        <v/>
      </c>
      <c r="BU7" s="183" t="str">
        <f t="shared" si="13"/>
        <v/>
      </c>
      <c r="BV7" s="123"/>
      <c r="BW7" s="218"/>
      <c r="BX7" s="218"/>
      <c r="BY7" s="124"/>
      <c r="BZ7" s="129"/>
      <c r="CA7" s="182" t="str">
        <f>IFERROR((((COUNTIF('Elève (4ème2)'!BV7:BZ7,"A"))*4)+((COUNTIF('Elève (4ème2)'!BV7:BZ7,"B"))*3)+((COUNTIF('Elève (4ème2)'!BV7:BZ7,"C"))*2)+((COUNTIF('Elève (4ème2)'!BV7:BZ7,"D"))*1))/(COUNTA(BV7:BZ7)),"")</f>
        <v/>
      </c>
      <c r="CB7" s="183" t="str">
        <f t="shared" si="14"/>
        <v/>
      </c>
      <c r="CC7" s="182" t="str">
        <f>IF(COUNT(BN7,BT7,CA7)=0,"",SUM(BN7,BT7,CA7)/COUNT(BN7,BT7,CA7))</f>
        <v/>
      </c>
      <c r="CD7" s="206" t="str">
        <f t="shared" si="15"/>
        <v/>
      </c>
      <c r="CE7" s="123"/>
      <c r="CF7" s="124"/>
      <c r="CG7" s="125"/>
      <c r="CH7" s="182" t="str">
        <f>IFERROR((((COUNTIF('Elève (4ème2)'!CE7:CG7,"A"))*4)+((COUNTIF('Elève (4ème2)'!CE7:CG7,"B"))*3)+((COUNTIF('Elève (4ème2)'!CE7:CG7,"C"))*2)+((COUNTIF('Elève (4ème2)'!CE7:CG7,"D"))*1))/(COUNTA(CE7:CG7)),"")</f>
        <v/>
      </c>
      <c r="CI7" s="183" t="str">
        <f t="shared" si="16"/>
        <v/>
      </c>
      <c r="CJ7" s="123"/>
      <c r="CK7" s="124"/>
      <c r="CL7" s="125"/>
      <c r="CM7" s="125"/>
      <c r="CN7" s="182" t="str">
        <f>IFERROR((((COUNTIF('Elève (4ème2)'!CJ7:CM7,"A"))*4)+((COUNTIF('Elève (4ème2)'!CJ7:CM7,"B"))*3)+((COUNTIF('Elève (4ème2)'!CJ7:CM7,"C"))*2)+((COUNTIF('Elève (4ème2)'!CJ7:CM7,"D"))*1))/(COUNTA(CJ7:CM7)),"")</f>
        <v/>
      </c>
      <c r="CO7" s="183" t="str">
        <f t="shared" si="17"/>
        <v/>
      </c>
      <c r="CP7" s="123"/>
      <c r="CQ7" s="218"/>
      <c r="CR7" s="218"/>
      <c r="CS7" s="124"/>
      <c r="CT7" s="129"/>
      <c r="CU7" s="182" t="str">
        <f>IFERROR((((COUNTIF('Elève (4ème2)'!CP7:CT7,"A"))*4)+((COUNTIF('Elève (4ème2)'!CP7:CT7,"B"))*3)+((COUNTIF('Elève (4ème2)'!CP7:CT7,"C"))*2)+((COUNTIF('Elève (4ème2)'!CP7:CT7,"D"))*1))/(COUNTA(CP7:CT7)),"")</f>
        <v/>
      </c>
      <c r="CV7" s="183" t="str">
        <f t="shared" si="18"/>
        <v/>
      </c>
      <c r="CW7" s="182" t="str">
        <f>IF(COUNT(CH7,CN7,CU7)=0,"",SUM(CH7,CN7,CU7)/COUNT(CH7,CN7,CU7))</f>
        <v/>
      </c>
      <c r="CX7" s="206" t="str">
        <f t="shared" si="19"/>
        <v/>
      </c>
      <c r="CY7" s="123"/>
      <c r="CZ7" s="124"/>
      <c r="DA7" s="125"/>
      <c r="DB7" s="182" t="str">
        <f>IFERROR((((COUNTIF('Elève (4ème2)'!CY7:DA7,"A"))*4)+((COUNTIF('Elève (4ème2)'!CY7:DA7,"B"))*3)+((COUNTIF('Elève (4ème2)'!CY7:DA7,"C"))*2)+((COUNTIF('Elève (4ème2)'!CY7:DA7,"D"))*1))/(COUNTA(CY7:DA7)),"")</f>
        <v/>
      </c>
      <c r="DC7" s="183" t="str">
        <f t="shared" si="20"/>
        <v/>
      </c>
      <c r="DD7" s="123"/>
      <c r="DE7" s="124"/>
      <c r="DF7" s="125"/>
      <c r="DG7" s="125"/>
      <c r="DH7" s="182" t="str">
        <f>IFERROR((((COUNTIF('Elève (4ème2)'!DD7:DG7,"A"))*4)+((COUNTIF('Elève (4ème2)'!DD7:DG7,"B"))*3)+((COUNTIF('Elève (4ème2)'!DD7:DG7,"C"))*2)+((COUNTIF('Elève (4ème2)'!DD7:DG7,"D"))*1))/(COUNTA(DD7:DG7)),"")</f>
        <v/>
      </c>
      <c r="DI7" s="183" t="str">
        <f t="shared" si="21"/>
        <v/>
      </c>
      <c r="DJ7" s="123"/>
      <c r="DK7" s="218"/>
      <c r="DL7" s="218"/>
      <c r="DM7" s="124"/>
      <c r="DN7" s="129"/>
      <c r="DO7" s="182" t="str">
        <f>IFERROR((((COUNTIF('Elève (4ème2)'!DJ7:DN7,"A"))*4)+((COUNTIF('Elève (4ème2)'!DJ7:DN7,"B"))*3)+((COUNTIF('Elève (4ème2)'!DJ7:DN7,"C"))*2)+((COUNTIF('Elève (4ème2)'!DJ7:DN7,"D"))*1))/(COUNTA(DJ7:DN7)),"")</f>
        <v/>
      </c>
      <c r="DP7" s="183" t="str">
        <f t="shared" si="22"/>
        <v/>
      </c>
      <c r="DQ7" s="182" t="str">
        <f>IF(COUNT(DB7,DH7,DO7)=0,"",SUM(DB7,DH7,DO7)/COUNT(DB7,DH7,DO7))</f>
        <v/>
      </c>
      <c r="DR7" s="206" t="str">
        <f t="shared" si="23"/>
        <v/>
      </c>
      <c r="DS7" s="123"/>
      <c r="DT7" s="124"/>
      <c r="DU7" s="125"/>
      <c r="DV7" s="182" t="str">
        <f>IFERROR((((COUNTIF('Elève (4ème2)'!DS7:DU7,"A"))*4)+((COUNTIF('Elève (4ème2)'!DS7:DU7,"B"))*3)+((COUNTIF('Elève (4ème2)'!DS7:DU7,"C"))*2)+((COUNTIF('Elève (4ème2)'!DS7:DU7,"D"))*1))/(COUNTA(DS7:DU7)),"")</f>
        <v/>
      </c>
      <c r="DW7" s="183" t="str">
        <f t="shared" si="24"/>
        <v/>
      </c>
      <c r="DX7" s="123"/>
      <c r="DY7" s="124"/>
      <c r="DZ7" s="125"/>
      <c r="EA7" s="125"/>
      <c r="EB7" s="182" t="str">
        <f>IFERROR((((COUNTIF('Elève (4ème2)'!DX7:EA7,"A"))*4)+((COUNTIF('Elève (4ème2)'!DX7:EA7,"B"))*3)+((COUNTIF('Elève (4ème2)'!DX7:EA7,"C"))*2)+((COUNTIF('Elève (4ème2)'!DX7:EA7,"D"))*1))/(COUNTA(DX7:EA7)),"")</f>
        <v/>
      </c>
      <c r="EC7" s="183" t="str">
        <f t="shared" si="25"/>
        <v/>
      </c>
      <c r="ED7" s="123"/>
      <c r="EE7" s="218"/>
      <c r="EF7" s="218"/>
      <c r="EG7" s="124"/>
      <c r="EH7" s="129"/>
      <c r="EI7" s="182" t="str">
        <f>IFERROR((((COUNTIF('Elève (4ème2)'!ED7:EH7,"A"))*4)+((COUNTIF('Elève (4ème2)'!ED7:EH7,"B"))*3)+((COUNTIF('Elève (4ème2)'!ED7:EH7,"C"))*2)+((COUNTIF('Elève (4ème2)'!ED7:EH7,"D"))*1))/(COUNTA(ED7:EH7)),"")</f>
        <v/>
      </c>
      <c r="EJ7" s="183" t="str">
        <f t="shared" si="26"/>
        <v/>
      </c>
      <c r="EK7" s="182" t="str">
        <f>IF(COUNT(DV7,EB7,EI7)=0,"",SUM(DV7,EB7,EI7)/COUNT(DV7,EB7,EI7))</f>
        <v/>
      </c>
      <c r="EL7" s="206" t="str">
        <f t="shared" si="27"/>
        <v/>
      </c>
      <c r="EM7" s="123"/>
      <c r="EN7" s="124"/>
      <c r="EO7" s="125"/>
      <c r="EP7" s="182" t="str">
        <f>IFERROR((((COUNTIF('Elève (4ème2)'!EM7:EO7,"A"))*4)+((COUNTIF('Elève (4ème2)'!EM7:EO7,"B"))*3)+((COUNTIF('Elève (4ème2)'!EM7:EO7,"C"))*2)+((COUNTIF('Elève (4ème2)'!EM7:EO7,"D"))*1))/(COUNTA(EM7:EO7)),"")</f>
        <v/>
      </c>
      <c r="EQ7" s="183" t="str">
        <f t="shared" si="28"/>
        <v/>
      </c>
      <c r="ER7" s="123"/>
      <c r="ES7" s="124"/>
      <c r="ET7" s="125"/>
      <c r="EU7" s="125"/>
      <c r="EV7" s="182" t="str">
        <f>IFERROR((((COUNTIF('Elève (4ème2)'!ER7:EU7,"A"))*4)+((COUNTIF('Elève (4ème2)'!ER7:EU7,"B"))*3)+((COUNTIF('Elève (4ème2)'!ER7:EU7,"C"))*2)+((COUNTIF('Elève (4ème2)'!ER7:EU7,"D"))*1))/(COUNTA(ER7:EU7)),"")</f>
        <v/>
      </c>
      <c r="EW7" s="183" t="str">
        <f t="shared" si="29"/>
        <v/>
      </c>
      <c r="EX7" s="123"/>
      <c r="EY7" s="218"/>
      <c r="EZ7" s="218"/>
      <c r="FA7" s="124"/>
      <c r="FB7" s="129"/>
      <c r="FC7" s="182" t="str">
        <f>IFERROR((((COUNTIF('Elève (4ème2)'!EX7:FB7,"A"))*4)+((COUNTIF('Elève (4ème2)'!EX7:FB7,"B"))*3)+((COUNTIF('Elève (4ème2)'!EX7:FB7,"C"))*2)+((COUNTIF('Elève (4ème2)'!EX7:FB7,"D"))*1))/(COUNTA(EX7:FB7)),"")</f>
        <v/>
      </c>
      <c r="FD7" s="183" t="str">
        <f t="shared" si="30"/>
        <v/>
      </c>
      <c r="FE7" s="182" t="str">
        <f>IF(COUNT(EP7,EV7,FC7)=0,"",SUM(EP7,EV7,FC7)/COUNT(EP7,EV7,FC7))</f>
        <v/>
      </c>
      <c r="FF7" s="206" t="str">
        <f t="shared" si="31"/>
        <v/>
      </c>
      <c r="FG7" s="123"/>
      <c r="FH7" s="124"/>
      <c r="FI7" s="125"/>
      <c r="FJ7" s="182" t="str">
        <f>IFERROR((((COUNTIF('Elève (4ème2)'!FG7:FI7,"A"))*4)+((COUNTIF('Elève (4ème2)'!FG7:FI7,"B"))*3)+((COUNTIF('Elève (4ème2)'!FG7:FI7,"C"))*2)+((COUNTIF('Elève (4ème2)'!FG7:FI7,"D"))*1))/(COUNTA(FG7:FI7)),"")</f>
        <v/>
      </c>
      <c r="FK7" s="183" t="str">
        <f t="shared" si="32"/>
        <v/>
      </c>
      <c r="FL7" s="123"/>
      <c r="FM7" s="124"/>
      <c r="FN7" s="125"/>
      <c r="FO7" s="125"/>
      <c r="FP7" s="182" t="str">
        <f>IFERROR((((COUNTIF('Elève (4ème2)'!FL7:FO7,"A"))*4)+((COUNTIF('Elève (4ème2)'!FL7:FO7,"B"))*3)+((COUNTIF('Elève (4ème2)'!FL7:FO7,"C"))*2)+((COUNTIF('Elève (4ème2)'!FL7:FO7,"D"))*1))/(COUNTA(FL7:FO7)),"")</f>
        <v/>
      </c>
      <c r="FQ7" s="183" t="str">
        <f t="shared" si="33"/>
        <v/>
      </c>
      <c r="FR7" s="123"/>
      <c r="FS7" s="218"/>
      <c r="FT7" s="218"/>
      <c r="FU7" s="124"/>
      <c r="FV7" s="129"/>
      <c r="FW7" s="182" t="str">
        <f>IFERROR((((COUNTIF('Elève (4ème2)'!FR7:FV7,"A"))*4)+((COUNTIF('Elève (4ème2)'!FR7:FV7,"B"))*3)+((COUNTIF('Elève (4ème2)'!FR7:FV7,"C"))*2)+((COUNTIF('Elève (4ème2)'!FR7:FV7,"D"))*1))/(COUNTA(FR7:FV7)),"")</f>
        <v/>
      </c>
      <c r="FX7" s="183" t="str">
        <f t="shared" si="34"/>
        <v/>
      </c>
      <c r="FY7" s="182" t="str">
        <f>IF(COUNT(FJ7,FP7,FW7)=0,"",SUM(FJ7,FP7,FW7)/COUNT(FJ7,FP7,FW7))</f>
        <v/>
      </c>
      <c r="FZ7" s="206" t="str">
        <f t="shared" si="35"/>
        <v/>
      </c>
      <c r="GA7" s="123"/>
      <c r="GB7" s="124"/>
      <c r="GC7" s="125"/>
      <c r="GD7" s="182" t="str">
        <f>IFERROR((((COUNTIF('Elève (4ème2)'!GA7:GC7,"A"))*4)+((COUNTIF('Elève (4ème2)'!GA7:GC7,"B"))*3)+((COUNTIF('Elève (4ème2)'!GA7:GC7,"C"))*2)+((COUNTIF('Elève (4ème2)'!GA7:GC7,"D"))*1))/(COUNTA(GA7:GC7)),"")</f>
        <v/>
      </c>
      <c r="GE7" s="183" t="str">
        <f t="shared" si="36"/>
        <v/>
      </c>
      <c r="GF7" s="123"/>
      <c r="GG7" s="124"/>
      <c r="GH7" s="125"/>
      <c r="GI7" s="125"/>
      <c r="GJ7" s="182" t="str">
        <f>IFERROR((((COUNTIF('Elève (4ème2)'!GF7:GI7,"A"))*4)+((COUNTIF('Elève (4ème2)'!GF7:GI7,"B"))*3)+((COUNTIF('Elève (4ème2)'!GF7:GI7,"C"))*2)+((COUNTIF('Elève (4ème2)'!GF7:GI7,"D"))*1))/(COUNTA(GF7:GI7)),"")</f>
        <v/>
      </c>
      <c r="GK7" s="183" t="str">
        <f t="shared" si="37"/>
        <v/>
      </c>
      <c r="GL7" s="123"/>
      <c r="GM7" s="218"/>
      <c r="GN7" s="218"/>
      <c r="GO7" s="124"/>
      <c r="GP7" s="129"/>
      <c r="GQ7" s="182" t="str">
        <f>IFERROR((((COUNTIF('Elève (4ème2)'!GL7:GP7,"A"))*4)+((COUNTIF('Elève (4ème2)'!GL7:GP7,"B"))*3)+((COUNTIF('Elève (4ème2)'!GL7:GP7,"C"))*2)+((COUNTIF('Elève (4ème2)'!GL7:GP7,"D"))*1))/(COUNTA(GL7:GP7)),"")</f>
        <v/>
      </c>
      <c r="GR7" s="183" t="str">
        <f t="shared" si="38"/>
        <v/>
      </c>
      <c r="GS7" s="182" t="str">
        <f>IF(COUNT(GD7,GJ7,GQ7)=0,"",SUM(GD7,GJ7,GQ7)/COUNT(GD7,GJ7,GQ7))</f>
        <v/>
      </c>
      <c r="GT7" s="206" t="str">
        <f t="shared" si="39"/>
        <v/>
      </c>
      <c r="GU7" s="123"/>
      <c r="GV7" s="124"/>
      <c r="GW7" s="125"/>
      <c r="GX7" s="182" t="str">
        <f>IFERROR((((COUNTIF('Elève (4ème2)'!GU7:GW7,"A"))*4)+((COUNTIF('Elève (4ème2)'!GU7:GW7,"B"))*3)+((COUNTIF('Elève (4ème2)'!GU7:GW7,"C"))*2)+((COUNTIF('Elève (4ème2)'!GU7:GW7,"D"))*1))/(COUNTA(GU7:GW7)),"")</f>
        <v/>
      </c>
      <c r="GY7" s="183" t="str">
        <f t="shared" si="40"/>
        <v/>
      </c>
      <c r="GZ7" s="123"/>
      <c r="HA7" s="124"/>
      <c r="HB7" s="125"/>
      <c r="HC7" s="125"/>
      <c r="HD7" s="182" t="str">
        <f>IFERROR((((COUNTIF('Elève (4ème2)'!GZ7:HC7,"A"))*4)+((COUNTIF('Elève (4ème2)'!GZ7:HC7,"B"))*3)+((COUNTIF('Elève (4ème2)'!GZ7:HC7,"C"))*2)+((COUNTIF('Elève (4ème2)'!GZ7:HC7,"D"))*1))/(COUNTA(GZ7:HC7)),"")</f>
        <v/>
      </c>
      <c r="HE7" s="183" t="str">
        <f t="shared" si="41"/>
        <v/>
      </c>
      <c r="HF7" s="123"/>
      <c r="HG7" s="218"/>
      <c r="HH7" s="218"/>
      <c r="HI7" s="124"/>
      <c r="HJ7" s="129"/>
      <c r="HK7" s="182" t="str">
        <f>IFERROR((((COUNTIF('Elève (4ème2)'!HF7:HJ7,"A"))*4)+((COUNTIF('Elève (4ème2)'!HF7:HJ7,"B"))*3)+((COUNTIF('Elève (4ème2)'!HF7:HJ7,"C"))*2)+((COUNTIF('Elève (4ème2)'!HF7:HJ7,"D"))*1))/(COUNTA(HF7:HJ7)),"")</f>
        <v/>
      </c>
      <c r="HL7" s="183" t="str">
        <f t="shared" si="42"/>
        <v/>
      </c>
      <c r="HM7" s="182" t="str">
        <f>IF(COUNT(GX7,HD7,HK7)=0,"",SUM(GX7,HD7,HK7)/COUNT(GX7,HD7,HK7))</f>
        <v/>
      </c>
      <c r="HN7" s="206" t="str">
        <f t="shared" si="43"/>
        <v/>
      </c>
      <c r="HO7" s="123"/>
      <c r="HP7" s="124"/>
      <c r="HQ7" s="125"/>
      <c r="HR7" s="182" t="str">
        <f>IFERROR((((COUNTIF('Elève (4ème2)'!HO7:HQ7,"A"))*4)+((COUNTIF('Elève (4ème2)'!HO7:HQ7,"B"))*3)+((COUNTIF('Elève (4ème2)'!HO7:HQ7,"C"))*2)+((COUNTIF('Elève (4ème2)'!HO7:HQ7,"D"))*1))/(COUNTA(HO7:HQ7)),"")</f>
        <v/>
      </c>
      <c r="HS7" s="183" t="str">
        <f t="shared" si="44"/>
        <v/>
      </c>
      <c r="HT7" s="123"/>
      <c r="HU7" s="124"/>
      <c r="HV7" s="125"/>
      <c r="HW7" s="125"/>
      <c r="HX7" s="182" t="str">
        <f>IFERROR((((COUNTIF('Elève (4ème2)'!HT7:HW7,"A"))*4)+((COUNTIF('Elève (4ème2)'!HT7:HW7,"B"))*3)+((COUNTIF('Elève (4ème2)'!HT7:HW7,"C"))*2)+((COUNTIF('Elève (4ème2)'!HT7:HW7,"D"))*1))/(COUNTA(HT7:HW7)),"")</f>
        <v/>
      </c>
      <c r="HY7" s="183" t="str">
        <f t="shared" si="45"/>
        <v/>
      </c>
      <c r="HZ7" s="123"/>
      <c r="IA7" s="218"/>
      <c r="IB7" s="218"/>
      <c r="IC7" s="124"/>
      <c r="ID7" s="129"/>
      <c r="IE7" s="182" t="str">
        <f>IFERROR((((COUNTIF('Elève (4ème2)'!HZ7:ID7,"A"))*4)+((COUNTIF('Elève (4ème2)'!HZ7:ID7,"B"))*3)+((COUNTIF('Elève (4ème2)'!HZ7:ID7,"C"))*2)+((COUNTIF('Elève (4ème2)'!HZ7:ID7,"D"))*1))/(COUNTA(HZ7:ID7)),"")</f>
        <v/>
      </c>
      <c r="IF7" s="183" t="str">
        <f t="shared" si="46"/>
        <v/>
      </c>
      <c r="IG7" s="182" t="str">
        <f>IF(COUNT(HR7,HX7,IE7)=0,"",SUM(HR7,HX7,IE7)/COUNT(HR7,HX7,IE7))</f>
        <v/>
      </c>
      <c r="IH7" s="206" t="str">
        <f t="shared" si="47"/>
        <v/>
      </c>
      <c r="II7" s="123"/>
      <c r="IJ7" s="124"/>
      <c r="IK7" s="125"/>
      <c r="IL7" s="182" t="str">
        <f>IFERROR((((COUNTIF('Elève (4ème2)'!II7:IK7,"A"))*4)+((COUNTIF('Elève (4ème2)'!II7:IK7,"B"))*3)+((COUNTIF('Elève (4ème2)'!II7:IK7,"C"))*2)+((COUNTIF('Elève (4ème2)'!II7:IK7,"D"))*1))/(COUNTA(II7:IK7)),"")</f>
        <v/>
      </c>
      <c r="IM7" s="183" t="str">
        <f t="shared" si="48"/>
        <v/>
      </c>
      <c r="IN7" s="123"/>
      <c r="IO7" s="124"/>
      <c r="IP7" s="125"/>
      <c r="IQ7" s="125"/>
      <c r="IR7" s="182" t="str">
        <f>IFERROR((((COUNTIF('Elève (4ème2)'!IN7:IQ7,"A"))*4)+((COUNTIF('Elève (4ème2)'!IN7:IQ7,"B"))*3)+((COUNTIF('Elève (4ème2)'!IN7:IQ7,"C"))*2)+((COUNTIF('Elève (4ème2)'!IN7:IQ7,"D"))*1))/(COUNTA(IN7:IQ7)),"")</f>
        <v/>
      </c>
      <c r="IS7" s="183" t="str">
        <f t="shared" si="49"/>
        <v/>
      </c>
      <c r="IT7" s="123"/>
      <c r="IU7" s="218"/>
      <c r="IV7" s="218"/>
      <c r="IW7" s="124"/>
      <c r="IX7" s="129"/>
      <c r="IY7" s="182" t="str">
        <f>IFERROR((((COUNTIF('Elève (4ème2)'!IT7:IX7,"A"))*4)+((COUNTIF('Elève (4ème2)'!IT7:IX7,"B"))*3)+((COUNTIF('Elève (4ème2)'!IT7:IX7,"C"))*2)+((COUNTIF('Elève (4ème2)'!IT7:IX7,"D"))*1))/(COUNTA(IT7:IX7)),"")</f>
        <v/>
      </c>
      <c r="IZ7" s="183" t="str">
        <f t="shared" si="50"/>
        <v/>
      </c>
      <c r="JA7" s="182" t="str">
        <f>IF(COUNT(IL7,IR7,IY7)=0,"",SUM(IL7,IR7,IY7)/COUNT(IL7,IR7,IY7))</f>
        <v/>
      </c>
      <c r="JB7" s="206" t="str">
        <f t="shared" si="51"/>
        <v/>
      </c>
      <c r="JC7" s="123"/>
      <c r="JD7" s="124"/>
      <c r="JE7" s="125"/>
      <c r="JF7" s="182" t="str">
        <f>IFERROR((((COUNTIF('Elève (4ème2)'!JC7:JE7,"A"))*4)+((COUNTIF('Elève (4ème2)'!JC7:JE7,"B"))*3)+((COUNTIF('Elève (4ème2)'!JC7:JE7,"C"))*2)+((COUNTIF('Elève (4ème2)'!JC7:JE7,"D"))*1))/(COUNTA(JC7:JE7)),"")</f>
        <v/>
      </c>
      <c r="JG7" s="183" t="str">
        <f t="shared" si="52"/>
        <v/>
      </c>
      <c r="JH7" s="123"/>
      <c r="JI7" s="124"/>
      <c r="JJ7" s="125"/>
      <c r="JK7" s="125"/>
      <c r="JL7" s="182" t="str">
        <f>IFERROR((((COUNTIF('Elève (4ème2)'!JH7:JK7,"A"))*4)+((COUNTIF('Elève (4ème2)'!JH7:JK7,"B"))*3)+((COUNTIF('Elève (4ème2)'!JH7:JK7,"C"))*2)+((COUNTIF('Elève (4ème2)'!JH7:JK7,"D"))*1))/(COUNTA(JH7:JK7)),"")</f>
        <v/>
      </c>
      <c r="JM7" s="183" t="str">
        <f t="shared" si="53"/>
        <v/>
      </c>
      <c r="JN7" s="123"/>
      <c r="JO7" s="218"/>
      <c r="JP7" s="218"/>
      <c r="JQ7" s="124"/>
      <c r="JR7" s="129"/>
      <c r="JS7" s="182" t="str">
        <f>IFERROR((((COUNTIF('Elève (4ème2)'!JN7:JR7,"A"))*4)+((COUNTIF('Elève (4ème2)'!JN7:JR7,"B"))*3)+((COUNTIF('Elève (4ème2)'!JN7:JR7,"C"))*2)+((COUNTIF('Elève (4ème2)'!JN7:JR7,"D"))*1))/(COUNTA(JN7:JR7)),"")</f>
        <v/>
      </c>
      <c r="JT7" s="183" t="str">
        <f t="shared" si="54"/>
        <v/>
      </c>
      <c r="JU7" s="182" t="str">
        <f>IF(COUNT(JF7,JL7,JS7)=0,"",SUM(JF7,JL7,JS7)/COUNT(JF7,JL7,JS7))</f>
        <v/>
      </c>
      <c r="JV7" s="206" t="str">
        <f t="shared" si="55"/>
        <v/>
      </c>
      <c r="JW7" s="123"/>
      <c r="JX7" s="124"/>
      <c r="JY7" s="125"/>
      <c r="JZ7" s="182" t="str">
        <f>IFERROR((((COUNTIF('Elève (4ème2)'!JW7:JY7,"A"))*4)+((COUNTIF('Elève (4ème2)'!JW7:JY7,"B"))*3)+((COUNTIF('Elève (4ème2)'!JW7:JY7,"C"))*2)+((COUNTIF('Elève (4ème2)'!JW7:JY7,"D"))*1))/(COUNTA(JW7:JY7)),"")</f>
        <v/>
      </c>
      <c r="KA7" s="183" t="str">
        <f t="shared" si="56"/>
        <v/>
      </c>
      <c r="KB7" s="123"/>
      <c r="KC7" s="124"/>
      <c r="KD7" s="125"/>
      <c r="KE7" s="125"/>
      <c r="KF7" s="182" t="str">
        <f>IFERROR((((COUNTIF('Elève (4ème2)'!KB7:KE7,"A"))*4)+((COUNTIF('Elève (4ème2)'!KB7:KE7,"B"))*3)+((COUNTIF('Elève (4ème2)'!KB7:KE7,"C"))*2)+((COUNTIF('Elève (4ème2)'!KB7:KE7,"D"))*1))/(COUNTA(KB7:KE7)),"")</f>
        <v/>
      </c>
      <c r="KG7" s="183" t="str">
        <f t="shared" si="57"/>
        <v/>
      </c>
      <c r="KH7" s="123"/>
      <c r="KI7" s="218"/>
      <c r="KJ7" s="218"/>
      <c r="KK7" s="124"/>
      <c r="KL7" s="129"/>
      <c r="KM7" s="182" t="str">
        <f>IFERROR((((COUNTIF('Elève (4ème2)'!KH7:KL7,"A"))*4)+((COUNTIF('Elève (4ème2)'!KH7:KL7,"B"))*3)+((COUNTIF('Elève (4ème2)'!KH7:KL7,"C"))*2)+((COUNTIF('Elève (4ème2)'!KH7:KL7,"D"))*1))/(COUNTA(KH7:KL7)),"")</f>
        <v/>
      </c>
      <c r="KN7" s="183" t="str">
        <f t="shared" si="58"/>
        <v/>
      </c>
      <c r="KO7" s="182" t="str">
        <f>IF(COUNT(JZ7,KF7,KM7)=0,"",SUM(JZ7,KF7,KM7)/COUNT(JZ7,KF7,KM7))</f>
        <v/>
      </c>
      <c r="KP7" s="206" t="str">
        <f t="shared" si="59"/>
        <v/>
      </c>
      <c r="KQ7" s="123"/>
      <c r="KR7" s="124"/>
      <c r="KS7" s="125"/>
      <c r="KT7" s="182" t="str">
        <f>IFERROR((((COUNTIF('Elève (4ème2)'!KQ7:KS7,"A"))*4)+((COUNTIF('Elève (4ème2)'!KQ7:KS7,"B"))*3)+((COUNTIF('Elève (4ème2)'!KQ7:KS7,"C"))*2)+((COUNTIF('Elève (4ème2)'!KQ7:KS7,"D"))*1))/(COUNTA(KQ7:KS7)),"")</f>
        <v/>
      </c>
      <c r="KU7" s="183" t="str">
        <f t="shared" si="60"/>
        <v/>
      </c>
      <c r="KV7" s="123"/>
      <c r="KW7" s="124"/>
      <c r="KX7" s="125"/>
      <c r="KY7" s="125"/>
      <c r="KZ7" s="182" t="str">
        <f>IFERROR((((COUNTIF('Elève (4ème2)'!KV7:KY7,"A"))*4)+((COUNTIF('Elève (4ème2)'!KV7:KY7,"B"))*3)+((COUNTIF('Elève (4ème2)'!KV7:KY7,"C"))*2)+((COUNTIF('Elève (4ème2)'!KV7:KY7,"D"))*1))/(COUNTA(KV7:KY7)),"")</f>
        <v/>
      </c>
      <c r="LA7" s="183" t="str">
        <f t="shared" si="61"/>
        <v/>
      </c>
      <c r="LB7" s="123"/>
      <c r="LC7" s="218"/>
      <c r="LD7" s="218"/>
      <c r="LE7" s="124"/>
      <c r="LF7" s="129"/>
      <c r="LG7" s="182" t="str">
        <f>IFERROR((((COUNTIF('Elève (4ème2)'!LB7:LF7,"A"))*4)+((COUNTIF('Elève (4ème2)'!LB7:LF7,"B"))*3)+((COUNTIF('Elève (4ème2)'!LB7:LF7,"C"))*2)+((COUNTIF('Elève (4ème2)'!LB7:LF7,"D"))*1))/(COUNTA(LB7:LF7)),"")</f>
        <v/>
      </c>
      <c r="LH7" s="183" t="str">
        <f t="shared" si="62"/>
        <v/>
      </c>
      <c r="LI7" s="182" t="str">
        <f>IF(COUNT(KT7,KZ7,LG7)=0,"",SUM(KT7,KZ7,LG7)/COUNT(KT7,KZ7,LG7))</f>
        <v/>
      </c>
      <c r="LJ7" s="206" t="str">
        <f t="shared" si="63"/>
        <v/>
      </c>
      <c r="LK7" s="123"/>
      <c r="LL7" s="124"/>
      <c r="LM7" s="125"/>
      <c r="LN7" s="182" t="str">
        <f>IFERROR((((COUNTIF('Elève (4ème2)'!LK7:LM7,"A"))*4)+((COUNTIF('Elève (4ème2)'!LK7:LM7,"B"))*3)+((COUNTIF('Elève (4ème2)'!LK7:LM7,"C"))*2)+((COUNTIF('Elève (4ème2)'!LK7:LM7,"D"))*1))/(COUNTA(LK7:LM7)),"")</f>
        <v/>
      </c>
      <c r="LO7" s="183" t="str">
        <f t="shared" si="64"/>
        <v/>
      </c>
      <c r="LP7" s="123"/>
      <c r="LQ7" s="124"/>
      <c r="LR7" s="125"/>
      <c r="LS7" s="125"/>
      <c r="LT7" s="182" t="str">
        <f>IFERROR((((COUNTIF('Elève (4ème2)'!LP7:LS7,"A"))*4)+((COUNTIF('Elève (4ème2)'!LP7:LS7,"B"))*3)+((COUNTIF('Elève (4ème2)'!LP7:LS7,"C"))*2)+((COUNTIF('Elève (4ème2)'!LP7:LS7,"D"))*1))/(COUNTA(LP7:LS7)),"")</f>
        <v/>
      </c>
      <c r="LU7" s="183" t="str">
        <f t="shared" si="65"/>
        <v/>
      </c>
      <c r="LV7" s="123"/>
      <c r="LW7" s="218"/>
      <c r="LX7" s="218"/>
      <c r="LY7" s="124"/>
      <c r="LZ7" s="129"/>
      <c r="MA7" s="182" t="str">
        <f>IFERROR((((COUNTIF('Elève (4ème2)'!LV7:LZ7,"A"))*4)+((COUNTIF('Elève (4ème2)'!LV7:LZ7,"B"))*3)+((COUNTIF('Elève (4ème2)'!LV7:LZ7,"C"))*2)+((COUNTIF('Elève (4ème2)'!LV7:LZ7,"D"))*1))/(COUNTA(LV7:LZ7)),"")</f>
        <v/>
      </c>
      <c r="MB7" s="183" t="str">
        <f t="shared" si="66"/>
        <v/>
      </c>
      <c r="MC7" s="182" t="str">
        <f>IF(COUNT(LN7,LT7,MA7)=0,"",SUM(LN7,LT7,MA7)/COUNT(LN7,LT7,MA7))</f>
        <v/>
      </c>
      <c r="MD7" s="206" t="str">
        <f t="shared" si="67"/>
        <v/>
      </c>
      <c r="ME7" s="123"/>
      <c r="MF7" s="124"/>
      <c r="MG7" s="125"/>
      <c r="MH7" s="182" t="str">
        <f>IFERROR((((COUNTIF('Elève (4ème2)'!ME7:MG7,"A"))*4)+((COUNTIF('Elève (4ème2)'!ME7:MG7,"B"))*3)+((COUNTIF('Elève (4ème2)'!ME7:MG7,"C"))*2)+((COUNTIF('Elève (4ème2)'!ME7:MG7,"D"))*1))/(COUNTA(ME7:MG7)),"")</f>
        <v/>
      </c>
      <c r="MI7" s="183" t="str">
        <f t="shared" si="68"/>
        <v/>
      </c>
      <c r="MJ7" s="123"/>
      <c r="MK7" s="124"/>
      <c r="ML7" s="125"/>
      <c r="MM7" s="125"/>
      <c r="MN7" s="182" t="str">
        <f>IFERROR((((COUNTIF('Elève (4ème2)'!MJ7:MM7,"A"))*4)+((COUNTIF('Elève (4ème2)'!MJ7:MM7,"B"))*3)+((COUNTIF('Elève (4ème2)'!MJ7:MM7,"C"))*2)+((COUNTIF('Elève (4ème2)'!MJ7:MM7,"D"))*1))/(COUNTA(MJ7:MM7)),"")</f>
        <v/>
      </c>
      <c r="MO7" s="183" t="str">
        <f t="shared" si="69"/>
        <v/>
      </c>
      <c r="MP7" s="123"/>
      <c r="MQ7" s="218"/>
      <c r="MR7" s="218"/>
      <c r="MS7" s="124"/>
      <c r="MT7" s="129"/>
      <c r="MU7" s="182" t="str">
        <f>IFERROR((((COUNTIF('Elève (4ème2)'!MP7:MT7,"A"))*4)+((COUNTIF('Elève (4ème2)'!MP7:MT7,"B"))*3)+((COUNTIF('Elève (4ème2)'!MP7:MT7,"C"))*2)+((COUNTIF('Elève (4ème2)'!MP7:MT7,"D"))*1))/(COUNTA(MP7:MT7)),"")</f>
        <v/>
      </c>
      <c r="MV7" s="183" t="str">
        <f t="shared" si="70"/>
        <v/>
      </c>
      <c r="MW7" s="182" t="str">
        <f>IF(COUNT(MH7,MN7,MU7)=0,"",SUM(MH7,MN7,MU7)/COUNT(MH7,MN7,MU7))</f>
        <v/>
      </c>
      <c r="MX7" s="206" t="str">
        <f t="shared" si="71"/>
        <v/>
      </c>
      <c r="MY7" s="123"/>
      <c r="MZ7" s="124"/>
      <c r="NA7" s="125"/>
      <c r="NB7" s="182" t="str">
        <f>IFERROR((((COUNTIF('Elève (4ème2)'!MY7:NA7,"A"))*4)+((COUNTIF('Elève (4ème2)'!MY7:NA7,"B"))*3)+((COUNTIF('Elève (4ème2)'!MY7:NA7,"C"))*2)+((COUNTIF('Elève (4ème2)'!MY7:NA7,"D"))*1))/(COUNTA(MY7:NA7)),"")</f>
        <v/>
      </c>
      <c r="NC7" s="183" t="str">
        <f t="shared" si="72"/>
        <v/>
      </c>
      <c r="ND7" s="123"/>
      <c r="NE7" s="124"/>
      <c r="NF7" s="125"/>
      <c r="NG7" s="125"/>
      <c r="NH7" s="182" t="str">
        <f>IFERROR((((COUNTIF('Elève (4ème2)'!ND7:NG7,"A"))*4)+((COUNTIF('Elève (4ème2)'!ND7:NG7,"B"))*3)+((COUNTIF('Elève (4ème2)'!ND7:NG7,"C"))*2)+((COUNTIF('Elève (4ème2)'!ND7:NG7,"D"))*1))/(COUNTA(ND7:NG7)),"")</f>
        <v/>
      </c>
      <c r="NI7" s="183" t="str">
        <f t="shared" si="73"/>
        <v/>
      </c>
      <c r="NJ7" s="123"/>
      <c r="NK7" s="218"/>
      <c r="NL7" s="218"/>
      <c r="NM7" s="124"/>
      <c r="NN7" s="129"/>
      <c r="NO7" s="182" t="str">
        <f>IFERROR((((COUNTIF('Elève (4ème2)'!NJ7:NN7,"A"))*4)+((COUNTIF('Elève (4ème2)'!NJ7:NN7,"B"))*3)+((COUNTIF('Elève (4ème2)'!NJ7:NN7,"C"))*2)+((COUNTIF('Elève (4ème2)'!NJ7:NN7,"D"))*1))/(COUNTA(NJ7:NN7)),"")</f>
        <v/>
      </c>
      <c r="NP7" s="183" t="str">
        <f t="shared" si="74"/>
        <v/>
      </c>
      <c r="NQ7" s="182" t="str">
        <f>IF(COUNT(NB7,NH7,NO7)=0,"",SUM(NB7,NH7,NO7)/COUNT(NB7,NH7,NO7))</f>
        <v/>
      </c>
      <c r="NR7" s="206" t="str">
        <f t="shared" si="75"/>
        <v/>
      </c>
      <c r="NS7" s="123"/>
      <c r="NT7" s="124"/>
      <c r="NU7" s="125"/>
      <c r="NV7" s="182" t="str">
        <f>IFERROR((((COUNTIF('Elève (4ème2)'!NS7:NU7,"A"))*4)+((COUNTIF('Elève (4ème2)'!NS7:NU7,"B"))*3)+((COUNTIF('Elève (4ème2)'!NS7:NU7,"C"))*2)+((COUNTIF('Elève (4ème2)'!NS7:NU7,"D"))*1))/(COUNTA(NS7:NU7)),"")</f>
        <v/>
      </c>
      <c r="NW7" s="183" t="str">
        <f t="shared" si="76"/>
        <v/>
      </c>
      <c r="NX7" s="123"/>
      <c r="NY7" s="124"/>
      <c r="NZ7" s="125"/>
      <c r="OA7" s="125"/>
      <c r="OB7" s="182" t="str">
        <f>IFERROR((((COUNTIF('Elève (4ème2)'!NX7:OA7,"A"))*4)+((COUNTIF('Elève (4ème2)'!NX7:OA7,"B"))*3)+((COUNTIF('Elève (4ème2)'!NX7:OA7,"C"))*2)+((COUNTIF('Elève (4ème2)'!NX7:OA7,"D"))*1))/(COUNTA(NX7:OA7)),"")</f>
        <v/>
      </c>
      <c r="OC7" s="183" t="str">
        <f t="shared" si="77"/>
        <v/>
      </c>
      <c r="OD7" s="123"/>
      <c r="OE7" s="218"/>
      <c r="OF7" s="218"/>
      <c r="OG7" s="124"/>
      <c r="OH7" s="129"/>
      <c r="OI7" s="182" t="str">
        <f>IFERROR((((COUNTIF('Elève (4ème2)'!OD7:OH7,"A"))*4)+((COUNTIF('Elève (4ème2)'!OD7:OH7,"B"))*3)+((COUNTIF('Elève (4ème2)'!OD7:OH7,"C"))*2)+((COUNTIF('Elève (4ème2)'!OD7:OH7,"D"))*1))/(COUNTA(OD7:OH7)),"")</f>
        <v/>
      </c>
      <c r="OJ7" s="183" t="str">
        <f t="shared" si="78"/>
        <v/>
      </c>
      <c r="OK7" s="182" t="str">
        <f>IF(COUNT(NV7,OB7,OI7)=0,"",SUM(NV7,OB7,OI7)/COUNT(NV7,OB7,OI7))</f>
        <v/>
      </c>
      <c r="OL7" s="206" t="str">
        <f t="shared" si="79"/>
        <v/>
      </c>
      <c r="OM7" s="123"/>
      <c r="ON7" s="124"/>
      <c r="OO7" s="125"/>
      <c r="OP7" s="182" t="str">
        <f>IFERROR((((COUNTIF('Elève (4ème2)'!OM7:OO7,"A"))*4)+((COUNTIF('Elève (4ème2)'!OM7:OO7,"B"))*3)+((COUNTIF('Elève (4ème2)'!OM7:OO7,"C"))*2)+((COUNTIF('Elève (4ème2)'!OM7:OO7,"D"))*1))/(COUNTA(OM7:OO7)),"")</f>
        <v/>
      </c>
      <c r="OQ7" s="183" t="str">
        <f t="shared" si="80"/>
        <v/>
      </c>
      <c r="OR7" s="123"/>
      <c r="OS7" s="124"/>
      <c r="OT7" s="125"/>
      <c r="OU7" s="125"/>
      <c r="OV7" s="182" t="str">
        <f>IFERROR((((COUNTIF('Elève (4ème2)'!OR7:OU7,"A"))*4)+((COUNTIF('Elève (4ème2)'!OR7:OU7,"B"))*3)+((COUNTIF('Elève (4ème2)'!OR7:OU7,"C"))*2)+((COUNTIF('Elève (4ème2)'!OR7:OU7,"D"))*1))/(COUNTA(OR7:OU7)),"")</f>
        <v/>
      </c>
      <c r="OW7" s="183" t="str">
        <f t="shared" si="81"/>
        <v/>
      </c>
      <c r="OX7" s="123"/>
      <c r="OY7" s="218"/>
      <c r="OZ7" s="218"/>
      <c r="PA7" s="124"/>
      <c r="PB7" s="129"/>
      <c r="PC7" s="182" t="str">
        <f>IFERROR((((COUNTIF('Elève (4ème2)'!OX7:PB7,"A"))*4)+((COUNTIF('Elève (4ème2)'!OX7:PB7,"B"))*3)+((COUNTIF('Elève (4ème2)'!OX7:PB7,"C"))*2)+((COUNTIF('Elève (4ème2)'!OX7:PB7,"D"))*1))/(COUNTA(OX7:PB7)),"")</f>
        <v/>
      </c>
      <c r="PD7" s="183" t="str">
        <f t="shared" si="82"/>
        <v/>
      </c>
      <c r="PE7" s="182" t="str">
        <f>IF(COUNT(OP7,OV7,PC7)=0,"",SUM(OP7,OV7,PC7)/COUNT(OP7,OV7,PC7))</f>
        <v/>
      </c>
      <c r="PF7" s="206" t="str">
        <f t="shared" si="83"/>
        <v/>
      </c>
      <c r="PG7" s="123"/>
      <c r="PH7" s="124"/>
      <c r="PI7" s="125"/>
      <c r="PJ7" s="182" t="str">
        <f>IFERROR((((COUNTIF('Elève (4ème2)'!PG7:PI7,"A"))*4)+((COUNTIF('Elève (4ème2)'!PG7:PI7,"B"))*3)+((COUNTIF('Elève (4ème2)'!PG7:PI7,"C"))*2)+((COUNTIF('Elève (4ème2)'!PG7:PI7,"D"))*1))/(COUNTA(PG7:PI7)),"")</f>
        <v/>
      </c>
      <c r="PK7" s="183" t="str">
        <f t="shared" si="84"/>
        <v/>
      </c>
      <c r="PL7" s="123"/>
      <c r="PM7" s="124"/>
      <c r="PN7" s="125"/>
      <c r="PO7" s="125"/>
      <c r="PP7" s="182" t="str">
        <f>IFERROR((((COUNTIF('Elève (4ème2)'!PL7:PO7,"A"))*4)+((COUNTIF('Elève (4ème2)'!PL7:PO7,"B"))*3)+((COUNTIF('Elève (4ème2)'!PL7:PO7,"C"))*2)+((COUNTIF('Elève (4ème2)'!PL7:PO7,"D"))*1))/(COUNTA(PL7:PO7)),"")</f>
        <v/>
      </c>
      <c r="PQ7" s="183" t="str">
        <f t="shared" si="85"/>
        <v/>
      </c>
      <c r="PR7" s="123"/>
      <c r="PS7" s="218"/>
      <c r="PT7" s="218"/>
      <c r="PU7" s="124"/>
      <c r="PV7" s="129"/>
      <c r="PW7" s="182" t="str">
        <f>IFERROR((((COUNTIF('Elève (4ème2)'!PR7:PV7,"A"))*4)+((COUNTIF('Elève (4ème2)'!PR7:PV7,"B"))*3)+((COUNTIF('Elève (4ème2)'!PR7:PV7,"C"))*2)+((COUNTIF('Elève (4ème2)'!PR7:PV7,"D"))*1))/(COUNTA(PR7:PV7)),"")</f>
        <v/>
      </c>
      <c r="PX7" s="183" t="str">
        <f t="shared" si="86"/>
        <v/>
      </c>
      <c r="PY7" s="182" t="str">
        <f>IF(COUNT(PJ7,PP7,PW7)=0,"",SUM(PJ7,PP7,PW7)/COUNT(PJ7,PP7,PW7))</f>
        <v/>
      </c>
      <c r="PZ7" s="206" t="str">
        <f t="shared" si="87"/>
        <v/>
      </c>
      <c r="QA7" s="123"/>
      <c r="QB7" s="124"/>
      <c r="QC7" s="125"/>
      <c r="QD7" s="182" t="str">
        <f>IFERROR((((COUNTIF('Elève (4ème2)'!QA7:QC7,"A"))*4)+((COUNTIF('Elève (4ème2)'!QA7:QC7,"B"))*3)+((COUNTIF('Elève (4ème2)'!QA7:QC7,"C"))*2)+((COUNTIF('Elève (4ème2)'!QA7:QC7,"D"))*1))/(COUNTA(QA7:QC7)),"")</f>
        <v/>
      </c>
      <c r="QE7" s="183" t="str">
        <f t="shared" si="88"/>
        <v/>
      </c>
      <c r="QF7" s="123"/>
      <c r="QG7" s="124"/>
      <c r="QH7" s="125"/>
      <c r="QI7" s="125"/>
      <c r="QJ7" s="182" t="str">
        <f>IFERROR((((COUNTIF('Elève (4ème2)'!QF7:QI7,"A"))*4)+((COUNTIF('Elève (4ème2)'!QF7:QI7,"B"))*3)+((COUNTIF('Elève (4ème2)'!QF7:QI7,"C"))*2)+((COUNTIF('Elève (4ème2)'!QF7:QI7,"D"))*1))/(COUNTA(QF7:QI7)),"")</f>
        <v/>
      </c>
      <c r="QK7" s="183" t="str">
        <f t="shared" si="89"/>
        <v/>
      </c>
      <c r="QL7" s="123"/>
      <c r="QM7" s="218"/>
      <c r="QN7" s="218"/>
      <c r="QO7" s="124"/>
      <c r="QP7" s="129"/>
      <c r="QQ7" s="182" t="str">
        <f>IFERROR((((COUNTIF('Elève (4ème2)'!QL7:QP7,"A"))*4)+((COUNTIF('Elève (4ème2)'!QL7:QP7,"B"))*3)+((COUNTIF('Elève (4ème2)'!QL7:QP7,"C"))*2)+((COUNTIF('Elève (4ème2)'!QL7:QP7,"D"))*1))/(COUNTA(QL7:QP7)),"")</f>
        <v/>
      </c>
      <c r="QR7" s="183" t="str">
        <f t="shared" si="90"/>
        <v/>
      </c>
      <c r="QS7" s="182" t="str">
        <f>IF(COUNT(QD7,QJ7,QQ7)=0,"",SUM(QD7,QJ7,QQ7)/COUNT(QD7,QJ7,QQ7))</f>
        <v/>
      </c>
      <c r="QT7" s="206" t="str">
        <f t="shared" si="91"/>
        <v/>
      </c>
      <c r="QU7" s="123"/>
      <c r="QV7" s="124"/>
      <c r="QW7" s="125"/>
      <c r="QX7" s="182" t="str">
        <f>IFERROR((((COUNTIF('Elève (4ème2)'!QU7:QW7,"A"))*4)+((COUNTIF('Elève (4ème2)'!QU7:QW7,"B"))*3)+((COUNTIF('Elève (4ème2)'!QU7:QW7,"C"))*2)+((COUNTIF('Elève (4ème2)'!QU7:QW7,"D"))*1))/(COUNTA(QU7:QW7)),"")</f>
        <v/>
      </c>
      <c r="QY7" s="183" t="str">
        <f t="shared" si="92"/>
        <v/>
      </c>
      <c r="QZ7" s="123"/>
      <c r="RA7" s="124"/>
      <c r="RB7" s="125"/>
      <c r="RC7" s="125"/>
      <c r="RD7" s="182" t="str">
        <f>IFERROR((((COUNTIF('Elève (4ème2)'!QZ7:RC7,"A"))*4)+((COUNTIF('Elève (4ème2)'!QZ7:RC7,"B"))*3)+((COUNTIF('Elève (4ème2)'!QZ7:RC7,"C"))*2)+((COUNTIF('Elève (4ème2)'!QZ7:RC7,"D"))*1))/(COUNTA(QZ7:RC7)),"")</f>
        <v/>
      </c>
      <c r="RE7" s="183" t="str">
        <f t="shared" si="93"/>
        <v/>
      </c>
      <c r="RF7" s="123"/>
      <c r="RG7" s="218"/>
      <c r="RH7" s="218"/>
      <c r="RI7" s="124"/>
      <c r="RJ7" s="129"/>
      <c r="RK7" s="182" t="str">
        <f>IFERROR((((COUNTIF('Elève (4ème2)'!RF7:RJ7,"A"))*4)+((COUNTIF('Elève (4ème2)'!RF7:RJ7,"B"))*3)+((COUNTIF('Elève (4ème2)'!RF7:RJ7,"C"))*2)+((COUNTIF('Elève (4ème2)'!RF7:RJ7,"D"))*1))/(COUNTA(RF7:RJ7)),"")</f>
        <v/>
      </c>
      <c r="RL7" s="183" t="str">
        <f t="shared" si="94"/>
        <v/>
      </c>
      <c r="RM7" s="182" t="str">
        <f>IF(COUNT(QX7,RD7,RK7)=0,"",SUM(QX7,RD7,RK7)/COUNT(QX7,RD7,RK7))</f>
        <v/>
      </c>
      <c r="RN7" s="206" t="str">
        <f t="shared" si="95"/>
        <v/>
      </c>
      <c r="RO7" s="123"/>
      <c r="RP7" s="124"/>
      <c r="RQ7" s="125"/>
      <c r="RR7" s="182" t="str">
        <f>IFERROR((((COUNTIF('Elève (4ème2)'!RO7:RQ7,"A"))*4)+((COUNTIF('Elève (4ème2)'!RO7:RQ7,"B"))*3)+((COUNTIF('Elève (4ème2)'!RO7:RQ7,"C"))*2)+((COUNTIF('Elève (4ème2)'!RO7:RQ7,"D"))*1))/(COUNTA(RO7:RQ7)),"")</f>
        <v/>
      </c>
      <c r="RS7" s="183" t="str">
        <f t="shared" si="96"/>
        <v/>
      </c>
      <c r="RT7" s="123"/>
      <c r="RU7" s="124"/>
      <c r="RV7" s="125"/>
      <c r="RW7" s="125"/>
      <c r="RX7" s="182" t="str">
        <f>IFERROR((((COUNTIF('Elève (4ème2)'!RT7:RW7,"A"))*4)+((COUNTIF('Elève (4ème2)'!RT7:RW7,"B"))*3)+((COUNTIF('Elève (4ème2)'!RT7:RW7,"C"))*2)+((COUNTIF('Elève (4ème2)'!RT7:RW7,"D"))*1))/(COUNTA(RT7:RW7)),"")</f>
        <v/>
      </c>
      <c r="RY7" s="183" t="str">
        <f t="shared" si="97"/>
        <v/>
      </c>
      <c r="RZ7" s="123"/>
      <c r="SA7" s="218"/>
      <c r="SB7" s="218"/>
      <c r="SC7" s="124"/>
      <c r="SD7" s="129"/>
      <c r="SE7" s="182" t="str">
        <f>IFERROR((((COUNTIF('Elève (4ème2)'!RZ7:SD7,"A"))*4)+((COUNTIF('Elève (4ème2)'!RZ7:SD7,"B"))*3)+((COUNTIF('Elève (4ème2)'!RZ7:SD7,"C"))*2)+((COUNTIF('Elève (4ème2)'!RZ7:SD7,"D"))*1))/(COUNTA(RZ7:SD7)),"")</f>
        <v/>
      </c>
      <c r="SF7" s="183" t="str">
        <f t="shared" si="98"/>
        <v/>
      </c>
      <c r="SG7" s="182" t="str">
        <f>IF(COUNT(RR7,RX7,SE7)=0,"",SUM(RR7,RX7,SE7)/COUNT(RR7,RX7,SE7))</f>
        <v/>
      </c>
      <c r="SH7" s="206" t="str">
        <f t="shared" si="99"/>
        <v/>
      </c>
      <c r="SI7" s="123"/>
      <c r="SJ7" s="124"/>
      <c r="SK7" s="125"/>
      <c r="SL7" s="182" t="str">
        <f>IFERROR((((COUNTIF('Elève (4ème2)'!SI7:SK7,"A"))*4)+((COUNTIF('Elève (4ème2)'!SI7:SK7,"B"))*3)+((COUNTIF('Elève (4ème2)'!SI7:SK7,"C"))*2)+((COUNTIF('Elève (4ème2)'!SI7:SK7,"D"))*1))/(COUNTA(SI7:SK7)),"")</f>
        <v/>
      </c>
      <c r="SM7" s="183" t="str">
        <f t="shared" si="100"/>
        <v/>
      </c>
      <c r="SN7" s="123"/>
      <c r="SO7" s="124"/>
      <c r="SP7" s="125"/>
      <c r="SQ7" s="125"/>
      <c r="SR7" s="182" t="str">
        <f>IFERROR((((COUNTIF('Elève (4ème2)'!SN7:SQ7,"A"))*4)+((COUNTIF('Elève (4ème2)'!SN7:SQ7,"B"))*3)+((COUNTIF('Elève (4ème2)'!SN7:SQ7,"C"))*2)+((COUNTIF('Elève (4ème2)'!SN7:SQ7,"D"))*1))/(COUNTA(SN7:SQ7)),"")</f>
        <v/>
      </c>
      <c r="SS7" s="183" t="str">
        <f t="shared" si="101"/>
        <v/>
      </c>
      <c r="ST7" s="123"/>
      <c r="SU7" s="218"/>
      <c r="SV7" s="218"/>
      <c r="SW7" s="124"/>
      <c r="SX7" s="129"/>
      <c r="SY7" s="182" t="str">
        <f>IFERROR((((COUNTIF('Elève (4ème2)'!ST7:SX7,"A"))*4)+((COUNTIF('Elève (4ème2)'!ST7:SX7,"B"))*3)+((COUNTIF('Elève (4ème2)'!ST7:SX7,"C"))*2)+((COUNTIF('Elève (4ème2)'!ST7:SX7,"D"))*1))/(COUNTA(ST7:SX7)),"")</f>
        <v/>
      </c>
      <c r="SZ7" s="183" t="str">
        <f t="shared" si="102"/>
        <v/>
      </c>
      <c r="TA7" s="182" t="str">
        <f>IF(COUNT(SL7,SR7,SY7)=0,"",SUM(SL7,SR7,SY7)/COUNT(SL7,SR7,SY7))</f>
        <v/>
      </c>
      <c r="TB7" s="206" t="str">
        <f t="shared" si="103"/>
        <v/>
      </c>
      <c r="TC7" s="123"/>
      <c r="TD7" s="124"/>
      <c r="TE7" s="125"/>
      <c r="TF7" s="182" t="str">
        <f>IFERROR((((COUNTIF('Elève (4ème2)'!TC7:TE7,"A"))*4)+((COUNTIF('Elève (4ème2)'!TC7:TE7,"B"))*3)+((COUNTIF('Elève (4ème2)'!TC7:TE7,"C"))*2)+((COUNTIF('Elève (4ème2)'!TC7:TE7,"D"))*1))/(COUNTA(TC7:TE7)),"")</f>
        <v/>
      </c>
      <c r="TG7" s="183" t="str">
        <f t="shared" si="104"/>
        <v/>
      </c>
      <c r="TH7" s="123"/>
      <c r="TI7" s="124"/>
      <c r="TJ7" s="125"/>
      <c r="TK7" s="125"/>
      <c r="TL7" s="182" t="str">
        <f>IFERROR((((COUNTIF('Elève (4ème2)'!TH7:TK7,"A"))*4)+((COUNTIF('Elève (4ème2)'!TH7:TK7,"B"))*3)+((COUNTIF('Elève (4ème2)'!TH7:TK7,"C"))*2)+((COUNTIF('Elève (4ème2)'!TH7:TK7,"D"))*1))/(COUNTA(TH7:TK7)),"")</f>
        <v/>
      </c>
      <c r="TM7" s="183" t="str">
        <f t="shared" si="105"/>
        <v/>
      </c>
      <c r="TN7" s="123"/>
      <c r="TO7" s="218"/>
      <c r="TP7" s="218"/>
      <c r="TQ7" s="124"/>
      <c r="TR7" s="129"/>
      <c r="TS7" s="182" t="str">
        <f>IFERROR((((COUNTIF('Elève (4ème2)'!TN7:TR7,"A"))*4)+((COUNTIF('Elève (4ème2)'!TN7:TR7,"B"))*3)+((COUNTIF('Elève (4ème2)'!TN7:TR7,"C"))*2)+((COUNTIF('Elève (4ème2)'!TN7:TR7,"D"))*1))/(COUNTA(TN7:TR7)),"")</f>
        <v/>
      </c>
      <c r="TT7" s="183" t="str">
        <f t="shared" si="106"/>
        <v/>
      </c>
      <c r="TU7" s="182" t="str">
        <f>IF(COUNT(TF7,TL7,TS7)=0,"",SUM(TF7,TL7,TS7)/COUNT(TF7,TL7,TS7))</f>
        <v/>
      </c>
      <c r="TV7" s="206" t="str">
        <f t="shared" si="107"/>
        <v/>
      </c>
      <c r="TW7" s="123"/>
      <c r="TX7" s="124"/>
      <c r="TY7" s="125"/>
      <c r="TZ7" s="126" t="str">
        <f>IFERROR((((COUNTIF('Elève (4ème2)'!TW7:TY7,"A"))*4)+((COUNTIF('Elève (4ème2)'!TW7:TY7,"B"))*3)+((COUNTIF('Elève (4ème2)'!TW7:TY7,"C"))*2)+((COUNTIF('Elève (4ème2)'!TW7:TY7,"D"))*1))/(COUNTA(TW7:TY7)),"")</f>
        <v/>
      </c>
      <c r="UA7" s="127" t="str">
        <f t="shared" si="108"/>
        <v/>
      </c>
      <c r="UB7" s="123"/>
      <c r="UC7" s="124"/>
      <c r="UD7" s="125"/>
      <c r="UE7" s="126" t="str">
        <f>IFERROR((((COUNTIF('Elève (4ème2)'!UB7:UD7,"A"))*4)+((COUNTIF('Elève (4ème2)'!UB7:UD7,"B"))*3)+((COUNTIF('Elève (4ème2)'!UB7:UD7,"C"))*2)+((COUNTIF('Elève (4ème2)'!UB7:UD7,"D"))*1))/(COUNTA(UB7:UD7)),"")</f>
        <v/>
      </c>
      <c r="UF7" s="127" t="str">
        <f t="shared" si="109"/>
        <v/>
      </c>
      <c r="UG7" s="123"/>
      <c r="UH7" s="124"/>
      <c r="UI7" s="129"/>
      <c r="UJ7" s="126" t="str">
        <f>IFERROR((((COUNTIF('Elève (4ème2)'!UG7:UI7,"A"))*4)+((COUNTIF('Elève (4ème2)'!UG7:UI7,"B"))*3)+((COUNTIF('Elève (4ème2)'!UG7:UI7,"C"))*2)+((COUNTIF('Elève (4ème2)'!UG7:UI7,"D"))*1))/(COUNTA(UG7:UI7)),"")</f>
        <v/>
      </c>
      <c r="UK7" s="127" t="str">
        <f t="shared" si="110"/>
        <v/>
      </c>
      <c r="UL7" s="126" t="str">
        <f>IF(COUNT(TZ7,UE7,UJ7)=0,"",SUM(TZ7,UE7,UJ7)/COUNT(TZ7,UE7,UJ7))</f>
        <v/>
      </c>
      <c r="UM7" s="128" t="str">
        <f t="shared" si="111"/>
        <v/>
      </c>
      <c r="UN7" s="123"/>
      <c r="UO7" s="124"/>
      <c r="UP7" s="125"/>
      <c r="UQ7" s="126" t="str">
        <f>IFERROR((((COUNTIF('Elève (4ème2)'!UN7:UP7,"A"))*4)+((COUNTIF('Elève (4ème2)'!UN7:UP7,"B"))*3)+((COUNTIF('Elève (4ème2)'!UN7:UP7,"C"))*2)+((COUNTIF('Elève (4ème2)'!UN7:UP7,"D"))*1))/(COUNTA(UN7:UP7)),"")</f>
        <v/>
      </c>
      <c r="UR7" s="127" t="str">
        <f t="shared" si="112"/>
        <v/>
      </c>
      <c r="US7" s="123"/>
      <c r="UT7" s="124"/>
      <c r="UU7" s="125"/>
      <c r="UV7" s="126" t="str">
        <f>IFERROR((((COUNTIF('Elève (4ème2)'!US7:UU7,"A"))*4)+((COUNTIF('Elève (4ème2)'!US7:UU7,"B"))*3)+((COUNTIF('Elève (4ème2)'!US7:UU7,"C"))*2)+((COUNTIF('Elève (4ème2)'!US7:UU7,"D"))*1))/(COUNTA(US7:UU7)),"")</f>
        <v/>
      </c>
      <c r="UW7" s="127" t="str">
        <f t="shared" si="113"/>
        <v/>
      </c>
      <c r="UX7" s="123"/>
      <c r="UY7" s="124"/>
      <c r="UZ7" s="129"/>
      <c r="VA7" s="126" t="str">
        <f>IFERROR((((COUNTIF('Elève (4ème2)'!UX7:UZ7,"A"))*4)+((COUNTIF('Elève (4ème2)'!UX7:UZ7,"B"))*3)+((COUNTIF('Elève (4ème2)'!UX7:UZ7,"C"))*2)+((COUNTIF('Elève (4ème2)'!UX7:UZ7,"D"))*1))/(COUNTA(UX7:UZ7)),"")</f>
        <v/>
      </c>
      <c r="VB7" s="127" t="str">
        <f t="shared" si="114"/>
        <v/>
      </c>
      <c r="VC7" s="126" t="str">
        <f>IF(COUNT(UQ7,UV7,VA7)=0,"",SUM(UQ7,UV7,VA7)/COUNT(UQ7,UV7,VA7))</f>
        <v/>
      </c>
      <c r="VD7" s="128" t="str">
        <f t="shared" si="115"/>
        <v/>
      </c>
      <c r="VE7" s="123"/>
      <c r="VF7" s="124"/>
      <c r="VG7" s="125"/>
      <c r="VH7" s="126" t="str">
        <f>IFERROR((((COUNTIF('Elève (4ème2)'!VE7:VG7,"A"))*4)+((COUNTIF('Elève (4ème2)'!VE7:VG7,"B"))*3)+((COUNTIF('Elève (4ème2)'!VE7:VG7,"C"))*2)+((COUNTIF('Elève (4ème2)'!VE7:VG7,"D"))*1))/(COUNTA(VE7:VG7)),"")</f>
        <v/>
      </c>
      <c r="VI7" s="127" t="str">
        <f t="shared" si="116"/>
        <v/>
      </c>
      <c r="VJ7" s="123"/>
      <c r="VK7" s="124"/>
      <c r="VL7" s="125"/>
      <c r="VM7" s="126" t="str">
        <f>IFERROR((((COUNTIF('Elève (4ème2)'!VJ7:VL7,"A"))*4)+((COUNTIF('Elève (4ème2)'!VJ7:VL7,"B"))*3)+((COUNTIF('Elève (4ème2)'!VJ7:VL7,"C"))*2)+((COUNTIF('Elève (4ème2)'!VJ7:VL7,"D"))*1))/(COUNTA(VJ7:VL7)),"")</f>
        <v/>
      </c>
      <c r="VN7" s="127" t="str">
        <f t="shared" si="117"/>
        <v/>
      </c>
      <c r="VO7" s="123"/>
      <c r="VP7" s="124"/>
      <c r="VQ7" s="129"/>
      <c r="VR7" s="126" t="str">
        <f>IFERROR((((COUNTIF('Elève (4ème2)'!VO7:VQ7,"A"))*4)+((COUNTIF('Elève (4ème2)'!VO7:VQ7,"B"))*3)+((COUNTIF('Elève (4ème2)'!VO7:VQ7,"C"))*2)+((COUNTIF('Elève (4ème2)'!VO7:VQ7,"D"))*1))/(COUNTA(VO7:VQ7)),"")</f>
        <v/>
      </c>
      <c r="VS7" s="127" t="str">
        <f t="shared" si="118"/>
        <v/>
      </c>
      <c r="VT7" s="126" t="str">
        <f>IF(COUNT(VH7,VM7,VR7)=0,"",SUM(VH7,VM7,VR7)/COUNT(VH7,VM7,VR7))</f>
        <v/>
      </c>
      <c r="VU7" s="128" t="str">
        <f t="shared" si="119"/>
        <v/>
      </c>
    </row>
    <row r="8" spans="1:593" ht="18" customHeight="1" x14ac:dyDescent="0.55000000000000004">
      <c r="A8" s="248" t="s">
        <v>15</v>
      </c>
      <c r="B8" s="249"/>
      <c r="C8" s="123"/>
      <c r="D8" s="124"/>
      <c r="E8" s="125"/>
      <c r="F8" s="182" t="str">
        <f>IFERROR((((COUNTIF('Elève (4ème2)'!C8:E8,"A"))*4)+((COUNTIF('Elève (4ème2)'!C8:E8,"B"))*3)+((COUNTIF('Elève (4ème2)'!C8:E8,"C"))*2)+((COUNTIF('Elève (4ème2)'!C8:E8,"D"))*1))/(COUNTA(C8:E8)),"")</f>
        <v/>
      </c>
      <c r="G8" s="183" t="str">
        <f t="shared" si="0"/>
        <v/>
      </c>
      <c r="H8" s="123" t="s">
        <v>29</v>
      </c>
      <c r="I8" s="124"/>
      <c r="J8" s="125"/>
      <c r="K8" s="125"/>
      <c r="L8" s="182">
        <f>IFERROR((((COUNTIF('Elève (4ème2)'!H8:K8,"A"))*4)+((COUNTIF('Elève (4ème2)'!H8:K8,"B"))*3)+((COUNTIF('Elève (4ème2)'!H8:K8,"C"))*2)+((COUNTIF('Elève (4ème2)'!H8:K8,"D"))*1))/(COUNTA(H8:K8)),"")</f>
        <v>4</v>
      </c>
      <c r="M8" s="183" t="str">
        <f t="shared" si="1"/>
        <v>A</v>
      </c>
      <c r="N8" s="123" t="s">
        <v>32</v>
      </c>
      <c r="O8" s="124" t="s">
        <v>32</v>
      </c>
      <c r="P8" s="218" t="s">
        <v>32</v>
      </c>
      <c r="Q8" s="218"/>
      <c r="R8" s="125"/>
      <c r="S8" s="182">
        <f>IFERROR((((COUNTIF('Elève (4ème2)'!N8:R8,"A"))*4)+((COUNTIF('Elève (4ème2)'!N8:R8,"B"))*3)+((COUNTIF('Elève (4ème2)'!N8:R8,"C"))*2)+((COUNTIF('Elève (4ème2)'!N8:R8,"D"))*1))/(COUNTA(N8:R8)),"")</f>
        <v>1</v>
      </c>
      <c r="T8" s="183" t="str">
        <f t="shared" si="2"/>
        <v>D</v>
      </c>
      <c r="U8" s="182">
        <f>IF(COUNT(F8,L8,S8)=0,"",SUM(F8,L8,S8)/COUNT(F8,L8,S8))</f>
        <v>2.5</v>
      </c>
      <c r="V8" s="206" t="str">
        <f t="shared" si="3"/>
        <v>C</v>
      </c>
      <c r="W8" s="123"/>
      <c r="X8" s="124"/>
      <c r="Y8" s="125"/>
      <c r="Z8" s="182" t="str">
        <f>IFERROR((((COUNTIF('Elève (4ème2)'!W8:Y8,"A"))*4)+((COUNTIF('Elève (4ème2)'!W8:Y8,"B"))*3)+((COUNTIF('Elève (4ème2)'!W8:Y8,"C"))*2)+((COUNTIF('Elève (4ème2)'!W8:Y8,"D"))*1))/(COUNTA(W8:Y8)),"")</f>
        <v/>
      </c>
      <c r="AA8" s="183" t="str">
        <f t="shared" si="4"/>
        <v/>
      </c>
      <c r="AB8" s="123" t="s">
        <v>29</v>
      </c>
      <c r="AC8" s="124"/>
      <c r="AD8" s="125"/>
      <c r="AE8" s="125"/>
      <c r="AF8" s="182">
        <f>IFERROR((((COUNTIF('Elève (4ème2)'!AB8:AE8,"A"))*4)+((COUNTIF('Elève (4ème2)'!AB8:AE8,"B"))*3)+((COUNTIF('Elève (4ème2)'!AB8:AE8,"C"))*2)+((COUNTIF('Elève (4ème2)'!AB8:AE8,"D"))*1))/(COUNTA(AB8:AE8)),"")</f>
        <v>4</v>
      </c>
      <c r="AG8" s="183" t="str">
        <f t="shared" si="5"/>
        <v>A</v>
      </c>
      <c r="AH8" s="123" t="s">
        <v>32</v>
      </c>
      <c r="AI8" s="218" t="s">
        <v>32</v>
      </c>
      <c r="AJ8" s="218" t="s">
        <v>31</v>
      </c>
      <c r="AK8" s="124"/>
      <c r="AL8" s="129"/>
      <c r="AM8" s="182">
        <f>IFERROR((((COUNTIF('Elève (4ème2)'!AH8:AL8,"A"))*4)+((COUNTIF('Elève (4ème2)'!AH8:AL8,"B"))*3)+((COUNTIF('Elève (4ème2)'!AH8:AL8,"C"))*2)+((COUNTIF('Elève (4ème2)'!AH8:AL8,"D"))*1))/(COUNTA(AH8:AL8)),"")</f>
        <v>1.3333333333333333</v>
      </c>
      <c r="AN8" s="183" t="str">
        <f t="shared" si="6"/>
        <v>D</v>
      </c>
      <c r="AO8" s="182">
        <f>IF(COUNT(Z8,AF8,AM8)=0,"",SUM(Z8,AF8,AM8)/COUNT(Z8,AF8,AM8))</f>
        <v>2.6666666666666665</v>
      </c>
      <c r="AP8" s="206" t="str">
        <f t="shared" si="7"/>
        <v>C</v>
      </c>
      <c r="AQ8" s="123"/>
      <c r="AR8" s="124"/>
      <c r="AS8" s="125"/>
      <c r="AT8" s="182" t="str">
        <f>IFERROR((((COUNTIF('Elève (4ème2)'!AQ8:AS8,"A"))*4)+((COUNTIF('Elève (4ème2)'!AQ8:AS8,"B"))*3)+((COUNTIF('Elève (4ème2)'!AQ8:AS8,"C"))*2)+((COUNTIF('Elève (4ème2)'!AQ8:AS8,"D"))*1))/(COUNTA(AQ8:AS8)),"")</f>
        <v/>
      </c>
      <c r="AU8" s="183" t="str">
        <f t="shared" si="8"/>
        <v/>
      </c>
      <c r="AV8" s="123" t="s">
        <v>29</v>
      </c>
      <c r="AW8" s="124"/>
      <c r="AX8" s="125"/>
      <c r="AY8" s="125"/>
      <c r="AZ8" s="182">
        <f>IFERROR((((COUNTIF('Elève (4ème2)'!AV8:AY8,"A"))*4)+((COUNTIF('Elève (4ème2)'!AV8:AY8,"B"))*3)+((COUNTIF('Elève (4ème2)'!AV8:AY8,"C"))*2)+((COUNTIF('Elève (4ème2)'!AV8:AY8,"D"))*1))/(COUNTA(AV8:AY8)),"")</f>
        <v>4</v>
      </c>
      <c r="BA8" s="183" t="str">
        <f t="shared" si="9"/>
        <v>A</v>
      </c>
      <c r="BB8" s="123" t="s">
        <v>32</v>
      </c>
      <c r="BC8" s="218"/>
      <c r="BD8" s="218" t="s">
        <v>30</v>
      </c>
      <c r="BE8" s="124"/>
      <c r="BF8" s="129"/>
      <c r="BG8" s="182">
        <f>IFERROR((((COUNTIF('Elève (4ème2)'!BB8:BF8,"A"))*4)+((COUNTIF('Elève (4ème2)'!BB8:BF8,"B"))*3)+((COUNTIF('Elève (4ème2)'!BB8:BF8,"C"))*2)+((COUNTIF('Elève (4ème2)'!BB8:BF8,"D"))*1))/(COUNTA(BB8:BF8)),"")</f>
        <v>2</v>
      </c>
      <c r="BH8" s="183" t="str">
        <f t="shared" si="10"/>
        <v>C</v>
      </c>
      <c r="BI8" s="182">
        <f>IF(COUNT(AT8,AZ8,BG8)=0,"",SUM(AT8,AZ8,BG8)/COUNT(AT8,AZ8,BG8))</f>
        <v>3</v>
      </c>
      <c r="BJ8" s="206" t="str">
        <f t="shared" si="11"/>
        <v>B</v>
      </c>
      <c r="BK8" s="123"/>
      <c r="BL8" s="124"/>
      <c r="BM8" s="125"/>
      <c r="BN8" s="182" t="str">
        <f>IFERROR((((COUNTIF('Elève (4ème2)'!BK8:BM8,"A"))*4)+((COUNTIF('Elève (4ème2)'!BK8:BM8,"B"))*3)+((COUNTIF('Elève (4ème2)'!BK8:BM8,"C"))*2)+((COUNTIF('Elève (4ème2)'!BK8:BM8,"D"))*1))/(COUNTA(BK8:BM8)),"")</f>
        <v/>
      </c>
      <c r="BO8" s="183" t="str">
        <f t="shared" si="12"/>
        <v/>
      </c>
      <c r="BP8" s="123" t="s">
        <v>29</v>
      </c>
      <c r="BQ8" s="124"/>
      <c r="BR8" s="125"/>
      <c r="BS8" s="125"/>
      <c r="BT8" s="182">
        <f>IFERROR((((COUNTIF('Elève (4ème2)'!BP8:BS8,"A"))*4)+((COUNTIF('Elève (4ème2)'!BP8:BS8,"B"))*3)+((COUNTIF('Elève (4ème2)'!BP8:BS8,"C"))*2)+((COUNTIF('Elève (4ème2)'!BP8:BS8,"D"))*1))/(COUNTA(BP8:BS8)),"")</f>
        <v>4</v>
      </c>
      <c r="BU8" s="183" t="str">
        <f t="shared" si="13"/>
        <v>A</v>
      </c>
      <c r="BV8" s="123" t="s">
        <v>32</v>
      </c>
      <c r="BW8" s="218" t="s">
        <v>31</v>
      </c>
      <c r="BX8" s="218" t="s">
        <v>32</v>
      </c>
      <c r="BY8" s="124"/>
      <c r="BZ8" s="129"/>
      <c r="CA8" s="182">
        <f>IFERROR((((COUNTIF('Elève (4ème2)'!BV8:BZ8,"A"))*4)+((COUNTIF('Elève (4ème2)'!BV8:BZ8,"B"))*3)+((COUNTIF('Elève (4ème2)'!BV8:BZ8,"C"))*2)+((COUNTIF('Elève (4ème2)'!BV8:BZ8,"D"))*1))/(COUNTA(BV8:BZ8)),"")</f>
        <v>1.3333333333333333</v>
      </c>
      <c r="CB8" s="183" t="str">
        <f t="shared" si="14"/>
        <v>D</v>
      </c>
      <c r="CC8" s="182">
        <f>IF(COUNT(BN8,BT8,CA8)=0,"",SUM(BN8,BT8,CA8)/COUNT(BN8,BT8,CA8))</f>
        <v>2.6666666666666665</v>
      </c>
      <c r="CD8" s="206" t="str">
        <f t="shared" si="15"/>
        <v>C</v>
      </c>
      <c r="CE8" s="123"/>
      <c r="CF8" s="124"/>
      <c r="CG8" s="125"/>
      <c r="CH8" s="182" t="str">
        <f>IFERROR((((COUNTIF('Elève (4ème2)'!CE8:CG8,"A"))*4)+((COUNTIF('Elève (4ème2)'!CE8:CG8,"B"))*3)+((COUNTIF('Elève (4ème2)'!CE8:CG8,"C"))*2)+((COUNTIF('Elève (4ème2)'!CE8:CG8,"D"))*1))/(COUNTA(CE8:CG8)),"")</f>
        <v/>
      </c>
      <c r="CI8" s="183" t="str">
        <f t="shared" si="16"/>
        <v/>
      </c>
      <c r="CJ8" s="123" t="s">
        <v>29</v>
      </c>
      <c r="CK8" s="124"/>
      <c r="CL8" s="125"/>
      <c r="CM8" s="125"/>
      <c r="CN8" s="182">
        <f>IFERROR((((COUNTIF('Elève (4ème2)'!CJ8:CM8,"A"))*4)+((COUNTIF('Elève (4ème2)'!CJ8:CM8,"B"))*3)+((COUNTIF('Elève (4ème2)'!CJ8:CM8,"C"))*2)+((COUNTIF('Elève (4ème2)'!CJ8:CM8,"D"))*1))/(COUNTA(CJ8:CM8)),"")</f>
        <v>4</v>
      </c>
      <c r="CO8" s="183" t="str">
        <f t="shared" si="17"/>
        <v>A</v>
      </c>
      <c r="CP8" s="123" t="s">
        <v>32</v>
      </c>
      <c r="CQ8" s="218" t="s">
        <v>29</v>
      </c>
      <c r="CR8" s="218" t="s">
        <v>29</v>
      </c>
      <c r="CS8" s="124"/>
      <c r="CT8" s="129"/>
      <c r="CU8" s="182">
        <f>IFERROR((((COUNTIF('Elève (4ème2)'!CP8:CT8,"A"))*4)+((COUNTIF('Elève (4ème2)'!CP8:CT8,"B"))*3)+((COUNTIF('Elève (4ème2)'!CP8:CT8,"C"))*2)+((COUNTIF('Elève (4ème2)'!CP8:CT8,"D"))*1))/(COUNTA(CP8:CT8)),"")</f>
        <v>3</v>
      </c>
      <c r="CV8" s="183" t="str">
        <f t="shared" si="18"/>
        <v>B</v>
      </c>
      <c r="CW8" s="182">
        <f>IF(COUNT(CH8,CN8,CU8)=0,"",SUM(CH8,CN8,CU8)/COUNT(CH8,CN8,CU8))</f>
        <v>3.5</v>
      </c>
      <c r="CX8" s="206" t="str">
        <f t="shared" si="19"/>
        <v>B</v>
      </c>
      <c r="CY8" s="123"/>
      <c r="CZ8" s="124"/>
      <c r="DA8" s="125"/>
      <c r="DB8" s="182" t="str">
        <f>IFERROR((((COUNTIF('Elève (4ème2)'!CY8:DA8,"A"))*4)+((COUNTIF('Elève (4ème2)'!CY8:DA8,"B"))*3)+((COUNTIF('Elève (4ème2)'!CY8:DA8,"C"))*2)+((COUNTIF('Elève (4ème2)'!CY8:DA8,"D"))*1))/(COUNTA(CY8:DA8)),"")</f>
        <v/>
      </c>
      <c r="DC8" s="183" t="str">
        <f t="shared" si="20"/>
        <v/>
      </c>
      <c r="DD8" s="123" t="s">
        <v>29</v>
      </c>
      <c r="DE8" s="124"/>
      <c r="DF8" s="125"/>
      <c r="DG8" s="125"/>
      <c r="DH8" s="182">
        <f>IFERROR((((COUNTIF('Elève (4ème2)'!DD8:DG8,"A"))*4)+((COUNTIF('Elève (4ème2)'!DD8:DG8,"B"))*3)+((COUNTIF('Elève (4ème2)'!DD8:DG8,"C"))*2)+((COUNTIF('Elève (4ème2)'!DD8:DG8,"D"))*1))/(COUNTA(DD8:DG8)),"")</f>
        <v>4</v>
      </c>
      <c r="DI8" s="183" t="str">
        <f t="shared" si="21"/>
        <v>A</v>
      </c>
      <c r="DJ8" s="123"/>
      <c r="DK8" s="218" t="s">
        <v>32</v>
      </c>
      <c r="DL8" s="218" t="s">
        <v>30</v>
      </c>
      <c r="DM8" s="124"/>
      <c r="DN8" s="129"/>
      <c r="DO8" s="182">
        <f>IFERROR((((COUNTIF('Elève (4ème2)'!DJ8:DN8,"A"))*4)+((COUNTIF('Elève (4ème2)'!DJ8:DN8,"B"))*3)+((COUNTIF('Elève (4ème2)'!DJ8:DN8,"C"))*2)+((COUNTIF('Elève (4ème2)'!DJ8:DN8,"D"))*1))/(COUNTA(DJ8:DN8)),"")</f>
        <v>2</v>
      </c>
      <c r="DP8" s="183" t="str">
        <f t="shared" si="22"/>
        <v>C</v>
      </c>
      <c r="DQ8" s="182">
        <f>IF(COUNT(DB8,DH8,DO8)=0,"",SUM(DB8,DH8,DO8)/COUNT(DB8,DH8,DO8))</f>
        <v>3</v>
      </c>
      <c r="DR8" s="206" t="str">
        <f t="shared" si="23"/>
        <v>B</v>
      </c>
      <c r="DS8" s="123"/>
      <c r="DT8" s="124"/>
      <c r="DU8" s="125"/>
      <c r="DV8" s="182" t="str">
        <f>IFERROR((((COUNTIF('Elève (4ème2)'!DS8:DU8,"A"))*4)+((COUNTIF('Elève (4ème2)'!DS8:DU8,"B"))*3)+((COUNTIF('Elève (4ème2)'!DS8:DU8,"C"))*2)+((COUNTIF('Elève (4ème2)'!DS8:DU8,"D"))*1))/(COUNTA(DS8:DU8)),"")</f>
        <v/>
      </c>
      <c r="DW8" s="183" t="str">
        <f t="shared" si="24"/>
        <v/>
      </c>
      <c r="DX8" s="123" t="s">
        <v>29</v>
      </c>
      <c r="DY8" s="124"/>
      <c r="DZ8" s="125"/>
      <c r="EA8" s="125"/>
      <c r="EB8" s="182">
        <f>IFERROR((((COUNTIF('Elève (4ème2)'!DX8:EA8,"A"))*4)+((COUNTIF('Elève (4ème2)'!DX8:EA8,"B"))*3)+((COUNTIF('Elève (4ème2)'!DX8:EA8,"C"))*2)+((COUNTIF('Elève (4ème2)'!DX8:EA8,"D"))*1))/(COUNTA(DX8:EA8)),"")</f>
        <v>4</v>
      </c>
      <c r="EC8" s="183" t="str">
        <f t="shared" si="25"/>
        <v>A</v>
      </c>
      <c r="ED8" s="123" t="s">
        <v>32</v>
      </c>
      <c r="EE8" s="218" t="s">
        <v>31</v>
      </c>
      <c r="EF8" s="218" t="s">
        <v>31</v>
      </c>
      <c r="EG8" s="124"/>
      <c r="EH8" s="129"/>
      <c r="EI8" s="182">
        <f>IFERROR((((COUNTIF('Elève (4ème2)'!ED8:EH8,"A"))*4)+((COUNTIF('Elève (4ème2)'!ED8:EH8,"B"))*3)+((COUNTIF('Elève (4ème2)'!ED8:EH8,"C"))*2)+((COUNTIF('Elève (4ème2)'!ED8:EH8,"D"))*1))/(COUNTA(ED8:EH8)),"")</f>
        <v>1.6666666666666667</v>
      </c>
      <c r="EJ8" s="183" t="str">
        <f t="shared" si="26"/>
        <v>C</v>
      </c>
      <c r="EK8" s="182">
        <f>IF(COUNT(DV8,EB8,EI8)=0,"",SUM(DV8,EB8,EI8)/COUNT(DV8,EB8,EI8))</f>
        <v>2.8333333333333335</v>
      </c>
      <c r="EL8" s="206" t="str">
        <f t="shared" si="27"/>
        <v>B</v>
      </c>
      <c r="EM8" s="123"/>
      <c r="EN8" s="124"/>
      <c r="EO8" s="125"/>
      <c r="EP8" s="182" t="str">
        <f>IFERROR((((COUNTIF('Elève (4ème2)'!EM8:EO8,"A"))*4)+((COUNTIF('Elève (4ème2)'!EM8:EO8,"B"))*3)+((COUNTIF('Elève (4ème2)'!EM8:EO8,"C"))*2)+((COUNTIF('Elève (4ème2)'!EM8:EO8,"D"))*1))/(COUNTA(EM8:EO8)),"")</f>
        <v/>
      </c>
      <c r="EQ8" s="183" t="str">
        <f t="shared" si="28"/>
        <v/>
      </c>
      <c r="ER8" s="123" t="s">
        <v>29</v>
      </c>
      <c r="ES8" s="124"/>
      <c r="ET8" s="125"/>
      <c r="EU8" s="125"/>
      <c r="EV8" s="182">
        <f>IFERROR((((COUNTIF('Elève (4ème2)'!ER8:EU8,"A"))*4)+((COUNTIF('Elève (4ème2)'!ER8:EU8,"B"))*3)+((COUNTIF('Elève (4ème2)'!ER8:EU8,"C"))*2)+((COUNTIF('Elève (4ème2)'!ER8:EU8,"D"))*1))/(COUNTA(ER8:EU8)),"")</f>
        <v>4</v>
      </c>
      <c r="EW8" s="183" t="str">
        <f t="shared" si="29"/>
        <v>A</v>
      </c>
      <c r="EX8" s="123" t="s">
        <v>31</v>
      </c>
      <c r="EY8" s="218" t="s">
        <v>31</v>
      </c>
      <c r="EZ8" s="218" t="s">
        <v>29</v>
      </c>
      <c r="FA8" s="124"/>
      <c r="FB8" s="129"/>
      <c r="FC8" s="182">
        <f>IFERROR((((COUNTIF('Elève (4ème2)'!EX8:FB8,"A"))*4)+((COUNTIF('Elève (4ème2)'!EX8:FB8,"B"))*3)+((COUNTIF('Elève (4ème2)'!EX8:FB8,"C"))*2)+((COUNTIF('Elève (4ème2)'!EX8:FB8,"D"))*1))/(COUNTA(EX8:FB8)),"")</f>
        <v>2.6666666666666665</v>
      </c>
      <c r="FD8" s="183" t="str">
        <f t="shared" si="30"/>
        <v>C</v>
      </c>
      <c r="FE8" s="182">
        <f>IF(COUNT(EP8,EV8,FC8)=0,"",SUM(EP8,EV8,FC8)/COUNT(EP8,EV8,FC8))</f>
        <v>3.333333333333333</v>
      </c>
      <c r="FF8" s="206" t="str">
        <f t="shared" si="31"/>
        <v>B</v>
      </c>
      <c r="FG8" s="123"/>
      <c r="FH8" s="124"/>
      <c r="FI8" s="125"/>
      <c r="FJ8" s="182" t="str">
        <f>IFERROR((((COUNTIF('Elève (4ème2)'!FG8:FI8,"A"))*4)+((COUNTIF('Elève (4ème2)'!FG8:FI8,"B"))*3)+((COUNTIF('Elève (4ème2)'!FG8:FI8,"C"))*2)+((COUNTIF('Elève (4ème2)'!FG8:FI8,"D"))*1))/(COUNTA(FG8:FI8)),"")</f>
        <v/>
      </c>
      <c r="FK8" s="183" t="str">
        <f t="shared" si="32"/>
        <v/>
      </c>
      <c r="FL8" s="123" t="s">
        <v>29</v>
      </c>
      <c r="FM8" s="124"/>
      <c r="FN8" s="125"/>
      <c r="FO8" s="125"/>
      <c r="FP8" s="182">
        <f>IFERROR((((COUNTIF('Elève (4ème2)'!FL8:FO8,"A"))*4)+((COUNTIF('Elève (4ème2)'!FL8:FO8,"B"))*3)+((COUNTIF('Elève (4ème2)'!FL8:FO8,"C"))*2)+((COUNTIF('Elève (4ème2)'!FL8:FO8,"D"))*1))/(COUNTA(FL8:FO8)),"")</f>
        <v>4</v>
      </c>
      <c r="FQ8" s="183" t="str">
        <f t="shared" si="33"/>
        <v>A</v>
      </c>
      <c r="FR8" s="123" t="s">
        <v>32</v>
      </c>
      <c r="FS8" s="218" t="s">
        <v>31</v>
      </c>
      <c r="FT8" s="218" t="s">
        <v>30</v>
      </c>
      <c r="FU8" s="124"/>
      <c r="FV8" s="129"/>
      <c r="FW8" s="182">
        <f>IFERROR((((COUNTIF('Elève (4ème2)'!FR8:FV8,"A"))*4)+((COUNTIF('Elève (4ème2)'!FR8:FV8,"B"))*3)+((COUNTIF('Elève (4ème2)'!FR8:FV8,"C"))*2)+((COUNTIF('Elève (4ème2)'!FR8:FV8,"D"))*1))/(COUNTA(FR8:FV8)),"")</f>
        <v>2</v>
      </c>
      <c r="FX8" s="183" t="str">
        <f t="shared" si="34"/>
        <v>C</v>
      </c>
      <c r="FY8" s="182">
        <f>IF(COUNT(FJ8,FP8,FW8)=0,"",SUM(FJ8,FP8,FW8)/COUNT(FJ8,FP8,FW8))</f>
        <v>3</v>
      </c>
      <c r="FZ8" s="206" t="str">
        <f t="shared" si="35"/>
        <v>B</v>
      </c>
      <c r="GA8" s="123"/>
      <c r="GB8" s="124"/>
      <c r="GC8" s="125"/>
      <c r="GD8" s="182" t="str">
        <f>IFERROR((((COUNTIF('Elève (4ème2)'!GA8:GC8,"A"))*4)+((COUNTIF('Elève (4ème2)'!GA8:GC8,"B"))*3)+((COUNTIF('Elève (4ème2)'!GA8:GC8,"C"))*2)+((COUNTIF('Elève (4ème2)'!GA8:GC8,"D"))*1))/(COUNTA(GA8:GC8)),"")</f>
        <v/>
      </c>
      <c r="GE8" s="183" t="str">
        <f t="shared" si="36"/>
        <v/>
      </c>
      <c r="GF8" s="123"/>
      <c r="GG8" s="124"/>
      <c r="GH8" s="125"/>
      <c r="GI8" s="125"/>
      <c r="GJ8" s="182" t="str">
        <f>IFERROR((((COUNTIF('Elève (4ème2)'!GF8:GI8,"A"))*4)+((COUNTIF('Elève (4ème2)'!GF8:GI8,"B"))*3)+((COUNTIF('Elève (4ème2)'!GF8:GI8,"C"))*2)+((COUNTIF('Elève (4ème2)'!GF8:GI8,"D"))*1))/(COUNTA(GF8:GI8)),"")</f>
        <v/>
      </c>
      <c r="GK8" s="183" t="str">
        <f t="shared" si="37"/>
        <v/>
      </c>
      <c r="GL8" s="123" t="s">
        <v>32</v>
      </c>
      <c r="GM8" s="218" t="s">
        <v>31</v>
      </c>
      <c r="GN8" s="218" t="s">
        <v>32</v>
      </c>
      <c r="GO8" s="124"/>
      <c r="GP8" s="129"/>
      <c r="GQ8" s="182">
        <f>IFERROR((((COUNTIF('Elève (4ème2)'!GL8:GP8,"A"))*4)+((COUNTIF('Elève (4ème2)'!GL8:GP8,"B"))*3)+((COUNTIF('Elève (4ème2)'!GL8:GP8,"C"))*2)+((COUNTIF('Elève (4ème2)'!GL8:GP8,"D"))*1))/(COUNTA(GL8:GP8)),"")</f>
        <v>1.3333333333333333</v>
      </c>
      <c r="GR8" s="183" t="str">
        <f t="shared" si="38"/>
        <v>D</v>
      </c>
      <c r="GS8" s="182">
        <f>IF(COUNT(GD8,GJ8,GQ8)=0,"",SUM(GD8,GJ8,GQ8)/COUNT(GD8,GJ8,GQ8))</f>
        <v>1.3333333333333333</v>
      </c>
      <c r="GT8" s="206" t="str">
        <f t="shared" si="39"/>
        <v>D</v>
      </c>
      <c r="GU8" s="123"/>
      <c r="GV8" s="124"/>
      <c r="GW8" s="125"/>
      <c r="GX8" s="182" t="str">
        <f>IFERROR((((COUNTIF('Elève (4ème2)'!GU8:GW8,"A"))*4)+((COUNTIF('Elève (4ème2)'!GU8:GW8,"B"))*3)+((COUNTIF('Elève (4ème2)'!GU8:GW8,"C"))*2)+((COUNTIF('Elève (4ème2)'!GU8:GW8,"D"))*1))/(COUNTA(GU8:GW8)),"")</f>
        <v/>
      </c>
      <c r="GY8" s="183" t="str">
        <f t="shared" si="40"/>
        <v/>
      </c>
      <c r="GZ8" s="123" t="s">
        <v>29</v>
      </c>
      <c r="HA8" s="124"/>
      <c r="HB8" s="125"/>
      <c r="HC8" s="125"/>
      <c r="HD8" s="182">
        <f>IFERROR((((COUNTIF('Elève (4ème2)'!GZ8:HC8,"A"))*4)+((COUNTIF('Elève (4ème2)'!GZ8:HC8,"B"))*3)+((COUNTIF('Elève (4ème2)'!GZ8:HC8,"C"))*2)+((COUNTIF('Elève (4ème2)'!GZ8:HC8,"D"))*1))/(COUNTA(GZ8:HC8)),"")</f>
        <v>4</v>
      </c>
      <c r="HE8" s="183" t="str">
        <f t="shared" si="41"/>
        <v>A</v>
      </c>
      <c r="HF8" s="123" t="s">
        <v>32</v>
      </c>
      <c r="HG8" s="218" t="s">
        <v>31</v>
      </c>
      <c r="HH8" s="218" t="s">
        <v>32</v>
      </c>
      <c r="HI8" s="124"/>
      <c r="HJ8" s="129"/>
      <c r="HK8" s="182">
        <f>IFERROR((((COUNTIF('Elève (4ème2)'!HF8:HJ8,"A"))*4)+((COUNTIF('Elève (4ème2)'!HF8:HJ8,"B"))*3)+((COUNTIF('Elève (4ème2)'!HF8:HJ8,"C"))*2)+((COUNTIF('Elève (4ème2)'!HF8:HJ8,"D"))*1))/(COUNTA(HF8:HJ8)),"")</f>
        <v>1.3333333333333333</v>
      </c>
      <c r="HL8" s="183" t="str">
        <f t="shared" si="42"/>
        <v>D</v>
      </c>
      <c r="HM8" s="182">
        <f>IF(COUNT(GX8,HD8,HK8)=0,"",SUM(GX8,HD8,HK8)/COUNT(GX8,HD8,HK8))</f>
        <v>2.6666666666666665</v>
      </c>
      <c r="HN8" s="206" t="str">
        <f t="shared" si="43"/>
        <v>C</v>
      </c>
      <c r="HO8" s="123"/>
      <c r="HP8" s="124"/>
      <c r="HQ8" s="125"/>
      <c r="HR8" s="182" t="str">
        <f>IFERROR((((COUNTIF('Elève (4ème2)'!HO8:HQ8,"A"))*4)+((COUNTIF('Elève (4ème2)'!HO8:HQ8,"B"))*3)+((COUNTIF('Elève (4ème2)'!HO8:HQ8,"C"))*2)+((COUNTIF('Elève (4ème2)'!HO8:HQ8,"D"))*1))/(COUNTA(HO8:HQ8)),"")</f>
        <v/>
      </c>
      <c r="HS8" s="183" t="str">
        <f t="shared" si="44"/>
        <v/>
      </c>
      <c r="HT8" s="123" t="s">
        <v>29</v>
      </c>
      <c r="HU8" s="124"/>
      <c r="HV8" s="125"/>
      <c r="HW8" s="125"/>
      <c r="HX8" s="182">
        <f>IFERROR((((COUNTIF('Elève (4ème2)'!HT8:HW8,"A"))*4)+((COUNTIF('Elève (4ème2)'!HT8:HW8,"B"))*3)+((COUNTIF('Elève (4ème2)'!HT8:HW8,"C"))*2)+((COUNTIF('Elève (4ème2)'!HT8:HW8,"D"))*1))/(COUNTA(HT8:HW8)),"")</f>
        <v>4</v>
      </c>
      <c r="HY8" s="183" t="str">
        <f t="shared" si="45"/>
        <v>A</v>
      </c>
      <c r="HZ8" s="123" t="s">
        <v>32</v>
      </c>
      <c r="IA8" s="218" t="s">
        <v>32</v>
      </c>
      <c r="IB8" s="218" t="s">
        <v>31</v>
      </c>
      <c r="IC8" s="124"/>
      <c r="ID8" s="129"/>
      <c r="IE8" s="182">
        <f>IFERROR((((COUNTIF('Elève (4ème2)'!HZ8:ID8,"A"))*4)+((COUNTIF('Elève (4ème2)'!HZ8:ID8,"B"))*3)+((COUNTIF('Elève (4ème2)'!HZ8:ID8,"C"))*2)+((COUNTIF('Elève (4ème2)'!HZ8:ID8,"D"))*1))/(COUNTA(HZ8:ID8)),"")</f>
        <v>1.3333333333333333</v>
      </c>
      <c r="IF8" s="183" t="str">
        <f t="shared" si="46"/>
        <v>D</v>
      </c>
      <c r="IG8" s="182">
        <f>IF(COUNT(HR8,HX8,IE8)=0,"",SUM(HR8,HX8,IE8)/COUNT(HR8,HX8,IE8))</f>
        <v>2.6666666666666665</v>
      </c>
      <c r="IH8" s="206" t="str">
        <f t="shared" si="47"/>
        <v>C</v>
      </c>
      <c r="II8" s="123"/>
      <c r="IJ8" s="124"/>
      <c r="IK8" s="125"/>
      <c r="IL8" s="182" t="str">
        <f>IFERROR((((COUNTIF('Elève (4ème2)'!II8:IK8,"A"))*4)+((COUNTIF('Elève (4ème2)'!II8:IK8,"B"))*3)+((COUNTIF('Elève (4ème2)'!II8:IK8,"C"))*2)+((COUNTIF('Elève (4ème2)'!II8:IK8,"D"))*1))/(COUNTA(II8:IK8)),"")</f>
        <v/>
      </c>
      <c r="IM8" s="183" t="str">
        <f t="shared" si="48"/>
        <v/>
      </c>
      <c r="IN8" s="123"/>
      <c r="IO8" s="124"/>
      <c r="IP8" s="125"/>
      <c r="IQ8" s="125"/>
      <c r="IR8" s="182" t="str">
        <f>IFERROR((((COUNTIF('Elève (4ème2)'!IN8:IQ8,"A"))*4)+((COUNTIF('Elève (4ème2)'!IN8:IQ8,"B"))*3)+((COUNTIF('Elève (4ème2)'!IN8:IQ8,"C"))*2)+((COUNTIF('Elève (4ème2)'!IN8:IQ8,"D"))*1))/(COUNTA(IN8:IQ8)),"")</f>
        <v/>
      </c>
      <c r="IS8" s="183" t="str">
        <f t="shared" si="49"/>
        <v/>
      </c>
      <c r="IT8" s="123" t="s">
        <v>32</v>
      </c>
      <c r="IU8" s="218" t="s">
        <v>31</v>
      </c>
      <c r="IV8" s="218" t="s">
        <v>30</v>
      </c>
      <c r="IW8" s="124"/>
      <c r="IX8" s="129"/>
      <c r="IY8" s="182">
        <f>IFERROR((((COUNTIF('Elève (4ème2)'!IT8:IX8,"A"))*4)+((COUNTIF('Elève (4ème2)'!IT8:IX8,"B"))*3)+((COUNTIF('Elève (4ème2)'!IT8:IX8,"C"))*2)+((COUNTIF('Elève (4ème2)'!IT8:IX8,"D"))*1))/(COUNTA(IT8:IX8)),"")</f>
        <v>2</v>
      </c>
      <c r="IZ8" s="183" t="str">
        <f t="shared" si="50"/>
        <v>C</v>
      </c>
      <c r="JA8" s="182">
        <f>IF(COUNT(IL8,IR8,IY8)=0,"",SUM(IL8,IR8,IY8)/COUNT(IL8,IR8,IY8))</f>
        <v>2</v>
      </c>
      <c r="JB8" s="206" t="str">
        <f t="shared" si="51"/>
        <v>C</v>
      </c>
      <c r="JC8" s="123"/>
      <c r="JD8" s="124"/>
      <c r="JE8" s="125"/>
      <c r="JF8" s="182" t="str">
        <f>IFERROR((((COUNTIF('Elève (4ème2)'!JC8:JE8,"A"))*4)+((COUNTIF('Elève (4ème2)'!JC8:JE8,"B"))*3)+((COUNTIF('Elève (4ème2)'!JC8:JE8,"C"))*2)+((COUNTIF('Elève (4ème2)'!JC8:JE8,"D"))*1))/(COUNTA(JC8:JE8)),"")</f>
        <v/>
      </c>
      <c r="JG8" s="183" t="str">
        <f t="shared" si="52"/>
        <v/>
      </c>
      <c r="JH8" s="123" t="s">
        <v>29</v>
      </c>
      <c r="JI8" s="124"/>
      <c r="JJ8" s="125"/>
      <c r="JK8" s="125"/>
      <c r="JL8" s="182">
        <f>IFERROR((((COUNTIF('Elève (4ème2)'!JH8:JK8,"A"))*4)+((COUNTIF('Elève (4ème2)'!JH8:JK8,"B"))*3)+((COUNTIF('Elève (4ème2)'!JH8:JK8,"C"))*2)+((COUNTIF('Elève (4ème2)'!JH8:JK8,"D"))*1))/(COUNTA(JH8:JK8)),"")</f>
        <v>4</v>
      </c>
      <c r="JM8" s="183" t="str">
        <f t="shared" si="53"/>
        <v>A</v>
      </c>
      <c r="JN8" s="123" t="s">
        <v>32</v>
      </c>
      <c r="JO8" s="218" t="s">
        <v>29</v>
      </c>
      <c r="JP8" s="218" t="s">
        <v>30</v>
      </c>
      <c r="JQ8" s="124"/>
      <c r="JR8" s="129"/>
      <c r="JS8" s="182">
        <f>IFERROR((((COUNTIF('Elève (4ème2)'!JN8:JR8,"A"))*4)+((COUNTIF('Elève (4ème2)'!JN8:JR8,"B"))*3)+((COUNTIF('Elève (4ème2)'!JN8:JR8,"C"))*2)+((COUNTIF('Elève (4ème2)'!JN8:JR8,"D"))*1))/(COUNTA(JN8:JR8)),"")</f>
        <v>2.6666666666666665</v>
      </c>
      <c r="JT8" s="183" t="str">
        <f t="shared" si="54"/>
        <v>C</v>
      </c>
      <c r="JU8" s="182">
        <f>IF(COUNT(JF8,JL8,JS8)=0,"",SUM(JF8,JL8,JS8)/COUNT(JF8,JL8,JS8))</f>
        <v>3.333333333333333</v>
      </c>
      <c r="JV8" s="206" t="str">
        <f t="shared" si="55"/>
        <v>B</v>
      </c>
      <c r="JW8" s="123"/>
      <c r="JX8" s="124"/>
      <c r="JY8" s="125"/>
      <c r="JZ8" s="182" t="str">
        <f>IFERROR((((COUNTIF('Elève (4ème2)'!JW8:JY8,"A"))*4)+((COUNTIF('Elève (4ème2)'!JW8:JY8,"B"))*3)+((COUNTIF('Elève (4ème2)'!JW8:JY8,"C"))*2)+((COUNTIF('Elève (4ème2)'!JW8:JY8,"D"))*1))/(COUNTA(JW8:JY8)),"")</f>
        <v/>
      </c>
      <c r="KA8" s="183" t="str">
        <f t="shared" si="56"/>
        <v/>
      </c>
      <c r="KB8" s="123" t="s">
        <v>29</v>
      </c>
      <c r="KC8" s="124"/>
      <c r="KD8" s="125"/>
      <c r="KE8" s="125"/>
      <c r="KF8" s="182">
        <f>IFERROR((((COUNTIF('Elève (4ème2)'!KB8:KE8,"A"))*4)+((COUNTIF('Elève (4ème2)'!KB8:KE8,"B"))*3)+((COUNTIF('Elève (4ème2)'!KB8:KE8,"C"))*2)+((COUNTIF('Elève (4ème2)'!KB8:KE8,"D"))*1))/(COUNTA(KB8:KE8)),"")</f>
        <v>4</v>
      </c>
      <c r="KG8" s="183" t="str">
        <f t="shared" si="57"/>
        <v>A</v>
      </c>
      <c r="KH8" s="123" t="s">
        <v>32</v>
      </c>
      <c r="KI8" s="218" t="s">
        <v>29</v>
      </c>
      <c r="KJ8" s="218" t="s">
        <v>31</v>
      </c>
      <c r="KK8" s="124"/>
      <c r="KL8" s="129"/>
      <c r="KM8" s="182">
        <f>IFERROR((((COUNTIF('Elève (4ème2)'!KH8:KL8,"A"))*4)+((COUNTIF('Elève (4ème2)'!KH8:KL8,"B"))*3)+((COUNTIF('Elève (4ème2)'!KH8:KL8,"C"))*2)+((COUNTIF('Elève (4ème2)'!KH8:KL8,"D"))*1))/(COUNTA(KH8:KL8)),"")</f>
        <v>2.3333333333333335</v>
      </c>
      <c r="KN8" s="183" t="str">
        <f t="shared" si="58"/>
        <v>C</v>
      </c>
      <c r="KO8" s="182">
        <f>IF(COUNT(JZ8,KF8,KM8)=0,"",SUM(JZ8,KF8,KM8)/COUNT(JZ8,KF8,KM8))</f>
        <v>3.166666666666667</v>
      </c>
      <c r="KP8" s="206" t="str">
        <f t="shared" si="59"/>
        <v>B</v>
      </c>
      <c r="KQ8" s="123"/>
      <c r="KR8" s="124"/>
      <c r="KS8" s="125"/>
      <c r="KT8" s="182" t="str">
        <f>IFERROR((((COUNTIF('Elève (4ème2)'!KQ8:KS8,"A"))*4)+((COUNTIF('Elève (4ème2)'!KQ8:KS8,"B"))*3)+((COUNTIF('Elève (4ème2)'!KQ8:KS8,"C"))*2)+((COUNTIF('Elève (4ème2)'!KQ8:KS8,"D"))*1))/(COUNTA(KQ8:KS8)),"")</f>
        <v/>
      </c>
      <c r="KU8" s="183" t="str">
        <f t="shared" si="60"/>
        <v/>
      </c>
      <c r="KV8" s="123" t="s">
        <v>32</v>
      </c>
      <c r="KW8" s="124"/>
      <c r="KX8" s="125"/>
      <c r="KY8" s="125"/>
      <c r="KZ8" s="182">
        <f>IFERROR((((COUNTIF('Elève (4ème2)'!KV8:KY8,"A"))*4)+((COUNTIF('Elève (4ème2)'!KV8:KY8,"B"))*3)+((COUNTIF('Elève (4ème2)'!KV8:KY8,"C"))*2)+((COUNTIF('Elève (4ème2)'!KV8:KY8,"D"))*1))/(COUNTA(KV8:KY8)),"")</f>
        <v>1</v>
      </c>
      <c r="LA8" s="183" t="str">
        <f t="shared" si="61"/>
        <v>D</v>
      </c>
      <c r="LB8" s="123" t="s">
        <v>32</v>
      </c>
      <c r="LC8" s="218" t="s">
        <v>32</v>
      </c>
      <c r="LD8" s="218" t="s">
        <v>31</v>
      </c>
      <c r="LE8" s="124"/>
      <c r="LF8" s="129"/>
      <c r="LG8" s="182">
        <f>IFERROR((((COUNTIF('Elève (4ème2)'!LB8:LF8,"A"))*4)+((COUNTIF('Elève (4ème2)'!LB8:LF8,"B"))*3)+((COUNTIF('Elève (4ème2)'!LB8:LF8,"C"))*2)+((COUNTIF('Elève (4ème2)'!LB8:LF8,"D"))*1))/(COUNTA(LB8:LF8)),"")</f>
        <v>1.3333333333333333</v>
      </c>
      <c r="LH8" s="183" t="str">
        <f t="shared" si="62"/>
        <v>D</v>
      </c>
      <c r="LI8" s="182">
        <f>IF(COUNT(KT8,KZ8,LG8)=0,"",SUM(KT8,KZ8,LG8)/COUNT(KT8,KZ8,LG8))</f>
        <v>1.1666666666666665</v>
      </c>
      <c r="LJ8" s="206" t="str">
        <f t="shared" si="63"/>
        <v>D</v>
      </c>
      <c r="LK8" s="123"/>
      <c r="LL8" s="124"/>
      <c r="LM8" s="125"/>
      <c r="LN8" s="182" t="str">
        <f>IFERROR((((COUNTIF('Elève (4ème2)'!LK8:LM8,"A"))*4)+((COUNTIF('Elève (4ème2)'!LK8:LM8,"B"))*3)+((COUNTIF('Elève (4ème2)'!LK8:LM8,"C"))*2)+((COUNTIF('Elève (4ème2)'!LK8:LM8,"D"))*1))/(COUNTA(LK8:LM8)),"")</f>
        <v/>
      </c>
      <c r="LO8" s="183" t="str">
        <f t="shared" si="64"/>
        <v/>
      </c>
      <c r="LP8" s="123" t="s">
        <v>30</v>
      </c>
      <c r="LQ8" s="124"/>
      <c r="LR8" s="125"/>
      <c r="LS8" s="125"/>
      <c r="LT8" s="182">
        <f>IFERROR((((COUNTIF('Elève (4ème2)'!LP8:LS8,"A"))*4)+((COUNTIF('Elève (4ème2)'!LP8:LS8,"B"))*3)+((COUNTIF('Elève (4ème2)'!LP8:LS8,"C"))*2)+((COUNTIF('Elève (4ème2)'!LP8:LS8,"D"))*1))/(COUNTA(LP8:LS8)),"")</f>
        <v>3</v>
      </c>
      <c r="LU8" s="183" t="str">
        <f t="shared" si="65"/>
        <v>B</v>
      </c>
      <c r="LV8" s="123" t="s">
        <v>32</v>
      </c>
      <c r="LW8" s="218" t="s">
        <v>32</v>
      </c>
      <c r="LX8" s="218" t="s">
        <v>32</v>
      </c>
      <c r="LY8" s="124"/>
      <c r="LZ8" s="129"/>
      <c r="MA8" s="182">
        <f>IFERROR((((COUNTIF('Elève (4ème2)'!LV8:LZ8,"A"))*4)+((COUNTIF('Elève (4ème2)'!LV8:LZ8,"B"))*3)+((COUNTIF('Elève (4ème2)'!LV8:LZ8,"C"))*2)+((COUNTIF('Elève (4ème2)'!LV8:LZ8,"D"))*1))/(COUNTA(LV8:LZ8)),"")</f>
        <v>1</v>
      </c>
      <c r="MB8" s="183" t="str">
        <f t="shared" si="66"/>
        <v>D</v>
      </c>
      <c r="MC8" s="182">
        <f>IF(COUNT(LN8,LT8,MA8)=0,"",SUM(LN8,LT8,MA8)/COUNT(LN8,LT8,MA8))</f>
        <v>2</v>
      </c>
      <c r="MD8" s="206" t="str">
        <f t="shared" si="67"/>
        <v>C</v>
      </c>
      <c r="ME8" s="123"/>
      <c r="MF8" s="124"/>
      <c r="MG8" s="125"/>
      <c r="MH8" s="182" t="str">
        <f>IFERROR((((COUNTIF('Elève (4ème2)'!ME8:MG8,"A"))*4)+((COUNTIF('Elève (4ème2)'!ME8:MG8,"B"))*3)+((COUNTIF('Elève (4ème2)'!ME8:MG8,"C"))*2)+((COUNTIF('Elève (4ème2)'!ME8:MG8,"D"))*1))/(COUNTA(ME8:MG8)),"")</f>
        <v/>
      </c>
      <c r="MI8" s="183" t="str">
        <f t="shared" si="68"/>
        <v/>
      </c>
      <c r="MJ8" s="123" t="s">
        <v>30</v>
      </c>
      <c r="MK8" s="124"/>
      <c r="ML8" s="125"/>
      <c r="MM8" s="125"/>
      <c r="MN8" s="182">
        <f>IFERROR((((COUNTIF('Elève (4ème2)'!MJ8:MM8,"A"))*4)+((COUNTIF('Elève (4ème2)'!MJ8:MM8,"B"))*3)+((COUNTIF('Elève (4ème2)'!MJ8:MM8,"C"))*2)+((COUNTIF('Elève (4ème2)'!MJ8:MM8,"D"))*1))/(COUNTA(MJ8:MM8)),"")</f>
        <v>3</v>
      </c>
      <c r="MO8" s="183" t="str">
        <f t="shared" si="69"/>
        <v>B</v>
      </c>
      <c r="MP8" s="123" t="s">
        <v>32</v>
      </c>
      <c r="MQ8" s="218" t="s">
        <v>31</v>
      </c>
      <c r="MR8" s="218" t="s">
        <v>32</v>
      </c>
      <c r="MS8" s="124"/>
      <c r="MT8" s="129"/>
      <c r="MU8" s="182">
        <f>IFERROR((((COUNTIF('Elève (4ème2)'!MP8:MT8,"A"))*4)+((COUNTIF('Elève (4ème2)'!MP8:MT8,"B"))*3)+((COUNTIF('Elève (4ème2)'!MP8:MT8,"C"))*2)+((COUNTIF('Elève (4ème2)'!MP8:MT8,"D"))*1))/(COUNTA(MP8:MT8)),"")</f>
        <v>1.3333333333333333</v>
      </c>
      <c r="MV8" s="183" t="str">
        <f t="shared" si="70"/>
        <v>D</v>
      </c>
      <c r="MW8" s="182">
        <f>IF(COUNT(MH8,MN8,MU8)=0,"",SUM(MH8,MN8,MU8)/COUNT(MH8,MN8,MU8))</f>
        <v>2.1666666666666665</v>
      </c>
      <c r="MX8" s="206" t="str">
        <f t="shared" si="71"/>
        <v>C</v>
      </c>
      <c r="MY8" s="123"/>
      <c r="MZ8" s="124"/>
      <c r="NA8" s="125"/>
      <c r="NB8" s="182" t="str">
        <f>IFERROR((((COUNTIF('Elève (4ème2)'!MY8:NA8,"A"))*4)+((COUNTIF('Elève (4ème2)'!MY8:NA8,"B"))*3)+((COUNTIF('Elève (4ème2)'!MY8:NA8,"C"))*2)+((COUNTIF('Elève (4ème2)'!MY8:NA8,"D"))*1))/(COUNTA(MY8:NA8)),"")</f>
        <v/>
      </c>
      <c r="NC8" s="183" t="str">
        <f t="shared" si="72"/>
        <v/>
      </c>
      <c r="ND8" s="123" t="s">
        <v>29</v>
      </c>
      <c r="NE8" s="124"/>
      <c r="NF8" s="125"/>
      <c r="NG8" s="125"/>
      <c r="NH8" s="182">
        <f>IFERROR((((COUNTIF('Elève (4ème2)'!ND8:NG8,"A"))*4)+((COUNTIF('Elève (4ème2)'!ND8:NG8,"B"))*3)+((COUNTIF('Elève (4ème2)'!ND8:NG8,"C"))*2)+((COUNTIF('Elève (4ème2)'!ND8:NG8,"D"))*1))/(COUNTA(ND8:NG8)),"")</f>
        <v>4</v>
      </c>
      <c r="NI8" s="183" t="str">
        <f t="shared" si="73"/>
        <v>A</v>
      </c>
      <c r="NJ8" s="123" t="s">
        <v>32</v>
      </c>
      <c r="NK8" s="218" t="s">
        <v>30</v>
      </c>
      <c r="NL8" s="218" t="s">
        <v>32</v>
      </c>
      <c r="NM8" s="124"/>
      <c r="NN8" s="129"/>
      <c r="NO8" s="182">
        <f>IFERROR((((COUNTIF('Elève (4ème2)'!NJ8:NN8,"A"))*4)+((COUNTIF('Elève (4ème2)'!NJ8:NN8,"B"))*3)+((COUNTIF('Elève (4ème2)'!NJ8:NN8,"C"))*2)+((COUNTIF('Elève (4ème2)'!NJ8:NN8,"D"))*1))/(COUNTA(NJ8:NN8)),"")</f>
        <v>1.6666666666666667</v>
      </c>
      <c r="NP8" s="183" t="str">
        <f t="shared" si="74"/>
        <v>C</v>
      </c>
      <c r="NQ8" s="182">
        <f>IF(COUNT(NB8,NH8,NO8)=0,"",SUM(NB8,NH8,NO8)/COUNT(NB8,NH8,NO8))</f>
        <v>2.8333333333333335</v>
      </c>
      <c r="NR8" s="206" t="str">
        <f t="shared" si="75"/>
        <v>B</v>
      </c>
      <c r="NS8" s="123"/>
      <c r="NT8" s="124"/>
      <c r="NU8" s="125"/>
      <c r="NV8" s="182" t="str">
        <f>IFERROR((((COUNTIF('Elève (4ème2)'!NS8:NU8,"A"))*4)+((COUNTIF('Elève (4ème2)'!NS8:NU8,"B"))*3)+((COUNTIF('Elève (4ème2)'!NS8:NU8,"C"))*2)+((COUNTIF('Elève (4ème2)'!NS8:NU8,"D"))*1))/(COUNTA(NS8:NU8)),"")</f>
        <v/>
      </c>
      <c r="NW8" s="183" t="str">
        <f t="shared" si="76"/>
        <v/>
      </c>
      <c r="NX8" s="123" t="s">
        <v>29</v>
      </c>
      <c r="NY8" s="124"/>
      <c r="NZ8" s="125"/>
      <c r="OA8" s="125"/>
      <c r="OB8" s="182">
        <f>IFERROR((((COUNTIF('Elève (4ème2)'!NX8:OA8,"A"))*4)+((COUNTIF('Elève (4ème2)'!NX8:OA8,"B"))*3)+((COUNTIF('Elève (4ème2)'!NX8:OA8,"C"))*2)+((COUNTIF('Elève (4ème2)'!NX8:OA8,"D"))*1))/(COUNTA(NX8:OA8)),"")</f>
        <v>4</v>
      </c>
      <c r="OC8" s="183" t="str">
        <f t="shared" si="77"/>
        <v>A</v>
      </c>
      <c r="OD8" s="123" t="s">
        <v>32</v>
      </c>
      <c r="OE8" s="218" t="s">
        <v>29</v>
      </c>
      <c r="OF8" s="218" t="s">
        <v>30</v>
      </c>
      <c r="OG8" s="124"/>
      <c r="OH8" s="129"/>
      <c r="OI8" s="182">
        <f>IFERROR((((COUNTIF('Elève (4ème2)'!OD8:OH8,"A"))*4)+((COUNTIF('Elève (4ème2)'!OD8:OH8,"B"))*3)+((COUNTIF('Elève (4ème2)'!OD8:OH8,"C"))*2)+((COUNTIF('Elève (4ème2)'!OD8:OH8,"D"))*1))/(COUNTA(OD8:OH8)),"")</f>
        <v>2.6666666666666665</v>
      </c>
      <c r="OJ8" s="183" t="str">
        <f t="shared" si="78"/>
        <v>C</v>
      </c>
      <c r="OK8" s="182">
        <f>IF(COUNT(NV8,OB8,OI8)=0,"",SUM(NV8,OB8,OI8)/COUNT(NV8,OB8,OI8))</f>
        <v>3.333333333333333</v>
      </c>
      <c r="OL8" s="206" t="str">
        <f t="shared" si="79"/>
        <v>B</v>
      </c>
      <c r="OM8" s="123"/>
      <c r="ON8" s="124"/>
      <c r="OO8" s="125"/>
      <c r="OP8" s="182" t="str">
        <f>IFERROR((((COUNTIF('Elève (4ème2)'!OM8:OO8,"A"))*4)+((COUNTIF('Elève (4ème2)'!OM8:OO8,"B"))*3)+((COUNTIF('Elève (4ème2)'!OM8:OO8,"C"))*2)+((COUNTIF('Elève (4ème2)'!OM8:OO8,"D"))*1))/(COUNTA(OM8:OO8)),"")</f>
        <v/>
      </c>
      <c r="OQ8" s="183" t="str">
        <f t="shared" si="80"/>
        <v/>
      </c>
      <c r="OR8" s="123" t="s">
        <v>29</v>
      </c>
      <c r="OS8" s="124"/>
      <c r="OT8" s="125"/>
      <c r="OU8" s="125"/>
      <c r="OV8" s="182">
        <f>IFERROR((((COUNTIF('Elève (4ème2)'!OR8:OU8,"A"))*4)+((COUNTIF('Elève (4ème2)'!OR8:OU8,"B"))*3)+((COUNTIF('Elève (4ème2)'!OR8:OU8,"C"))*2)+((COUNTIF('Elève (4ème2)'!OR8:OU8,"D"))*1))/(COUNTA(OR8:OU8)),"")</f>
        <v>4</v>
      </c>
      <c r="OW8" s="183" t="str">
        <f t="shared" si="81"/>
        <v>A</v>
      </c>
      <c r="OX8" s="123" t="s">
        <v>31</v>
      </c>
      <c r="OY8" s="218" t="s">
        <v>31</v>
      </c>
      <c r="OZ8" s="218" t="s">
        <v>30</v>
      </c>
      <c r="PA8" s="124"/>
      <c r="PB8" s="129"/>
      <c r="PC8" s="182">
        <f>IFERROR((((COUNTIF('Elève (4ème2)'!OX8:PB8,"A"))*4)+((COUNTIF('Elève (4ème2)'!OX8:PB8,"B"))*3)+((COUNTIF('Elève (4ème2)'!OX8:PB8,"C"))*2)+((COUNTIF('Elève (4ème2)'!OX8:PB8,"D"))*1))/(COUNTA(OX8:PB8)),"")</f>
        <v>2.3333333333333335</v>
      </c>
      <c r="PD8" s="183" t="str">
        <f t="shared" si="82"/>
        <v>C</v>
      </c>
      <c r="PE8" s="182">
        <f>IF(COUNT(OP8,OV8,PC8)=0,"",SUM(OP8,OV8,PC8)/COUNT(OP8,OV8,PC8))</f>
        <v>3.166666666666667</v>
      </c>
      <c r="PF8" s="206" t="str">
        <f t="shared" si="83"/>
        <v>B</v>
      </c>
      <c r="PG8" s="123"/>
      <c r="PH8" s="124"/>
      <c r="PI8" s="125"/>
      <c r="PJ8" s="182" t="str">
        <f>IFERROR((((COUNTIF('Elève (4ème2)'!PG8:PI8,"A"))*4)+((COUNTIF('Elève (4ème2)'!PG8:PI8,"B"))*3)+((COUNTIF('Elève (4ème2)'!PG8:PI8,"C"))*2)+((COUNTIF('Elève (4ème2)'!PG8:PI8,"D"))*1))/(COUNTA(PG8:PI8)),"")</f>
        <v/>
      </c>
      <c r="PK8" s="183" t="str">
        <f t="shared" si="84"/>
        <v/>
      </c>
      <c r="PL8" s="123" t="s">
        <v>29</v>
      </c>
      <c r="PM8" s="124"/>
      <c r="PN8" s="125"/>
      <c r="PO8" s="125"/>
      <c r="PP8" s="182">
        <f>IFERROR((((COUNTIF('Elève (4ème2)'!PL8:PO8,"A"))*4)+((COUNTIF('Elève (4ème2)'!PL8:PO8,"B"))*3)+((COUNTIF('Elève (4ème2)'!PL8:PO8,"C"))*2)+((COUNTIF('Elève (4ème2)'!PL8:PO8,"D"))*1))/(COUNTA(PL8:PO8)),"")</f>
        <v>4</v>
      </c>
      <c r="PQ8" s="183" t="str">
        <f t="shared" si="85"/>
        <v>A</v>
      </c>
      <c r="PR8" s="123" t="s">
        <v>32</v>
      </c>
      <c r="PS8" s="218" t="s">
        <v>32</v>
      </c>
      <c r="PT8" s="218" t="s">
        <v>31</v>
      </c>
      <c r="PU8" s="124"/>
      <c r="PV8" s="129"/>
      <c r="PW8" s="182">
        <f>IFERROR((((COUNTIF('Elève (4ème2)'!PR8:PV8,"A"))*4)+((COUNTIF('Elève (4ème2)'!PR8:PV8,"B"))*3)+((COUNTIF('Elève (4ème2)'!PR8:PV8,"C"))*2)+((COUNTIF('Elève (4ème2)'!PR8:PV8,"D"))*1))/(COUNTA(PR8:PV8)),"")</f>
        <v>1.3333333333333333</v>
      </c>
      <c r="PX8" s="183" t="str">
        <f t="shared" si="86"/>
        <v>D</v>
      </c>
      <c r="PY8" s="182">
        <f>IF(COUNT(PJ8,PP8,PW8)=0,"",SUM(PJ8,PP8,PW8)/COUNT(PJ8,PP8,PW8))</f>
        <v>2.6666666666666665</v>
      </c>
      <c r="PZ8" s="206" t="str">
        <f t="shared" si="87"/>
        <v>C</v>
      </c>
      <c r="QA8" s="123"/>
      <c r="QB8" s="124"/>
      <c r="QC8" s="125"/>
      <c r="QD8" s="182" t="str">
        <f>IFERROR((((COUNTIF('Elève (4ème2)'!QA8:QC8,"A"))*4)+((COUNTIF('Elève (4ème2)'!QA8:QC8,"B"))*3)+((COUNTIF('Elève (4ème2)'!QA8:QC8,"C"))*2)+((COUNTIF('Elève (4ème2)'!QA8:QC8,"D"))*1))/(COUNTA(QA8:QC8)),"")</f>
        <v/>
      </c>
      <c r="QE8" s="183" t="str">
        <f t="shared" si="88"/>
        <v/>
      </c>
      <c r="QF8" s="123" t="s">
        <v>29</v>
      </c>
      <c r="QG8" s="124"/>
      <c r="QH8" s="125"/>
      <c r="QI8" s="125"/>
      <c r="QJ8" s="182">
        <f>IFERROR((((COUNTIF('Elève (4ème2)'!QF8:QI8,"A"))*4)+((COUNTIF('Elève (4ème2)'!QF8:QI8,"B"))*3)+((COUNTIF('Elève (4ème2)'!QF8:QI8,"C"))*2)+((COUNTIF('Elève (4ème2)'!QF8:QI8,"D"))*1))/(COUNTA(QF8:QI8)),"")</f>
        <v>4</v>
      </c>
      <c r="QK8" s="183" t="str">
        <f t="shared" si="89"/>
        <v>A</v>
      </c>
      <c r="QL8" s="123" t="s">
        <v>32</v>
      </c>
      <c r="QM8" s="218" t="s">
        <v>30</v>
      </c>
      <c r="QN8" s="218" t="s">
        <v>31</v>
      </c>
      <c r="QO8" s="124"/>
      <c r="QP8" s="129"/>
      <c r="QQ8" s="182">
        <f>IFERROR((((COUNTIF('Elève (4ème2)'!QL8:QP8,"A"))*4)+((COUNTIF('Elève (4ème2)'!QL8:QP8,"B"))*3)+((COUNTIF('Elève (4ème2)'!QL8:QP8,"C"))*2)+((COUNTIF('Elève (4ème2)'!QL8:QP8,"D"))*1))/(COUNTA(QL8:QP8)),"")</f>
        <v>2</v>
      </c>
      <c r="QR8" s="183" t="str">
        <f t="shared" si="90"/>
        <v>C</v>
      </c>
      <c r="QS8" s="182">
        <f>IF(COUNT(QD8,QJ8,QQ8)=0,"",SUM(QD8,QJ8,QQ8)/COUNT(QD8,QJ8,QQ8))</f>
        <v>3</v>
      </c>
      <c r="QT8" s="206" t="str">
        <f t="shared" si="91"/>
        <v>B</v>
      </c>
      <c r="QU8" s="123"/>
      <c r="QV8" s="124"/>
      <c r="QW8" s="125"/>
      <c r="QX8" s="182" t="str">
        <f>IFERROR((((COUNTIF('Elève (4ème2)'!QU8:QW8,"A"))*4)+((COUNTIF('Elève (4ème2)'!QU8:QW8,"B"))*3)+((COUNTIF('Elève (4ème2)'!QU8:QW8,"C"))*2)+((COUNTIF('Elève (4ème2)'!QU8:QW8,"D"))*1))/(COUNTA(QU8:QW8)),"")</f>
        <v/>
      </c>
      <c r="QY8" s="183" t="str">
        <f t="shared" si="92"/>
        <v/>
      </c>
      <c r="QZ8" s="123" t="s">
        <v>29</v>
      </c>
      <c r="RA8" s="124"/>
      <c r="RB8" s="125"/>
      <c r="RC8" s="125"/>
      <c r="RD8" s="182">
        <f>IFERROR((((COUNTIF('Elève (4ème2)'!QZ8:RC8,"A"))*4)+((COUNTIF('Elève (4ème2)'!QZ8:RC8,"B"))*3)+((COUNTIF('Elève (4ème2)'!QZ8:RC8,"C"))*2)+((COUNTIF('Elève (4ème2)'!QZ8:RC8,"D"))*1))/(COUNTA(QZ8:RC8)),"")</f>
        <v>4</v>
      </c>
      <c r="RE8" s="183" t="str">
        <f t="shared" si="93"/>
        <v>A</v>
      </c>
      <c r="RF8" s="123" t="s">
        <v>31</v>
      </c>
      <c r="RG8" s="218" t="s">
        <v>31</v>
      </c>
      <c r="RH8" s="218" t="s">
        <v>31</v>
      </c>
      <c r="RI8" s="124"/>
      <c r="RJ8" s="129"/>
      <c r="RK8" s="182">
        <f>IFERROR((((COUNTIF('Elève (4ème2)'!RF8:RJ8,"A"))*4)+((COUNTIF('Elève (4ème2)'!RF8:RJ8,"B"))*3)+((COUNTIF('Elève (4ème2)'!RF8:RJ8,"C"))*2)+((COUNTIF('Elève (4ème2)'!RF8:RJ8,"D"))*1))/(COUNTA(RF8:RJ8)),"")</f>
        <v>2</v>
      </c>
      <c r="RL8" s="183" t="str">
        <f t="shared" si="94"/>
        <v>C</v>
      </c>
      <c r="RM8" s="182">
        <f>IF(COUNT(QX8,RD8,RK8)=0,"",SUM(QX8,RD8,RK8)/COUNT(QX8,RD8,RK8))</f>
        <v>3</v>
      </c>
      <c r="RN8" s="206" t="str">
        <f t="shared" si="95"/>
        <v>B</v>
      </c>
      <c r="RO8" s="123"/>
      <c r="RP8" s="124"/>
      <c r="RQ8" s="125"/>
      <c r="RR8" s="182" t="str">
        <f>IFERROR((((COUNTIF('Elève (4ème2)'!RO8:RQ8,"A"))*4)+((COUNTIF('Elève (4ème2)'!RO8:RQ8,"B"))*3)+((COUNTIF('Elève (4ème2)'!RO8:RQ8,"C"))*2)+((COUNTIF('Elève (4ème2)'!RO8:RQ8,"D"))*1))/(COUNTA(RO8:RQ8)),"")</f>
        <v/>
      </c>
      <c r="RS8" s="183" t="str">
        <f t="shared" si="96"/>
        <v/>
      </c>
      <c r="RT8" s="123" t="s">
        <v>29</v>
      </c>
      <c r="RU8" s="124"/>
      <c r="RV8" s="125"/>
      <c r="RW8" s="125"/>
      <c r="RX8" s="182">
        <f>IFERROR((((COUNTIF('Elève (4ème2)'!RT8:RW8,"A"))*4)+((COUNTIF('Elève (4ème2)'!RT8:RW8,"B"))*3)+((COUNTIF('Elève (4ème2)'!RT8:RW8,"C"))*2)+((COUNTIF('Elève (4ème2)'!RT8:RW8,"D"))*1))/(COUNTA(RT8:RW8)),"")</f>
        <v>4</v>
      </c>
      <c r="RY8" s="183" t="str">
        <f t="shared" si="97"/>
        <v>A</v>
      </c>
      <c r="RZ8" s="123" t="s">
        <v>32</v>
      </c>
      <c r="SA8" s="218" t="s">
        <v>31</v>
      </c>
      <c r="SB8" s="218" t="s">
        <v>30</v>
      </c>
      <c r="SC8" s="124"/>
      <c r="SD8" s="129"/>
      <c r="SE8" s="182">
        <f>IFERROR((((COUNTIF('Elève (4ème2)'!RZ8:SD8,"A"))*4)+((COUNTIF('Elève (4ème2)'!RZ8:SD8,"B"))*3)+((COUNTIF('Elève (4ème2)'!RZ8:SD8,"C"))*2)+((COUNTIF('Elève (4ème2)'!RZ8:SD8,"D"))*1))/(COUNTA(RZ8:SD8)),"")</f>
        <v>2</v>
      </c>
      <c r="SF8" s="183" t="str">
        <f t="shared" si="98"/>
        <v>C</v>
      </c>
      <c r="SG8" s="182">
        <f>IF(COUNT(RR8,RX8,SE8)=0,"",SUM(RR8,RX8,SE8)/COUNT(RR8,RX8,SE8))</f>
        <v>3</v>
      </c>
      <c r="SH8" s="206" t="str">
        <f t="shared" si="99"/>
        <v>B</v>
      </c>
      <c r="SI8" s="123"/>
      <c r="SJ8" s="124"/>
      <c r="SK8" s="125"/>
      <c r="SL8" s="182" t="str">
        <f>IFERROR((((COUNTIF('Elève (4ème2)'!SI8:SK8,"A"))*4)+((COUNTIF('Elève (4ème2)'!SI8:SK8,"B"))*3)+((COUNTIF('Elève (4ème2)'!SI8:SK8,"C"))*2)+((COUNTIF('Elève (4ème2)'!SI8:SK8,"D"))*1))/(COUNTA(SI8:SK8)),"")</f>
        <v/>
      </c>
      <c r="SM8" s="183" t="str">
        <f t="shared" si="100"/>
        <v/>
      </c>
      <c r="SN8" s="123" t="s">
        <v>29</v>
      </c>
      <c r="SO8" s="124"/>
      <c r="SP8" s="125"/>
      <c r="SQ8" s="125"/>
      <c r="SR8" s="182">
        <f>IFERROR((((COUNTIF('Elève (4ème2)'!SN8:SQ8,"A"))*4)+((COUNTIF('Elève (4ème2)'!SN8:SQ8,"B"))*3)+((COUNTIF('Elève (4ème2)'!SN8:SQ8,"C"))*2)+((COUNTIF('Elève (4ème2)'!SN8:SQ8,"D"))*1))/(COUNTA(SN8:SQ8)),"")</f>
        <v>4</v>
      </c>
      <c r="SS8" s="183" t="str">
        <f t="shared" si="101"/>
        <v>A</v>
      </c>
      <c r="ST8" s="123" t="s">
        <v>32</v>
      </c>
      <c r="SU8" s="218" t="s">
        <v>30</v>
      </c>
      <c r="SV8" s="218" t="s">
        <v>30</v>
      </c>
      <c r="SW8" s="124"/>
      <c r="SX8" s="129"/>
      <c r="SY8" s="182">
        <f>IFERROR((((COUNTIF('Elève (4ème2)'!ST8:SX8,"A"))*4)+((COUNTIF('Elève (4ème2)'!ST8:SX8,"B"))*3)+((COUNTIF('Elève (4ème2)'!ST8:SX8,"C"))*2)+((COUNTIF('Elève (4ème2)'!ST8:SX8,"D"))*1))/(COUNTA(ST8:SX8)),"")</f>
        <v>2.3333333333333335</v>
      </c>
      <c r="SZ8" s="183" t="str">
        <f t="shared" si="102"/>
        <v>C</v>
      </c>
      <c r="TA8" s="182">
        <f>IF(COUNT(SL8,SR8,SY8)=0,"",SUM(SL8,SR8,SY8)/COUNT(SL8,SR8,SY8))</f>
        <v>3.166666666666667</v>
      </c>
      <c r="TB8" s="206" t="str">
        <f t="shared" si="103"/>
        <v>B</v>
      </c>
      <c r="TC8" s="123"/>
      <c r="TD8" s="124"/>
      <c r="TE8" s="125"/>
      <c r="TF8" s="182" t="str">
        <f>IFERROR((((COUNTIF('Elève (4ème2)'!TC8:TE8,"A"))*4)+((COUNTIF('Elève (4ème2)'!TC8:TE8,"B"))*3)+((COUNTIF('Elève (4ème2)'!TC8:TE8,"C"))*2)+((COUNTIF('Elève (4ème2)'!TC8:TE8,"D"))*1))/(COUNTA(TC8:TE8)),"")</f>
        <v/>
      </c>
      <c r="TG8" s="183" t="str">
        <f t="shared" si="104"/>
        <v/>
      </c>
      <c r="TH8" s="123" t="s">
        <v>29</v>
      </c>
      <c r="TI8" s="124"/>
      <c r="TJ8" s="125"/>
      <c r="TK8" s="125"/>
      <c r="TL8" s="182">
        <f>IFERROR((((COUNTIF('Elève (4ème2)'!TH8:TK8,"A"))*4)+((COUNTIF('Elève (4ème2)'!TH8:TK8,"B"))*3)+((COUNTIF('Elève (4ème2)'!TH8:TK8,"C"))*2)+((COUNTIF('Elève (4ème2)'!TH8:TK8,"D"))*1))/(COUNTA(TH8:TK8)),"")</f>
        <v>4</v>
      </c>
      <c r="TM8" s="183" t="str">
        <f t="shared" si="105"/>
        <v>A</v>
      </c>
      <c r="TN8" s="123" t="s">
        <v>30</v>
      </c>
      <c r="TO8" s="218" t="s">
        <v>29</v>
      </c>
      <c r="TP8" s="218" t="s">
        <v>32</v>
      </c>
      <c r="TQ8" s="124"/>
      <c r="TR8" s="129"/>
      <c r="TS8" s="182">
        <f>IFERROR((((COUNTIF('Elève (4ème2)'!TN8:TR8,"A"))*4)+((COUNTIF('Elève (4ème2)'!TN8:TR8,"B"))*3)+((COUNTIF('Elève (4ème2)'!TN8:TR8,"C"))*2)+((COUNTIF('Elève (4ème2)'!TN8:TR8,"D"))*1))/(COUNTA(TN8:TR8)),"")</f>
        <v>2.6666666666666665</v>
      </c>
      <c r="TT8" s="183" t="str">
        <f t="shared" si="106"/>
        <v>C</v>
      </c>
      <c r="TU8" s="182">
        <f>IF(COUNT(TF8,TL8,TS8)=0,"",SUM(TF8,TL8,TS8)/COUNT(TF8,TL8,TS8))</f>
        <v>3.333333333333333</v>
      </c>
      <c r="TV8" s="206" t="str">
        <f t="shared" si="107"/>
        <v>B</v>
      </c>
      <c r="TW8" s="123"/>
      <c r="TX8" s="124"/>
      <c r="TY8" s="125"/>
      <c r="TZ8" s="126" t="str">
        <f>IFERROR((((COUNTIF('Elève (4ème2)'!TW8:TY8,"A"))*4)+((COUNTIF('Elève (4ème2)'!TW8:TY8,"B"))*3)+((COUNTIF('Elève (4ème2)'!TW8:TY8,"C"))*2)+((COUNTIF('Elève (4ème2)'!TW8:TY8,"D"))*1))/(COUNTA(TW8:TY8)),"")</f>
        <v/>
      </c>
      <c r="UA8" s="127" t="str">
        <f t="shared" si="108"/>
        <v/>
      </c>
      <c r="UB8" s="123"/>
      <c r="UC8" s="124"/>
      <c r="UD8" s="125"/>
      <c r="UE8" s="126" t="str">
        <f>IFERROR((((COUNTIF('Elève (4ème2)'!UB8:UD8,"A"))*4)+((COUNTIF('Elève (4ème2)'!UB8:UD8,"B"))*3)+((COUNTIF('Elève (4ème2)'!UB8:UD8,"C"))*2)+((COUNTIF('Elève (4ème2)'!UB8:UD8,"D"))*1))/(COUNTA(UB8:UD8)),"")</f>
        <v/>
      </c>
      <c r="UF8" s="127" t="str">
        <f t="shared" si="109"/>
        <v/>
      </c>
      <c r="UG8" s="123"/>
      <c r="UH8" s="124"/>
      <c r="UI8" s="129"/>
      <c r="UJ8" s="126" t="str">
        <f>IFERROR((((COUNTIF('Elève (4ème2)'!UG8:UI8,"A"))*4)+((COUNTIF('Elève (4ème2)'!UG8:UI8,"B"))*3)+((COUNTIF('Elève (4ème2)'!UG8:UI8,"C"))*2)+((COUNTIF('Elève (4ème2)'!UG8:UI8,"D"))*1))/(COUNTA(UG8:UI8)),"")</f>
        <v/>
      </c>
      <c r="UK8" s="127" t="str">
        <f t="shared" si="110"/>
        <v/>
      </c>
      <c r="UL8" s="126" t="str">
        <f>IF(COUNT(TZ8,UE8,UJ8)=0,"",SUM(TZ8,UE8,UJ8)/COUNT(TZ8,UE8,UJ8))</f>
        <v/>
      </c>
      <c r="UM8" s="128" t="str">
        <f t="shared" si="111"/>
        <v/>
      </c>
      <c r="UN8" s="123"/>
      <c r="UO8" s="124"/>
      <c r="UP8" s="125"/>
      <c r="UQ8" s="126" t="str">
        <f>IFERROR((((COUNTIF('Elève (4ème2)'!UN8:UP8,"A"))*4)+((COUNTIF('Elève (4ème2)'!UN8:UP8,"B"))*3)+((COUNTIF('Elève (4ème2)'!UN8:UP8,"C"))*2)+((COUNTIF('Elève (4ème2)'!UN8:UP8,"D"))*1))/(COUNTA(UN8:UP8)),"")</f>
        <v/>
      </c>
      <c r="UR8" s="127" t="str">
        <f t="shared" si="112"/>
        <v/>
      </c>
      <c r="US8" s="123"/>
      <c r="UT8" s="124"/>
      <c r="UU8" s="125"/>
      <c r="UV8" s="126" t="str">
        <f>IFERROR((((COUNTIF('Elève (4ème2)'!US8:UU8,"A"))*4)+((COUNTIF('Elève (4ème2)'!US8:UU8,"B"))*3)+((COUNTIF('Elève (4ème2)'!US8:UU8,"C"))*2)+((COUNTIF('Elève (4ème2)'!US8:UU8,"D"))*1))/(COUNTA(US8:UU8)),"")</f>
        <v/>
      </c>
      <c r="UW8" s="127" t="str">
        <f t="shared" si="113"/>
        <v/>
      </c>
      <c r="UX8" s="123"/>
      <c r="UY8" s="124"/>
      <c r="UZ8" s="129"/>
      <c r="VA8" s="126" t="str">
        <f>IFERROR((((COUNTIF('Elève (4ème2)'!UX8:UZ8,"A"))*4)+((COUNTIF('Elève (4ème2)'!UX8:UZ8,"B"))*3)+((COUNTIF('Elève (4ème2)'!UX8:UZ8,"C"))*2)+((COUNTIF('Elève (4ème2)'!UX8:UZ8,"D"))*1))/(COUNTA(UX8:UZ8)),"")</f>
        <v/>
      </c>
      <c r="VB8" s="127" t="str">
        <f t="shared" si="114"/>
        <v/>
      </c>
      <c r="VC8" s="126" t="str">
        <f>IF(COUNT(UQ8,UV8,VA8)=0,"",SUM(UQ8,UV8,VA8)/COUNT(UQ8,UV8,VA8))</f>
        <v/>
      </c>
      <c r="VD8" s="128" t="str">
        <f t="shared" si="115"/>
        <v/>
      </c>
      <c r="VE8" s="123"/>
      <c r="VF8" s="124"/>
      <c r="VG8" s="125"/>
      <c r="VH8" s="126" t="str">
        <f>IFERROR((((COUNTIF('Elève (4ème2)'!VE8:VG8,"A"))*4)+((COUNTIF('Elève (4ème2)'!VE8:VG8,"B"))*3)+((COUNTIF('Elève (4ème2)'!VE8:VG8,"C"))*2)+((COUNTIF('Elève (4ème2)'!VE8:VG8,"D"))*1))/(COUNTA(VE8:VG8)),"")</f>
        <v/>
      </c>
      <c r="VI8" s="127" t="str">
        <f t="shared" si="116"/>
        <v/>
      </c>
      <c r="VJ8" s="123"/>
      <c r="VK8" s="124"/>
      <c r="VL8" s="125"/>
      <c r="VM8" s="126" t="str">
        <f>IFERROR((((COUNTIF('Elève (4ème2)'!VJ8:VL8,"A"))*4)+((COUNTIF('Elève (4ème2)'!VJ8:VL8,"B"))*3)+((COUNTIF('Elève (4ème2)'!VJ8:VL8,"C"))*2)+((COUNTIF('Elève (4ème2)'!VJ8:VL8,"D"))*1))/(COUNTA(VJ8:VL8)),"")</f>
        <v/>
      </c>
      <c r="VN8" s="127" t="str">
        <f t="shared" si="117"/>
        <v/>
      </c>
      <c r="VO8" s="123"/>
      <c r="VP8" s="124"/>
      <c r="VQ8" s="129"/>
      <c r="VR8" s="126" t="str">
        <f>IFERROR((((COUNTIF('Elève (4ème2)'!VO8:VQ8,"A"))*4)+((COUNTIF('Elève (4ème2)'!VO8:VQ8,"B"))*3)+((COUNTIF('Elève (4ème2)'!VO8:VQ8,"C"))*2)+((COUNTIF('Elève (4ème2)'!VO8:VQ8,"D"))*1))/(COUNTA(VO8:VQ8)),"")</f>
        <v/>
      </c>
      <c r="VS8" s="127" t="str">
        <f t="shared" si="118"/>
        <v/>
      </c>
      <c r="VT8" s="126" t="str">
        <f>IF(COUNT(VH8,VM8,VR8)=0,"",SUM(VH8,VM8,VR8)/COUNT(VH8,VM8,VR8))</f>
        <v/>
      </c>
      <c r="VU8" s="128" t="str">
        <f t="shared" si="119"/>
        <v/>
      </c>
    </row>
    <row r="9" spans="1:593" ht="18" customHeight="1" thickBot="1" x14ac:dyDescent="0.6">
      <c r="A9" s="250" t="s">
        <v>16</v>
      </c>
      <c r="B9" s="251"/>
      <c r="C9" s="130" t="s">
        <v>31</v>
      </c>
      <c r="D9" s="131"/>
      <c r="E9" s="132"/>
      <c r="F9" s="184">
        <f>IFERROR((((COUNTIF('Elève (4ème2)'!C9:E9,"A"))*4)+((COUNTIF('Elève (4ème2)'!C9:E9,"B"))*3)+((COUNTIF('Elève (4ème2)'!C9:E9,"C"))*2)+((COUNTIF('Elève (4ème2)'!C9:E9,"D"))*1))/(COUNTA(C9:E9)),"")</f>
        <v>2</v>
      </c>
      <c r="G9" s="185" t="str">
        <f t="shared" si="0"/>
        <v>C</v>
      </c>
      <c r="H9" s="130"/>
      <c r="I9" s="131"/>
      <c r="J9" s="132"/>
      <c r="K9" s="132"/>
      <c r="L9" s="184" t="str">
        <f>IFERROR((((COUNTIF('Elève (4ème2)'!H9:K9,"A"))*4)+((COUNTIF('Elève (4ème2)'!H9:K9,"B"))*3)+((COUNTIF('Elève (4ème2)'!H9:K9,"C"))*2)+((COUNTIF('Elève (4ème2)'!H9:K9,"D"))*1))/(COUNTA(H9:K9)),"")</f>
        <v/>
      </c>
      <c r="M9" s="185" t="str">
        <f t="shared" si="1"/>
        <v/>
      </c>
      <c r="N9" s="130" t="s">
        <v>31</v>
      </c>
      <c r="O9" s="131" t="s">
        <v>32</v>
      </c>
      <c r="P9" s="219"/>
      <c r="Q9" s="219" t="s">
        <v>32</v>
      </c>
      <c r="R9" s="132"/>
      <c r="S9" s="184">
        <f>IFERROR((((COUNTIF('Elève (4ème2)'!N9:R9,"A"))*4)+((COUNTIF('Elève (4ème2)'!N9:R9,"B"))*3)+((COUNTIF('Elève (4ème2)'!N9:R9,"C"))*2)+((COUNTIF('Elève (4ème2)'!N9:R9,"D"))*1))/(COUNTA(N9:R9)),"")</f>
        <v>1.3333333333333333</v>
      </c>
      <c r="T9" s="185" t="str">
        <f t="shared" si="2"/>
        <v>D</v>
      </c>
      <c r="U9" s="184">
        <f>IF(COUNT(F9,L9,S9)=0,"",SUM(F9,L9,S9)/COUNT(F9,L9,S9))</f>
        <v>1.6666666666666665</v>
      </c>
      <c r="V9" s="207" t="str">
        <f t="shared" si="3"/>
        <v>C</v>
      </c>
      <c r="W9" s="130" t="s">
        <v>32</v>
      </c>
      <c r="X9" s="131"/>
      <c r="Y9" s="132"/>
      <c r="Z9" s="184">
        <f>IFERROR((((COUNTIF('Elève (4ème2)'!W9:Y9,"A"))*4)+((COUNTIF('Elève (4ème2)'!W9:Y9,"B"))*3)+((COUNTIF('Elève (4ème2)'!W9:Y9,"C"))*2)+((COUNTIF('Elève (4ème2)'!W9:Y9,"D"))*1))/(COUNTA(W9:Y9)),"")</f>
        <v>1</v>
      </c>
      <c r="AA9" s="185" t="str">
        <f t="shared" si="4"/>
        <v>D</v>
      </c>
      <c r="AB9" s="130"/>
      <c r="AC9" s="131"/>
      <c r="AD9" s="132"/>
      <c r="AE9" s="132"/>
      <c r="AF9" s="184" t="str">
        <f>IFERROR((((COUNTIF('Elève (4ème2)'!AB9:AE9,"A"))*4)+((COUNTIF('Elève (4ème2)'!AB9:AE9,"B"))*3)+((COUNTIF('Elève (4ème2)'!AB9:AE9,"C"))*2)+((COUNTIF('Elève (4ème2)'!AB9:AE9,"D"))*1))/(COUNTA(AB9:AE9)),"")</f>
        <v/>
      </c>
      <c r="AG9" s="185" t="str">
        <f t="shared" si="5"/>
        <v/>
      </c>
      <c r="AH9" s="130" t="s">
        <v>30</v>
      </c>
      <c r="AI9" s="219" t="s">
        <v>30</v>
      </c>
      <c r="AJ9" s="219"/>
      <c r="AK9" s="131" t="s">
        <v>31</v>
      </c>
      <c r="AL9" s="136"/>
      <c r="AM9" s="184">
        <f>IFERROR((((COUNTIF('Elève (4ème2)'!AH9:AL9,"A"))*4)+((COUNTIF('Elève (4ème2)'!AH9:AL9,"B"))*3)+((COUNTIF('Elève (4ème2)'!AH9:AL9,"C"))*2)+((COUNTIF('Elève (4ème2)'!AH9:AL9,"D"))*1))/(COUNTA(AH9:AL9)),"")</f>
        <v>2.6666666666666665</v>
      </c>
      <c r="AN9" s="185" t="str">
        <f t="shared" si="6"/>
        <v>C</v>
      </c>
      <c r="AO9" s="184">
        <f>IF(COUNT(Z9,AF9,AM9)=0,"",SUM(Z9,AF9,AM9)/COUNT(Z9,AF9,AM9))</f>
        <v>1.8333333333333333</v>
      </c>
      <c r="AP9" s="207" t="str">
        <f t="shared" si="7"/>
        <v>C</v>
      </c>
      <c r="AQ9" s="130" t="s">
        <v>32</v>
      </c>
      <c r="AR9" s="131"/>
      <c r="AS9" s="132"/>
      <c r="AT9" s="184">
        <f>IFERROR((((COUNTIF('Elève (4ème2)'!AQ9:AS9,"A"))*4)+((COUNTIF('Elève (4ème2)'!AQ9:AS9,"B"))*3)+((COUNTIF('Elève (4ème2)'!AQ9:AS9,"C"))*2)+((COUNTIF('Elève (4ème2)'!AQ9:AS9,"D"))*1))/(COUNTA(AQ9:AS9)),"")</f>
        <v>1</v>
      </c>
      <c r="AU9" s="185" t="str">
        <f t="shared" si="8"/>
        <v>D</v>
      </c>
      <c r="AV9" s="130"/>
      <c r="AW9" s="131"/>
      <c r="AX9" s="132"/>
      <c r="AY9" s="132"/>
      <c r="AZ9" s="184" t="str">
        <f>IFERROR((((COUNTIF('Elève (4ème2)'!AV9:AY9,"A"))*4)+((COUNTIF('Elève (4ème2)'!AV9:AY9,"B"))*3)+((COUNTIF('Elève (4ème2)'!AV9:AY9,"C"))*2)+((COUNTIF('Elève (4ème2)'!AV9:AY9,"D"))*1))/(COUNTA(AV9:AY9)),"")</f>
        <v/>
      </c>
      <c r="BA9" s="185" t="str">
        <f t="shared" si="9"/>
        <v/>
      </c>
      <c r="BB9" s="130" t="s">
        <v>32</v>
      </c>
      <c r="BC9" s="219"/>
      <c r="BD9" s="219"/>
      <c r="BE9" s="131" t="s">
        <v>30</v>
      </c>
      <c r="BF9" s="136"/>
      <c r="BG9" s="184">
        <f>IFERROR((((COUNTIF('Elève (4ème2)'!BB9:BF9,"A"))*4)+((COUNTIF('Elève (4ème2)'!BB9:BF9,"B"))*3)+((COUNTIF('Elève (4ème2)'!BB9:BF9,"C"))*2)+((COUNTIF('Elève (4ème2)'!BB9:BF9,"D"))*1))/(COUNTA(BB9:BF9)),"")</f>
        <v>2</v>
      </c>
      <c r="BH9" s="185" t="str">
        <f t="shared" si="10"/>
        <v>C</v>
      </c>
      <c r="BI9" s="184">
        <f>IF(COUNT(AT9,AZ9,BG9)=0,"",SUM(AT9,AZ9,BG9)/COUNT(AT9,AZ9,BG9))</f>
        <v>1.5</v>
      </c>
      <c r="BJ9" s="207" t="str">
        <f t="shared" si="11"/>
        <v>D</v>
      </c>
      <c r="BK9" s="130" t="s">
        <v>31</v>
      </c>
      <c r="BL9" s="131"/>
      <c r="BM9" s="132"/>
      <c r="BN9" s="184">
        <f>IFERROR((((COUNTIF('Elève (4ème2)'!BK9:BM9,"A"))*4)+((COUNTIF('Elève (4ème2)'!BK9:BM9,"B"))*3)+((COUNTIF('Elève (4ème2)'!BK9:BM9,"C"))*2)+((COUNTIF('Elève (4ème2)'!BK9:BM9,"D"))*1))/(COUNTA(BK9:BM9)),"")</f>
        <v>2</v>
      </c>
      <c r="BO9" s="185" t="str">
        <f t="shared" si="12"/>
        <v>C</v>
      </c>
      <c r="BP9" s="130"/>
      <c r="BQ9" s="131"/>
      <c r="BR9" s="132"/>
      <c r="BS9" s="132"/>
      <c r="BT9" s="184" t="str">
        <f>IFERROR((((COUNTIF('Elève (4ème2)'!BP9:BS9,"A"))*4)+((COUNTIF('Elève (4ème2)'!BP9:BS9,"B"))*3)+((COUNTIF('Elève (4ème2)'!BP9:BS9,"C"))*2)+((COUNTIF('Elève (4ème2)'!BP9:BS9,"D"))*1))/(COUNTA(BP9:BS9)),"")</f>
        <v/>
      </c>
      <c r="BU9" s="185" t="str">
        <f t="shared" si="13"/>
        <v/>
      </c>
      <c r="BV9" s="130" t="s">
        <v>31</v>
      </c>
      <c r="BW9" s="219" t="s">
        <v>30</v>
      </c>
      <c r="BX9" s="219"/>
      <c r="BY9" s="131" t="s">
        <v>31</v>
      </c>
      <c r="BZ9" s="136"/>
      <c r="CA9" s="184">
        <f>IFERROR((((COUNTIF('Elève (4ème2)'!BV9:BZ9,"A"))*4)+((COUNTIF('Elève (4ème2)'!BV9:BZ9,"B"))*3)+((COUNTIF('Elève (4ème2)'!BV9:BZ9,"C"))*2)+((COUNTIF('Elève (4ème2)'!BV9:BZ9,"D"))*1))/(COUNTA(BV9:BZ9)),"")</f>
        <v>2.3333333333333335</v>
      </c>
      <c r="CB9" s="185" t="str">
        <f t="shared" si="14"/>
        <v>C</v>
      </c>
      <c r="CC9" s="184">
        <f>IF(COUNT(BN9,BT9,CA9)=0,"",SUM(BN9,BT9,CA9)/COUNT(BN9,BT9,CA9))</f>
        <v>2.166666666666667</v>
      </c>
      <c r="CD9" s="207" t="str">
        <f t="shared" si="15"/>
        <v>C</v>
      </c>
      <c r="CE9" s="130" t="s">
        <v>31</v>
      </c>
      <c r="CF9" s="131"/>
      <c r="CG9" s="132"/>
      <c r="CH9" s="184">
        <f>IFERROR((((COUNTIF('Elève (4ème2)'!CE9:CG9,"A"))*4)+((COUNTIF('Elève (4ème2)'!CE9:CG9,"B"))*3)+((COUNTIF('Elève (4ème2)'!CE9:CG9,"C"))*2)+((COUNTIF('Elève (4ème2)'!CE9:CG9,"D"))*1))/(COUNTA(CE9:CG9)),"")</f>
        <v>2</v>
      </c>
      <c r="CI9" s="185" t="str">
        <f t="shared" si="16"/>
        <v>C</v>
      </c>
      <c r="CJ9" s="130"/>
      <c r="CK9" s="131"/>
      <c r="CL9" s="132"/>
      <c r="CM9" s="132"/>
      <c r="CN9" s="184" t="str">
        <f>IFERROR((((COUNTIF('Elève (4ème2)'!CJ9:CM9,"A"))*4)+((COUNTIF('Elève (4ème2)'!CJ9:CM9,"B"))*3)+((COUNTIF('Elève (4ème2)'!CJ9:CM9,"C"))*2)+((COUNTIF('Elève (4ème2)'!CJ9:CM9,"D"))*1))/(COUNTA(CJ9:CM9)),"")</f>
        <v/>
      </c>
      <c r="CO9" s="185" t="str">
        <f t="shared" si="17"/>
        <v/>
      </c>
      <c r="CP9" s="130" t="s">
        <v>31</v>
      </c>
      <c r="CQ9" s="219" t="s">
        <v>30</v>
      </c>
      <c r="CR9" s="219"/>
      <c r="CS9" s="131" t="s">
        <v>30</v>
      </c>
      <c r="CT9" s="136"/>
      <c r="CU9" s="184">
        <f>IFERROR((((COUNTIF('Elève (4ème2)'!CP9:CT9,"A"))*4)+((COUNTIF('Elève (4ème2)'!CP9:CT9,"B"))*3)+((COUNTIF('Elève (4ème2)'!CP9:CT9,"C"))*2)+((COUNTIF('Elève (4ème2)'!CP9:CT9,"D"))*1))/(COUNTA(CP9:CT9)),"")</f>
        <v>2.6666666666666665</v>
      </c>
      <c r="CV9" s="185" t="str">
        <f t="shared" si="18"/>
        <v>C</v>
      </c>
      <c r="CW9" s="184">
        <f>IF(COUNT(CH9,CN9,CU9)=0,"",SUM(CH9,CN9,CU9)/COUNT(CH9,CN9,CU9))</f>
        <v>2.333333333333333</v>
      </c>
      <c r="CX9" s="207" t="str">
        <f t="shared" si="19"/>
        <v>C</v>
      </c>
      <c r="CY9" s="130" t="s">
        <v>32</v>
      </c>
      <c r="CZ9" s="131"/>
      <c r="DA9" s="132"/>
      <c r="DB9" s="184">
        <f>IFERROR((((COUNTIF('Elève (4ème2)'!CY9:DA9,"A"))*4)+((COUNTIF('Elève (4ème2)'!CY9:DA9,"B"))*3)+((COUNTIF('Elève (4ème2)'!CY9:DA9,"C"))*2)+((COUNTIF('Elève (4ème2)'!CY9:DA9,"D"))*1))/(COUNTA(CY9:DA9)),"")</f>
        <v>1</v>
      </c>
      <c r="DC9" s="185" t="str">
        <f t="shared" si="20"/>
        <v>D</v>
      </c>
      <c r="DD9" s="130"/>
      <c r="DE9" s="131"/>
      <c r="DF9" s="132"/>
      <c r="DG9" s="132"/>
      <c r="DH9" s="184" t="str">
        <f>IFERROR((((COUNTIF('Elève (4ème2)'!DD9:DG9,"A"))*4)+((COUNTIF('Elève (4ème2)'!DD9:DG9,"B"))*3)+((COUNTIF('Elève (4ème2)'!DD9:DG9,"C"))*2)+((COUNTIF('Elève (4ème2)'!DD9:DG9,"D"))*1))/(COUNTA(DD9:DG9)),"")</f>
        <v/>
      </c>
      <c r="DI9" s="185" t="str">
        <f t="shared" si="21"/>
        <v/>
      </c>
      <c r="DJ9" s="130"/>
      <c r="DK9" s="219" t="s">
        <v>32</v>
      </c>
      <c r="DL9" s="219"/>
      <c r="DM9" s="131" t="s">
        <v>30</v>
      </c>
      <c r="DN9" s="136"/>
      <c r="DO9" s="184">
        <f>IFERROR((((COUNTIF('Elève (4ème2)'!DJ9:DN9,"A"))*4)+((COUNTIF('Elève (4ème2)'!DJ9:DN9,"B"))*3)+((COUNTIF('Elève (4ème2)'!DJ9:DN9,"C"))*2)+((COUNTIF('Elève (4ème2)'!DJ9:DN9,"D"))*1))/(COUNTA(DJ9:DN9)),"")</f>
        <v>2</v>
      </c>
      <c r="DP9" s="185" t="str">
        <f t="shared" si="22"/>
        <v>C</v>
      </c>
      <c r="DQ9" s="184">
        <f>IF(COUNT(DB9,DH9,DO9)=0,"",SUM(DB9,DH9,DO9)/COUNT(DB9,DH9,DO9))</f>
        <v>1.5</v>
      </c>
      <c r="DR9" s="207" t="str">
        <f t="shared" si="23"/>
        <v>D</v>
      </c>
      <c r="DS9" s="130" t="s">
        <v>32</v>
      </c>
      <c r="DT9" s="131"/>
      <c r="DU9" s="132"/>
      <c r="DV9" s="184">
        <f>IFERROR((((COUNTIF('Elève (4ème2)'!DS9:DU9,"A"))*4)+((COUNTIF('Elève (4ème2)'!DS9:DU9,"B"))*3)+((COUNTIF('Elève (4ème2)'!DS9:DU9,"C"))*2)+((COUNTIF('Elève (4ème2)'!DS9:DU9,"D"))*1))/(COUNTA(DS9:DU9)),"")</f>
        <v>1</v>
      </c>
      <c r="DW9" s="185" t="str">
        <f t="shared" si="24"/>
        <v>D</v>
      </c>
      <c r="DX9" s="130"/>
      <c r="DY9" s="131"/>
      <c r="DZ9" s="132"/>
      <c r="EA9" s="132"/>
      <c r="EB9" s="184" t="str">
        <f>IFERROR((((COUNTIF('Elève (4ème2)'!DX9:EA9,"A"))*4)+((COUNTIF('Elève (4ème2)'!DX9:EA9,"B"))*3)+((COUNTIF('Elève (4ème2)'!DX9:EA9,"C"))*2)+((COUNTIF('Elève (4ème2)'!DX9:EA9,"D"))*1))/(COUNTA(DX9:EA9)),"")</f>
        <v/>
      </c>
      <c r="EC9" s="185" t="str">
        <f t="shared" si="25"/>
        <v/>
      </c>
      <c r="ED9" s="130" t="s">
        <v>31</v>
      </c>
      <c r="EE9" s="219" t="s">
        <v>31</v>
      </c>
      <c r="EF9" s="219"/>
      <c r="EG9" s="131" t="s">
        <v>30</v>
      </c>
      <c r="EH9" s="136"/>
      <c r="EI9" s="184">
        <f>IFERROR((((COUNTIF('Elève (4ème2)'!ED9:EH9,"A"))*4)+((COUNTIF('Elève (4ème2)'!ED9:EH9,"B"))*3)+((COUNTIF('Elève (4ème2)'!ED9:EH9,"C"))*2)+((COUNTIF('Elève (4ème2)'!ED9:EH9,"D"))*1))/(COUNTA(ED9:EH9)),"")</f>
        <v>2.3333333333333335</v>
      </c>
      <c r="EJ9" s="185" t="str">
        <f t="shared" si="26"/>
        <v>C</v>
      </c>
      <c r="EK9" s="184">
        <f>IF(COUNT(DV9,EB9,EI9)=0,"",SUM(DV9,EB9,EI9)/COUNT(DV9,EB9,EI9))</f>
        <v>1.6666666666666667</v>
      </c>
      <c r="EL9" s="207" t="str">
        <f t="shared" si="27"/>
        <v>C</v>
      </c>
      <c r="EM9" s="130" t="s">
        <v>30</v>
      </c>
      <c r="EN9" s="131"/>
      <c r="EO9" s="132"/>
      <c r="EP9" s="184">
        <f>IFERROR((((COUNTIF('Elève (4ème2)'!EM9:EO9,"A"))*4)+((COUNTIF('Elève (4ème2)'!EM9:EO9,"B"))*3)+((COUNTIF('Elève (4ème2)'!EM9:EO9,"C"))*2)+((COUNTIF('Elève (4ème2)'!EM9:EO9,"D"))*1))/(COUNTA(EM9:EO9)),"")</f>
        <v>3</v>
      </c>
      <c r="EQ9" s="185" t="str">
        <f t="shared" si="28"/>
        <v>B</v>
      </c>
      <c r="ER9" s="130"/>
      <c r="ES9" s="131"/>
      <c r="ET9" s="132"/>
      <c r="EU9" s="132"/>
      <c r="EV9" s="184" t="str">
        <f>IFERROR((((COUNTIF('Elève (4ème2)'!ER9:EU9,"A"))*4)+((COUNTIF('Elève (4ème2)'!ER9:EU9,"B"))*3)+((COUNTIF('Elève (4ème2)'!ER9:EU9,"C"))*2)+((COUNTIF('Elève (4ème2)'!ER9:EU9,"D"))*1))/(COUNTA(ER9:EU9)),"")</f>
        <v/>
      </c>
      <c r="EW9" s="185" t="str">
        <f t="shared" si="29"/>
        <v/>
      </c>
      <c r="EX9" s="130" t="s">
        <v>31</v>
      </c>
      <c r="EY9" s="219" t="s">
        <v>30</v>
      </c>
      <c r="EZ9" s="219"/>
      <c r="FA9" s="131" t="s">
        <v>29</v>
      </c>
      <c r="FB9" s="136"/>
      <c r="FC9" s="184">
        <f>IFERROR((((COUNTIF('Elève (4ème2)'!EX9:FB9,"A"))*4)+((COUNTIF('Elève (4ème2)'!EX9:FB9,"B"))*3)+((COUNTIF('Elève (4ème2)'!EX9:FB9,"C"))*2)+((COUNTIF('Elève (4ème2)'!EX9:FB9,"D"))*1))/(COUNTA(EX9:FB9)),"")</f>
        <v>3</v>
      </c>
      <c r="FD9" s="185" t="str">
        <f t="shared" si="30"/>
        <v>B</v>
      </c>
      <c r="FE9" s="184">
        <f>IF(COUNT(EP9,EV9,FC9)=0,"",SUM(EP9,EV9,FC9)/COUNT(EP9,EV9,FC9))</f>
        <v>3</v>
      </c>
      <c r="FF9" s="207" t="str">
        <f t="shared" si="31"/>
        <v>B</v>
      </c>
      <c r="FG9" s="130" t="s">
        <v>30</v>
      </c>
      <c r="FH9" s="131"/>
      <c r="FI9" s="132"/>
      <c r="FJ9" s="184">
        <f>IFERROR((((COUNTIF('Elève (4ème2)'!FG9:FI9,"A"))*4)+((COUNTIF('Elève (4ème2)'!FG9:FI9,"B"))*3)+((COUNTIF('Elève (4ème2)'!FG9:FI9,"C"))*2)+((COUNTIF('Elève (4ème2)'!FG9:FI9,"D"))*1))/(COUNTA(FG9:FI9)),"")</f>
        <v>3</v>
      </c>
      <c r="FK9" s="185" t="str">
        <f t="shared" si="32"/>
        <v>B</v>
      </c>
      <c r="FL9" s="130"/>
      <c r="FM9" s="131"/>
      <c r="FN9" s="132"/>
      <c r="FO9" s="132"/>
      <c r="FP9" s="184" t="str">
        <f>IFERROR((((COUNTIF('Elève (4ème2)'!FL9:FO9,"A"))*4)+((COUNTIF('Elève (4ème2)'!FL9:FO9,"B"))*3)+((COUNTIF('Elève (4ème2)'!FL9:FO9,"C"))*2)+((COUNTIF('Elève (4ème2)'!FL9:FO9,"D"))*1))/(COUNTA(FL9:FO9)),"")</f>
        <v/>
      </c>
      <c r="FQ9" s="185" t="str">
        <f t="shared" si="33"/>
        <v/>
      </c>
      <c r="FR9" s="130" t="s">
        <v>32</v>
      </c>
      <c r="FS9" s="219" t="s">
        <v>30</v>
      </c>
      <c r="FT9" s="219"/>
      <c r="FU9" s="131" t="s">
        <v>31</v>
      </c>
      <c r="FV9" s="136"/>
      <c r="FW9" s="184">
        <f>IFERROR((((COUNTIF('Elève (4ème2)'!FR9:FV9,"A"))*4)+((COUNTIF('Elève (4ème2)'!FR9:FV9,"B"))*3)+((COUNTIF('Elève (4ème2)'!FR9:FV9,"C"))*2)+((COUNTIF('Elève (4ème2)'!FR9:FV9,"D"))*1))/(COUNTA(FR9:FV9)),"")</f>
        <v>2</v>
      </c>
      <c r="FX9" s="185" t="str">
        <f t="shared" si="34"/>
        <v>C</v>
      </c>
      <c r="FY9" s="184">
        <f>IF(COUNT(FJ9,FP9,FW9)=0,"",SUM(FJ9,FP9,FW9)/COUNT(FJ9,FP9,FW9))</f>
        <v>2.5</v>
      </c>
      <c r="FZ9" s="207" t="str">
        <f t="shared" si="35"/>
        <v>C</v>
      </c>
      <c r="GA9" s="130" t="s">
        <v>31</v>
      </c>
      <c r="GB9" s="131"/>
      <c r="GC9" s="132"/>
      <c r="GD9" s="184">
        <f>IFERROR((((COUNTIF('Elève (4ème2)'!GA9:GC9,"A"))*4)+((COUNTIF('Elève (4ème2)'!GA9:GC9,"B"))*3)+((COUNTIF('Elève (4ème2)'!GA9:GC9,"C"))*2)+((COUNTIF('Elève (4ème2)'!GA9:GC9,"D"))*1))/(COUNTA(GA9:GC9)),"")</f>
        <v>2</v>
      </c>
      <c r="GE9" s="185" t="str">
        <f t="shared" si="36"/>
        <v>C</v>
      </c>
      <c r="GF9" s="130"/>
      <c r="GG9" s="131"/>
      <c r="GH9" s="132"/>
      <c r="GI9" s="132"/>
      <c r="GJ9" s="184" t="str">
        <f>IFERROR((((COUNTIF('Elève (4ème2)'!GF9:GI9,"A"))*4)+((COUNTIF('Elève (4ème2)'!GF9:GI9,"B"))*3)+((COUNTIF('Elève (4ème2)'!GF9:GI9,"C"))*2)+((COUNTIF('Elève (4ème2)'!GF9:GI9,"D"))*1))/(COUNTA(GF9:GI9)),"")</f>
        <v/>
      </c>
      <c r="GK9" s="185" t="str">
        <f t="shared" si="37"/>
        <v/>
      </c>
      <c r="GL9" s="130" t="s">
        <v>31</v>
      </c>
      <c r="GM9" s="219" t="s">
        <v>31</v>
      </c>
      <c r="GN9" s="219"/>
      <c r="GO9" s="131" t="s">
        <v>30</v>
      </c>
      <c r="GP9" s="136"/>
      <c r="GQ9" s="184">
        <f>IFERROR((((COUNTIF('Elève (4ème2)'!GL9:GP9,"A"))*4)+((COUNTIF('Elève (4ème2)'!GL9:GP9,"B"))*3)+((COUNTIF('Elève (4ème2)'!GL9:GP9,"C"))*2)+((COUNTIF('Elève (4ème2)'!GL9:GP9,"D"))*1))/(COUNTA(GL9:GP9)),"")</f>
        <v>2.3333333333333335</v>
      </c>
      <c r="GR9" s="185" t="str">
        <f t="shared" si="38"/>
        <v>C</v>
      </c>
      <c r="GS9" s="184">
        <f>IF(COUNT(GD9,GJ9,GQ9)=0,"",SUM(GD9,GJ9,GQ9)/COUNT(GD9,GJ9,GQ9))</f>
        <v>2.166666666666667</v>
      </c>
      <c r="GT9" s="207" t="str">
        <f t="shared" si="39"/>
        <v>C</v>
      </c>
      <c r="GU9" s="130" t="s">
        <v>31</v>
      </c>
      <c r="GV9" s="131"/>
      <c r="GW9" s="132"/>
      <c r="GX9" s="184">
        <f>IFERROR((((COUNTIF('Elève (4ème2)'!GU9:GW9,"A"))*4)+((COUNTIF('Elève (4ème2)'!GU9:GW9,"B"))*3)+((COUNTIF('Elève (4ème2)'!GU9:GW9,"C"))*2)+((COUNTIF('Elève (4ème2)'!GU9:GW9,"D"))*1))/(COUNTA(GU9:GW9)),"")</f>
        <v>2</v>
      </c>
      <c r="GY9" s="185" t="str">
        <f t="shared" si="40"/>
        <v>C</v>
      </c>
      <c r="GZ9" s="130"/>
      <c r="HA9" s="131"/>
      <c r="HB9" s="132"/>
      <c r="HC9" s="132"/>
      <c r="HD9" s="184" t="str">
        <f>IFERROR((((COUNTIF('Elève (4ème2)'!GZ9:HC9,"A"))*4)+((COUNTIF('Elève (4ème2)'!GZ9:HC9,"B"))*3)+((COUNTIF('Elève (4ème2)'!GZ9:HC9,"C"))*2)+((COUNTIF('Elève (4ème2)'!GZ9:HC9,"D"))*1))/(COUNTA(GZ9:HC9)),"")</f>
        <v/>
      </c>
      <c r="HE9" s="185" t="str">
        <f t="shared" si="41"/>
        <v/>
      </c>
      <c r="HF9" s="130" t="s">
        <v>32</v>
      </c>
      <c r="HG9" s="219" t="s">
        <v>31</v>
      </c>
      <c r="HH9" s="219"/>
      <c r="HI9" s="131" t="s">
        <v>30</v>
      </c>
      <c r="HJ9" s="136"/>
      <c r="HK9" s="184">
        <f>IFERROR((((COUNTIF('Elève (4ème2)'!HF9:HJ9,"A"))*4)+((COUNTIF('Elève (4ème2)'!HF9:HJ9,"B"))*3)+((COUNTIF('Elève (4ème2)'!HF9:HJ9,"C"))*2)+((COUNTIF('Elève (4ème2)'!HF9:HJ9,"D"))*1))/(COUNTA(HF9:HJ9)),"")</f>
        <v>2</v>
      </c>
      <c r="HL9" s="185" t="str">
        <f t="shared" si="42"/>
        <v>C</v>
      </c>
      <c r="HM9" s="184">
        <f>IF(COUNT(GX9,HD9,HK9)=0,"",SUM(GX9,HD9,HK9)/COUNT(GX9,HD9,HK9))</f>
        <v>2</v>
      </c>
      <c r="HN9" s="207" t="str">
        <f t="shared" si="43"/>
        <v>C</v>
      </c>
      <c r="HO9" s="130" t="s">
        <v>32</v>
      </c>
      <c r="HP9" s="131"/>
      <c r="HQ9" s="132"/>
      <c r="HR9" s="184">
        <f>IFERROR((((COUNTIF('Elève (4ème2)'!HO9:HQ9,"A"))*4)+((COUNTIF('Elève (4ème2)'!HO9:HQ9,"B"))*3)+((COUNTIF('Elève (4ème2)'!HO9:HQ9,"C"))*2)+((COUNTIF('Elève (4ème2)'!HO9:HQ9,"D"))*1))/(COUNTA(HO9:HQ9)),"")</f>
        <v>1</v>
      </c>
      <c r="HS9" s="185" t="str">
        <f t="shared" si="44"/>
        <v>D</v>
      </c>
      <c r="HT9" s="130"/>
      <c r="HU9" s="131"/>
      <c r="HV9" s="132"/>
      <c r="HW9" s="132"/>
      <c r="HX9" s="184" t="str">
        <f>IFERROR((((COUNTIF('Elève (4ème2)'!HT9:HW9,"A"))*4)+((COUNTIF('Elève (4ème2)'!HT9:HW9,"B"))*3)+((COUNTIF('Elève (4ème2)'!HT9:HW9,"C"))*2)+((COUNTIF('Elève (4ème2)'!HT9:HW9,"D"))*1))/(COUNTA(HT9:HW9)),"")</f>
        <v/>
      </c>
      <c r="HY9" s="185" t="str">
        <f t="shared" si="45"/>
        <v/>
      </c>
      <c r="HZ9" s="130" t="s">
        <v>30</v>
      </c>
      <c r="IA9" s="219" t="s">
        <v>29</v>
      </c>
      <c r="IB9" s="219"/>
      <c r="IC9" s="131" t="s">
        <v>30</v>
      </c>
      <c r="ID9" s="136"/>
      <c r="IE9" s="184">
        <f>IFERROR((((COUNTIF('Elève (4ème2)'!HZ9:ID9,"A"))*4)+((COUNTIF('Elève (4ème2)'!HZ9:ID9,"B"))*3)+((COUNTIF('Elève (4ème2)'!HZ9:ID9,"C"))*2)+((COUNTIF('Elève (4ème2)'!HZ9:ID9,"D"))*1))/(COUNTA(HZ9:ID9)),"")</f>
        <v>3.3333333333333335</v>
      </c>
      <c r="IF9" s="185" t="str">
        <f t="shared" si="46"/>
        <v>B</v>
      </c>
      <c r="IG9" s="184">
        <f>IF(COUNT(HR9,HX9,IE9)=0,"",SUM(HR9,HX9,IE9)/COUNT(HR9,HX9,IE9))</f>
        <v>2.166666666666667</v>
      </c>
      <c r="IH9" s="207" t="str">
        <f t="shared" si="47"/>
        <v>C</v>
      </c>
      <c r="II9" s="130" t="s">
        <v>32</v>
      </c>
      <c r="IJ9" s="131"/>
      <c r="IK9" s="132"/>
      <c r="IL9" s="184">
        <f>IFERROR((((COUNTIF('Elève (4ème2)'!II9:IK9,"A"))*4)+((COUNTIF('Elève (4ème2)'!II9:IK9,"B"))*3)+((COUNTIF('Elève (4ème2)'!II9:IK9,"C"))*2)+((COUNTIF('Elève (4ème2)'!II9:IK9,"D"))*1))/(COUNTA(II9:IK9)),"")</f>
        <v>1</v>
      </c>
      <c r="IM9" s="185" t="str">
        <f t="shared" si="48"/>
        <v>D</v>
      </c>
      <c r="IN9" s="130"/>
      <c r="IO9" s="131"/>
      <c r="IP9" s="132"/>
      <c r="IQ9" s="132"/>
      <c r="IR9" s="184" t="str">
        <f>IFERROR((((COUNTIF('Elève (4ème2)'!IN9:IQ9,"A"))*4)+((COUNTIF('Elève (4ème2)'!IN9:IQ9,"B"))*3)+((COUNTIF('Elève (4ème2)'!IN9:IQ9,"C"))*2)+((COUNTIF('Elève (4ème2)'!IN9:IQ9,"D"))*1))/(COUNTA(IN9:IQ9)),"")</f>
        <v/>
      </c>
      <c r="IS9" s="185" t="str">
        <f t="shared" si="49"/>
        <v/>
      </c>
      <c r="IT9" s="130" t="s">
        <v>30</v>
      </c>
      <c r="IU9" s="219" t="s">
        <v>30</v>
      </c>
      <c r="IV9" s="219"/>
      <c r="IW9" s="131" t="s">
        <v>30</v>
      </c>
      <c r="IX9" s="136"/>
      <c r="IY9" s="184">
        <f>IFERROR((((COUNTIF('Elève (4ème2)'!IT9:IX9,"A"))*4)+((COUNTIF('Elève (4ème2)'!IT9:IX9,"B"))*3)+((COUNTIF('Elève (4ème2)'!IT9:IX9,"C"))*2)+((COUNTIF('Elève (4ème2)'!IT9:IX9,"D"))*1))/(COUNTA(IT9:IX9)),"")</f>
        <v>3</v>
      </c>
      <c r="IZ9" s="185" t="str">
        <f t="shared" si="50"/>
        <v>B</v>
      </c>
      <c r="JA9" s="184">
        <f>IF(COUNT(IL9,IR9,IY9)=0,"",SUM(IL9,IR9,IY9)/COUNT(IL9,IR9,IY9))</f>
        <v>2</v>
      </c>
      <c r="JB9" s="207" t="str">
        <f t="shared" si="51"/>
        <v>C</v>
      </c>
      <c r="JC9" s="130" t="s">
        <v>30</v>
      </c>
      <c r="JD9" s="131"/>
      <c r="JE9" s="132"/>
      <c r="JF9" s="184">
        <f>IFERROR((((COUNTIF('Elève (4ème2)'!JC9:JE9,"A"))*4)+((COUNTIF('Elève (4ème2)'!JC9:JE9,"B"))*3)+((COUNTIF('Elève (4ème2)'!JC9:JE9,"C"))*2)+((COUNTIF('Elève (4ème2)'!JC9:JE9,"D"))*1))/(COUNTA(JC9:JE9)),"")</f>
        <v>3</v>
      </c>
      <c r="JG9" s="185" t="str">
        <f t="shared" si="52"/>
        <v>B</v>
      </c>
      <c r="JH9" s="130"/>
      <c r="JI9" s="131"/>
      <c r="JJ9" s="132"/>
      <c r="JK9" s="132"/>
      <c r="JL9" s="184" t="str">
        <f>IFERROR((((COUNTIF('Elève (4ème2)'!JH9:JK9,"A"))*4)+((COUNTIF('Elève (4ème2)'!JH9:JK9,"B"))*3)+((COUNTIF('Elève (4ème2)'!JH9:JK9,"C"))*2)+((COUNTIF('Elève (4ème2)'!JH9:JK9,"D"))*1))/(COUNTA(JH9:JK9)),"")</f>
        <v/>
      </c>
      <c r="JM9" s="185" t="str">
        <f t="shared" si="53"/>
        <v/>
      </c>
      <c r="JN9" s="130" t="s">
        <v>30</v>
      </c>
      <c r="JO9" s="219" t="s">
        <v>30</v>
      </c>
      <c r="JP9" s="219"/>
      <c r="JQ9" s="131" t="s">
        <v>30</v>
      </c>
      <c r="JR9" s="136"/>
      <c r="JS9" s="184">
        <f>IFERROR((((COUNTIF('Elève (4ème2)'!JN9:JR9,"A"))*4)+((COUNTIF('Elève (4ème2)'!JN9:JR9,"B"))*3)+((COUNTIF('Elève (4ème2)'!JN9:JR9,"C"))*2)+((COUNTIF('Elève (4ème2)'!JN9:JR9,"D"))*1))/(COUNTA(JN9:JR9)),"")</f>
        <v>3</v>
      </c>
      <c r="JT9" s="185" t="str">
        <f t="shared" si="54"/>
        <v>B</v>
      </c>
      <c r="JU9" s="184">
        <f>IF(COUNT(JF9,JL9,JS9)=0,"",SUM(JF9,JL9,JS9)/COUNT(JF9,JL9,JS9))</f>
        <v>3</v>
      </c>
      <c r="JV9" s="207" t="str">
        <f t="shared" si="55"/>
        <v>B</v>
      </c>
      <c r="JW9" s="130" t="s">
        <v>31</v>
      </c>
      <c r="JX9" s="131"/>
      <c r="JY9" s="132"/>
      <c r="JZ9" s="184">
        <f>IFERROR((((COUNTIF('Elève (4ème2)'!JW9:JY9,"A"))*4)+((COUNTIF('Elève (4ème2)'!JW9:JY9,"B"))*3)+((COUNTIF('Elève (4ème2)'!JW9:JY9,"C"))*2)+((COUNTIF('Elève (4ème2)'!JW9:JY9,"D"))*1))/(COUNTA(JW9:JY9)),"")</f>
        <v>2</v>
      </c>
      <c r="KA9" s="185" t="str">
        <f t="shared" si="56"/>
        <v>C</v>
      </c>
      <c r="KB9" s="130"/>
      <c r="KC9" s="131"/>
      <c r="KD9" s="132"/>
      <c r="KE9" s="132"/>
      <c r="KF9" s="184" t="str">
        <f>IFERROR((((COUNTIF('Elève (4ème2)'!KB9:KE9,"A"))*4)+((COUNTIF('Elève (4ème2)'!KB9:KE9,"B"))*3)+((COUNTIF('Elève (4ème2)'!KB9:KE9,"C"))*2)+((COUNTIF('Elève (4ème2)'!KB9:KE9,"D"))*1))/(COUNTA(KB9:KE9)),"")</f>
        <v/>
      </c>
      <c r="KG9" s="185" t="str">
        <f t="shared" si="57"/>
        <v/>
      </c>
      <c r="KH9" s="130" t="s">
        <v>31</v>
      </c>
      <c r="KI9" s="219" t="s">
        <v>31</v>
      </c>
      <c r="KJ9" s="219"/>
      <c r="KK9" s="131" t="s">
        <v>30</v>
      </c>
      <c r="KL9" s="136"/>
      <c r="KM9" s="184">
        <f>IFERROR((((COUNTIF('Elève (4ème2)'!KH9:KL9,"A"))*4)+((COUNTIF('Elève (4ème2)'!KH9:KL9,"B"))*3)+((COUNTIF('Elève (4ème2)'!KH9:KL9,"C"))*2)+((COUNTIF('Elève (4ème2)'!KH9:KL9,"D"))*1))/(COUNTA(KH9:KL9)),"")</f>
        <v>2.3333333333333335</v>
      </c>
      <c r="KN9" s="185" t="str">
        <f t="shared" si="58"/>
        <v>C</v>
      </c>
      <c r="KO9" s="184">
        <f>IF(COUNT(JZ9,KF9,KM9)=0,"",SUM(JZ9,KF9,KM9)/COUNT(JZ9,KF9,KM9))</f>
        <v>2.166666666666667</v>
      </c>
      <c r="KP9" s="207" t="str">
        <f t="shared" si="59"/>
        <v>C</v>
      </c>
      <c r="KQ9" s="130" t="s">
        <v>32</v>
      </c>
      <c r="KR9" s="131"/>
      <c r="KS9" s="132"/>
      <c r="KT9" s="184">
        <f>IFERROR((((COUNTIF('Elève (4ème2)'!KQ9:KS9,"A"))*4)+((COUNTIF('Elève (4ème2)'!KQ9:KS9,"B"))*3)+((COUNTIF('Elève (4ème2)'!KQ9:KS9,"C"))*2)+((COUNTIF('Elève (4ème2)'!KQ9:KS9,"D"))*1))/(COUNTA(KQ9:KS9)),"")</f>
        <v>1</v>
      </c>
      <c r="KU9" s="185" t="str">
        <f t="shared" si="60"/>
        <v>D</v>
      </c>
      <c r="KV9" s="130"/>
      <c r="KW9" s="131"/>
      <c r="KX9" s="132"/>
      <c r="KY9" s="132"/>
      <c r="KZ9" s="184" t="str">
        <f>IFERROR((((COUNTIF('Elève (4ème2)'!KV9:KY9,"A"))*4)+((COUNTIF('Elève (4ème2)'!KV9:KY9,"B"))*3)+((COUNTIF('Elève (4ème2)'!KV9:KY9,"C"))*2)+((COUNTIF('Elève (4ème2)'!KV9:KY9,"D"))*1))/(COUNTA(KV9:KY9)),"")</f>
        <v/>
      </c>
      <c r="LA9" s="185" t="str">
        <f t="shared" si="61"/>
        <v/>
      </c>
      <c r="LB9" s="130" t="s">
        <v>30</v>
      </c>
      <c r="LC9" s="219" t="s">
        <v>32</v>
      </c>
      <c r="LD9" s="219"/>
      <c r="LE9" s="131" t="s">
        <v>30</v>
      </c>
      <c r="LF9" s="136"/>
      <c r="LG9" s="184">
        <f>IFERROR((((COUNTIF('Elève (4ème2)'!LB9:LF9,"A"))*4)+((COUNTIF('Elève (4ème2)'!LB9:LF9,"B"))*3)+((COUNTIF('Elève (4ème2)'!LB9:LF9,"C"))*2)+((COUNTIF('Elève (4ème2)'!LB9:LF9,"D"))*1))/(COUNTA(LB9:LF9)),"")</f>
        <v>2.3333333333333335</v>
      </c>
      <c r="LH9" s="185" t="str">
        <f t="shared" si="62"/>
        <v>C</v>
      </c>
      <c r="LI9" s="184">
        <f>IF(COUNT(KT9,KZ9,LG9)=0,"",SUM(KT9,KZ9,LG9)/COUNT(KT9,KZ9,LG9))</f>
        <v>1.6666666666666667</v>
      </c>
      <c r="LJ9" s="207" t="str">
        <f t="shared" si="63"/>
        <v>C</v>
      </c>
      <c r="LK9" s="130" t="s">
        <v>32</v>
      </c>
      <c r="LL9" s="131"/>
      <c r="LM9" s="132"/>
      <c r="LN9" s="184">
        <f>IFERROR((((COUNTIF('Elève (4ème2)'!LK9:LM9,"A"))*4)+((COUNTIF('Elève (4ème2)'!LK9:LM9,"B"))*3)+((COUNTIF('Elève (4ème2)'!LK9:LM9,"C"))*2)+((COUNTIF('Elève (4ème2)'!LK9:LM9,"D"))*1))/(COUNTA(LK9:LM9)),"")</f>
        <v>1</v>
      </c>
      <c r="LO9" s="185" t="str">
        <f t="shared" si="64"/>
        <v>D</v>
      </c>
      <c r="LP9" s="130"/>
      <c r="LQ9" s="131"/>
      <c r="LR9" s="132"/>
      <c r="LS9" s="132"/>
      <c r="LT9" s="184" t="str">
        <f>IFERROR((((COUNTIF('Elève (4ème2)'!LP9:LS9,"A"))*4)+((COUNTIF('Elève (4ème2)'!LP9:LS9,"B"))*3)+((COUNTIF('Elève (4ème2)'!LP9:LS9,"C"))*2)+((COUNTIF('Elève (4ème2)'!LP9:LS9,"D"))*1))/(COUNTA(LP9:LS9)),"")</f>
        <v/>
      </c>
      <c r="LU9" s="185" t="str">
        <f t="shared" si="65"/>
        <v/>
      </c>
      <c r="LV9" s="130" t="s">
        <v>31</v>
      </c>
      <c r="LW9" s="219" t="s">
        <v>31</v>
      </c>
      <c r="LX9" s="219"/>
      <c r="LY9" s="131" t="s">
        <v>29</v>
      </c>
      <c r="LZ9" s="136"/>
      <c r="MA9" s="184">
        <f>IFERROR((((COUNTIF('Elève (4ème2)'!LV9:LZ9,"A"))*4)+((COUNTIF('Elève (4ème2)'!LV9:LZ9,"B"))*3)+((COUNTIF('Elève (4ème2)'!LV9:LZ9,"C"))*2)+((COUNTIF('Elève (4ème2)'!LV9:LZ9,"D"))*1))/(COUNTA(LV9:LZ9)),"")</f>
        <v>2.6666666666666665</v>
      </c>
      <c r="MB9" s="185" t="str">
        <f t="shared" si="66"/>
        <v>C</v>
      </c>
      <c r="MC9" s="184">
        <f>IF(COUNT(LN9,LT9,MA9)=0,"",SUM(LN9,LT9,MA9)/COUNT(LN9,LT9,MA9))</f>
        <v>1.8333333333333333</v>
      </c>
      <c r="MD9" s="207" t="str">
        <f t="shared" si="67"/>
        <v>C</v>
      </c>
      <c r="ME9" s="130" t="s">
        <v>32</v>
      </c>
      <c r="MF9" s="131"/>
      <c r="MG9" s="132"/>
      <c r="MH9" s="184">
        <f>IFERROR((((COUNTIF('Elève (4ème2)'!ME9:MG9,"A"))*4)+((COUNTIF('Elève (4ème2)'!ME9:MG9,"B"))*3)+((COUNTIF('Elève (4ème2)'!ME9:MG9,"C"))*2)+((COUNTIF('Elève (4ème2)'!ME9:MG9,"D"))*1))/(COUNTA(ME9:MG9)),"")</f>
        <v>1</v>
      </c>
      <c r="MI9" s="185" t="str">
        <f t="shared" si="68"/>
        <v>D</v>
      </c>
      <c r="MJ9" s="130"/>
      <c r="MK9" s="131"/>
      <c r="ML9" s="132"/>
      <c r="MM9" s="132"/>
      <c r="MN9" s="184" t="str">
        <f>IFERROR((((COUNTIF('Elève (4ème2)'!MJ9:MM9,"A"))*4)+((COUNTIF('Elève (4ème2)'!MJ9:MM9,"B"))*3)+((COUNTIF('Elève (4ème2)'!MJ9:MM9,"C"))*2)+((COUNTIF('Elève (4ème2)'!MJ9:MM9,"D"))*1))/(COUNTA(MJ9:MM9)),"")</f>
        <v/>
      </c>
      <c r="MO9" s="185" t="str">
        <f t="shared" si="69"/>
        <v/>
      </c>
      <c r="MP9" s="130" t="s">
        <v>31</v>
      </c>
      <c r="MQ9" s="219" t="s">
        <v>31</v>
      </c>
      <c r="MR9" s="219"/>
      <c r="MS9" s="131" t="s">
        <v>30</v>
      </c>
      <c r="MT9" s="136"/>
      <c r="MU9" s="184">
        <f>IFERROR((((COUNTIF('Elève (4ème2)'!MP9:MT9,"A"))*4)+((COUNTIF('Elève (4ème2)'!MP9:MT9,"B"))*3)+((COUNTIF('Elève (4ème2)'!MP9:MT9,"C"))*2)+((COUNTIF('Elève (4ème2)'!MP9:MT9,"D"))*1))/(COUNTA(MP9:MT9)),"")</f>
        <v>2.3333333333333335</v>
      </c>
      <c r="MV9" s="185" t="str">
        <f t="shared" si="70"/>
        <v>C</v>
      </c>
      <c r="MW9" s="184">
        <f>IF(COUNT(MH9,MN9,MU9)=0,"",SUM(MH9,MN9,MU9)/COUNT(MH9,MN9,MU9))</f>
        <v>1.6666666666666667</v>
      </c>
      <c r="MX9" s="207" t="str">
        <f t="shared" si="71"/>
        <v>C</v>
      </c>
      <c r="MY9" s="130" t="s">
        <v>31</v>
      </c>
      <c r="MZ9" s="131"/>
      <c r="NA9" s="132"/>
      <c r="NB9" s="184">
        <f>IFERROR((((COUNTIF('Elève (4ème2)'!MY9:NA9,"A"))*4)+((COUNTIF('Elève (4ème2)'!MY9:NA9,"B"))*3)+((COUNTIF('Elève (4ème2)'!MY9:NA9,"C"))*2)+((COUNTIF('Elève (4ème2)'!MY9:NA9,"D"))*1))/(COUNTA(MY9:NA9)),"")</f>
        <v>2</v>
      </c>
      <c r="NC9" s="185" t="str">
        <f t="shared" si="72"/>
        <v>C</v>
      </c>
      <c r="ND9" s="130"/>
      <c r="NE9" s="131"/>
      <c r="NF9" s="132"/>
      <c r="NG9" s="132"/>
      <c r="NH9" s="184" t="str">
        <f>IFERROR((((COUNTIF('Elève (4ème2)'!ND9:NG9,"A"))*4)+((COUNTIF('Elève (4ème2)'!ND9:NG9,"B"))*3)+((COUNTIF('Elève (4ème2)'!ND9:NG9,"C"))*2)+((COUNTIF('Elève (4ème2)'!ND9:NG9,"D"))*1))/(COUNTA(ND9:NG9)),"")</f>
        <v/>
      </c>
      <c r="NI9" s="185" t="str">
        <f t="shared" si="73"/>
        <v/>
      </c>
      <c r="NJ9" s="130" t="s">
        <v>31</v>
      </c>
      <c r="NK9" s="219" t="s">
        <v>31</v>
      </c>
      <c r="NL9" s="219"/>
      <c r="NM9" s="131" t="s">
        <v>30</v>
      </c>
      <c r="NN9" s="136"/>
      <c r="NO9" s="184">
        <f>IFERROR((((COUNTIF('Elève (4ème2)'!NJ9:NN9,"A"))*4)+((COUNTIF('Elève (4ème2)'!NJ9:NN9,"B"))*3)+((COUNTIF('Elève (4ème2)'!NJ9:NN9,"C"))*2)+((COUNTIF('Elève (4ème2)'!NJ9:NN9,"D"))*1))/(COUNTA(NJ9:NN9)),"")</f>
        <v>2.3333333333333335</v>
      </c>
      <c r="NP9" s="185" t="str">
        <f t="shared" si="74"/>
        <v>C</v>
      </c>
      <c r="NQ9" s="184">
        <f>IF(COUNT(NB9,NH9,NO9)=0,"",SUM(NB9,NH9,NO9)/COUNT(NB9,NH9,NO9))</f>
        <v>2.166666666666667</v>
      </c>
      <c r="NR9" s="207" t="str">
        <f t="shared" si="75"/>
        <v>C</v>
      </c>
      <c r="NS9" s="130" t="s">
        <v>30</v>
      </c>
      <c r="NT9" s="131"/>
      <c r="NU9" s="132"/>
      <c r="NV9" s="184">
        <f>IFERROR((((COUNTIF('Elève (4ème2)'!NS9:NU9,"A"))*4)+((COUNTIF('Elève (4ème2)'!NS9:NU9,"B"))*3)+((COUNTIF('Elève (4ème2)'!NS9:NU9,"C"))*2)+((COUNTIF('Elève (4ème2)'!NS9:NU9,"D"))*1))/(COUNTA(NS9:NU9)),"")</f>
        <v>3</v>
      </c>
      <c r="NW9" s="185" t="str">
        <f t="shared" si="76"/>
        <v>B</v>
      </c>
      <c r="NX9" s="130"/>
      <c r="NY9" s="131"/>
      <c r="NZ9" s="132"/>
      <c r="OA9" s="132"/>
      <c r="OB9" s="184" t="str">
        <f>IFERROR((((COUNTIF('Elève (4ème2)'!NX9:OA9,"A"))*4)+((COUNTIF('Elève (4ème2)'!NX9:OA9,"B"))*3)+((COUNTIF('Elève (4ème2)'!NX9:OA9,"C"))*2)+((COUNTIF('Elève (4ème2)'!NX9:OA9,"D"))*1))/(COUNTA(NX9:OA9)),"")</f>
        <v/>
      </c>
      <c r="OC9" s="185" t="str">
        <f t="shared" si="77"/>
        <v/>
      </c>
      <c r="OD9" s="130" t="s">
        <v>30</v>
      </c>
      <c r="OE9" s="219" t="s">
        <v>30</v>
      </c>
      <c r="OF9" s="219"/>
      <c r="OG9" s="131" t="s">
        <v>30</v>
      </c>
      <c r="OH9" s="136"/>
      <c r="OI9" s="184">
        <f>IFERROR((((COUNTIF('Elève (4ème2)'!OD9:OH9,"A"))*4)+((COUNTIF('Elève (4ème2)'!OD9:OH9,"B"))*3)+((COUNTIF('Elève (4ème2)'!OD9:OH9,"C"))*2)+((COUNTIF('Elève (4ème2)'!OD9:OH9,"D"))*1))/(COUNTA(OD9:OH9)),"")</f>
        <v>3</v>
      </c>
      <c r="OJ9" s="185" t="str">
        <f t="shared" si="78"/>
        <v>B</v>
      </c>
      <c r="OK9" s="184">
        <f>IF(COUNT(NV9,OB9,OI9)=0,"",SUM(NV9,OB9,OI9)/COUNT(NV9,OB9,OI9))</f>
        <v>3</v>
      </c>
      <c r="OL9" s="207" t="str">
        <f t="shared" si="79"/>
        <v>B</v>
      </c>
      <c r="OM9" s="130" t="s">
        <v>31</v>
      </c>
      <c r="ON9" s="131"/>
      <c r="OO9" s="132"/>
      <c r="OP9" s="184">
        <f>IFERROR((((COUNTIF('Elève (4ème2)'!OM9:OO9,"A"))*4)+((COUNTIF('Elève (4ème2)'!OM9:OO9,"B"))*3)+((COUNTIF('Elève (4ème2)'!OM9:OO9,"C"))*2)+((COUNTIF('Elève (4ème2)'!OM9:OO9,"D"))*1))/(COUNTA(OM9:OO9)),"")</f>
        <v>2</v>
      </c>
      <c r="OQ9" s="185" t="str">
        <f t="shared" si="80"/>
        <v>C</v>
      </c>
      <c r="OR9" s="130"/>
      <c r="OS9" s="131"/>
      <c r="OT9" s="132"/>
      <c r="OU9" s="132"/>
      <c r="OV9" s="184" t="str">
        <f>IFERROR((((COUNTIF('Elève (4ème2)'!OR9:OU9,"A"))*4)+((COUNTIF('Elève (4ème2)'!OR9:OU9,"B"))*3)+((COUNTIF('Elève (4ème2)'!OR9:OU9,"C"))*2)+((COUNTIF('Elève (4ème2)'!OR9:OU9,"D"))*1))/(COUNTA(OR9:OU9)),"")</f>
        <v/>
      </c>
      <c r="OW9" s="185" t="str">
        <f t="shared" si="81"/>
        <v/>
      </c>
      <c r="OX9" s="130" t="s">
        <v>31</v>
      </c>
      <c r="OY9" s="219" t="s">
        <v>30</v>
      </c>
      <c r="OZ9" s="219"/>
      <c r="PA9" s="131" t="s">
        <v>30</v>
      </c>
      <c r="PB9" s="136"/>
      <c r="PC9" s="184">
        <f>IFERROR((((COUNTIF('Elève (4ème2)'!OX9:PB9,"A"))*4)+((COUNTIF('Elève (4ème2)'!OX9:PB9,"B"))*3)+((COUNTIF('Elève (4ème2)'!OX9:PB9,"C"))*2)+((COUNTIF('Elève (4ème2)'!OX9:PB9,"D"))*1))/(COUNTA(OX9:PB9)),"")</f>
        <v>2.6666666666666665</v>
      </c>
      <c r="PD9" s="185" t="str">
        <f t="shared" si="82"/>
        <v>C</v>
      </c>
      <c r="PE9" s="184">
        <f>IF(COUNT(OP9,OV9,PC9)=0,"",SUM(OP9,OV9,PC9)/COUNT(OP9,OV9,PC9))</f>
        <v>2.333333333333333</v>
      </c>
      <c r="PF9" s="207" t="str">
        <f t="shared" si="83"/>
        <v>C</v>
      </c>
      <c r="PG9" s="130" t="s">
        <v>32</v>
      </c>
      <c r="PH9" s="131"/>
      <c r="PI9" s="132"/>
      <c r="PJ9" s="184">
        <f>IFERROR((((COUNTIF('Elève (4ème2)'!PG9:PI9,"A"))*4)+((COUNTIF('Elève (4ème2)'!PG9:PI9,"B"))*3)+((COUNTIF('Elève (4ème2)'!PG9:PI9,"C"))*2)+((COUNTIF('Elève (4ème2)'!PG9:PI9,"D"))*1))/(COUNTA(PG9:PI9)),"")</f>
        <v>1</v>
      </c>
      <c r="PK9" s="185" t="str">
        <f t="shared" si="84"/>
        <v>D</v>
      </c>
      <c r="PL9" s="130"/>
      <c r="PM9" s="131"/>
      <c r="PN9" s="132"/>
      <c r="PO9" s="132"/>
      <c r="PP9" s="184" t="str">
        <f>IFERROR((((COUNTIF('Elève (4ème2)'!PL9:PO9,"A"))*4)+((COUNTIF('Elève (4ème2)'!PL9:PO9,"B"))*3)+((COUNTIF('Elève (4ème2)'!PL9:PO9,"C"))*2)+((COUNTIF('Elève (4ème2)'!PL9:PO9,"D"))*1))/(COUNTA(PL9:PO9)),"")</f>
        <v/>
      </c>
      <c r="PQ9" s="185" t="str">
        <f t="shared" si="85"/>
        <v/>
      </c>
      <c r="PR9" s="130" t="s">
        <v>31</v>
      </c>
      <c r="PS9" s="219" t="s">
        <v>32</v>
      </c>
      <c r="PT9" s="219"/>
      <c r="PU9" s="131" t="s">
        <v>32</v>
      </c>
      <c r="PV9" s="136"/>
      <c r="PW9" s="184">
        <f>IFERROR((((COUNTIF('Elève (4ème2)'!PR9:PV9,"A"))*4)+((COUNTIF('Elève (4ème2)'!PR9:PV9,"B"))*3)+((COUNTIF('Elève (4ème2)'!PR9:PV9,"C"))*2)+((COUNTIF('Elève (4ème2)'!PR9:PV9,"D"))*1))/(COUNTA(PR9:PV9)),"")</f>
        <v>1.3333333333333333</v>
      </c>
      <c r="PX9" s="185" t="str">
        <f t="shared" si="86"/>
        <v>D</v>
      </c>
      <c r="PY9" s="184">
        <f>IF(COUNT(PJ9,PP9,PW9)=0,"",SUM(PJ9,PP9,PW9)/COUNT(PJ9,PP9,PW9))</f>
        <v>1.1666666666666665</v>
      </c>
      <c r="PZ9" s="207" t="str">
        <f t="shared" si="87"/>
        <v>D</v>
      </c>
      <c r="QA9" s="130" t="s">
        <v>30</v>
      </c>
      <c r="QB9" s="131"/>
      <c r="QC9" s="132"/>
      <c r="QD9" s="184">
        <f>IFERROR((((COUNTIF('Elève (4ème2)'!QA9:QC9,"A"))*4)+((COUNTIF('Elève (4ème2)'!QA9:QC9,"B"))*3)+((COUNTIF('Elève (4ème2)'!QA9:QC9,"C"))*2)+((COUNTIF('Elève (4ème2)'!QA9:QC9,"D"))*1))/(COUNTA(QA9:QC9)),"")</f>
        <v>3</v>
      </c>
      <c r="QE9" s="185" t="str">
        <f t="shared" si="88"/>
        <v>B</v>
      </c>
      <c r="QF9" s="130"/>
      <c r="QG9" s="131"/>
      <c r="QH9" s="132"/>
      <c r="QI9" s="132"/>
      <c r="QJ9" s="184" t="str">
        <f>IFERROR((((COUNTIF('Elève (4ème2)'!QF9:QI9,"A"))*4)+((COUNTIF('Elève (4ème2)'!QF9:QI9,"B"))*3)+((COUNTIF('Elève (4ème2)'!QF9:QI9,"C"))*2)+((COUNTIF('Elève (4ème2)'!QF9:QI9,"D"))*1))/(COUNTA(QF9:QI9)),"")</f>
        <v/>
      </c>
      <c r="QK9" s="185" t="str">
        <f t="shared" si="89"/>
        <v/>
      </c>
      <c r="QL9" s="130" t="s">
        <v>31</v>
      </c>
      <c r="QM9" s="219" t="s">
        <v>31</v>
      </c>
      <c r="QN9" s="219"/>
      <c r="QO9" s="131" t="s">
        <v>31</v>
      </c>
      <c r="QP9" s="136"/>
      <c r="QQ9" s="184">
        <f>IFERROR((((COUNTIF('Elève (4ème2)'!QL9:QP9,"A"))*4)+((COUNTIF('Elève (4ème2)'!QL9:QP9,"B"))*3)+((COUNTIF('Elève (4ème2)'!QL9:QP9,"C"))*2)+((COUNTIF('Elève (4ème2)'!QL9:QP9,"D"))*1))/(COUNTA(QL9:QP9)),"")</f>
        <v>2</v>
      </c>
      <c r="QR9" s="185" t="str">
        <f t="shared" si="90"/>
        <v>C</v>
      </c>
      <c r="QS9" s="184">
        <f>IF(COUNT(QD9,QJ9,QQ9)=0,"",SUM(QD9,QJ9,QQ9)/COUNT(QD9,QJ9,QQ9))</f>
        <v>2.5</v>
      </c>
      <c r="QT9" s="207" t="str">
        <f t="shared" si="91"/>
        <v>C</v>
      </c>
      <c r="QU9" s="130" t="s">
        <v>31</v>
      </c>
      <c r="QV9" s="131"/>
      <c r="QW9" s="132"/>
      <c r="QX9" s="184">
        <f>IFERROR((((COUNTIF('Elève (4ème2)'!QU9:QW9,"A"))*4)+((COUNTIF('Elève (4ème2)'!QU9:QW9,"B"))*3)+((COUNTIF('Elève (4ème2)'!QU9:QW9,"C"))*2)+((COUNTIF('Elève (4ème2)'!QU9:QW9,"D"))*1))/(COUNTA(QU9:QW9)),"")</f>
        <v>2</v>
      </c>
      <c r="QY9" s="185" t="str">
        <f t="shared" si="92"/>
        <v>C</v>
      </c>
      <c r="QZ9" s="130"/>
      <c r="RA9" s="131"/>
      <c r="RB9" s="132"/>
      <c r="RC9" s="132"/>
      <c r="RD9" s="184" t="str">
        <f>IFERROR((((COUNTIF('Elève (4ème2)'!QZ9:RC9,"A"))*4)+((COUNTIF('Elève (4ème2)'!QZ9:RC9,"B"))*3)+((COUNTIF('Elève (4ème2)'!QZ9:RC9,"C"))*2)+((COUNTIF('Elève (4ème2)'!QZ9:RC9,"D"))*1))/(COUNTA(QZ9:RC9)),"")</f>
        <v/>
      </c>
      <c r="RE9" s="185" t="str">
        <f t="shared" si="93"/>
        <v/>
      </c>
      <c r="RF9" s="130" t="s">
        <v>31</v>
      </c>
      <c r="RG9" s="219" t="s">
        <v>30</v>
      </c>
      <c r="RH9" s="219"/>
      <c r="RI9" s="131" t="s">
        <v>30</v>
      </c>
      <c r="RJ9" s="136"/>
      <c r="RK9" s="184">
        <f>IFERROR((((COUNTIF('Elève (4ème2)'!RF9:RJ9,"A"))*4)+((COUNTIF('Elève (4ème2)'!RF9:RJ9,"B"))*3)+((COUNTIF('Elève (4ème2)'!RF9:RJ9,"C"))*2)+((COUNTIF('Elève (4ème2)'!RF9:RJ9,"D"))*1))/(COUNTA(RF9:RJ9)),"")</f>
        <v>2.6666666666666665</v>
      </c>
      <c r="RL9" s="185" t="str">
        <f t="shared" si="94"/>
        <v>C</v>
      </c>
      <c r="RM9" s="184">
        <f>IF(COUNT(QX9,RD9,RK9)=0,"",SUM(QX9,RD9,RK9)/COUNT(QX9,RD9,RK9))</f>
        <v>2.333333333333333</v>
      </c>
      <c r="RN9" s="207" t="str">
        <f t="shared" si="95"/>
        <v>C</v>
      </c>
      <c r="RO9" s="130" t="s">
        <v>30</v>
      </c>
      <c r="RP9" s="131"/>
      <c r="RQ9" s="132"/>
      <c r="RR9" s="184">
        <f>IFERROR((((COUNTIF('Elève (4ème2)'!RO9:RQ9,"A"))*4)+((COUNTIF('Elève (4ème2)'!RO9:RQ9,"B"))*3)+((COUNTIF('Elève (4ème2)'!RO9:RQ9,"C"))*2)+((COUNTIF('Elève (4ème2)'!RO9:RQ9,"D"))*1))/(COUNTA(RO9:RQ9)),"")</f>
        <v>3</v>
      </c>
      <c r="RS9" s="185" t="str">
        <f t="shared" si="96"/>
        <v>B</v>
      </c>
      <c r="RT9" s="130"/>
      <c r="RU9" s="131"/>
      <c r="RV9" s="132"/>
      <c r="RW9" s="132"/>
      <c r="RX9" s="184" t="str">
        <f>IFERROR((((COUNTIF('Elève (4ème2)'!RT9:RW9,"A"))*4)+((COUNTIF('Elève (4ème2)'!RT9:RW9,"B"))*3)+((COUNTIF('Elève (4ème2)'!RT9:RW9,"C"))*2)+((COUNTIF('Elève (4ème2)'!RT9:RW9,"D"))*1))/(COUNTA(RT9:RW9)),"")</f>
        <v/>
      </c>
      <c r="RY9" s="185" t="str">
        <f t="shared" si="97"/>
        <v/>
      </c>
      <c r="RZ9" s="130" t="s">
        <v>30</v>
      </c>
      <c r="SA9" s="219" t="s">
        <v>31</v>
      </c>
      <c r="SB9" s="219"/>
      <c r="SC9" s="131" t="s">
        <v>29</v>
      </c>
      <c r="SD9" s="136"/>
      <c r="SE9" s="184">
        <f>IFERROR((((COUNTIF('Elève (4ème2)'!RZ9:SD9,"A"))*4)+((COUNTIF('Elève (4ème2)'!RZ9:SD9,"B"))*3)+((COUNTIF('Elève (4ème2)'!RZ9:SD9,"C"))*2)+((COUNTIF('Elève (4ème2)'!RZ9:SD9,"D"))*1))/(COUNTA(RZ9:SD9)),"")</f>
        <v>3</v>
      </c>
      <c r="SF9" s="185" t="str">
        <f t="shared" si="98"/>
        <v>B</v>
      </c>
      <c r="SG9" s="184">
        <f>IF(COUNT(RR9,RX9,SE9)=0,"",SUM(RR9,RX9,SE9)/COUNT(RR9,RX9,SE9))</f>
        <v>3</v>
      </c>
      <c r="SH9" s="207" t="str">
        <f t="shared" si="99"/>
        <v>B</v>
      </c>
      <c r="SI9" s="130" t="s">
        <v>31</v>
      </c>
      <c r="SJ9" s="131"/>
      <c r="SK9" s="132"/>
      <c r="SL9" s="184">
        <f>IFERROR((((COUNTIF('Elève (4ème2)'!SI9:SK9,"A"))*4)+((COUNTIF('Elève (4ème2)'!SI9:SK9,"B"))*3)+((COUNTIF('Elève (4ème2)'!SI9:SK9,"C"))*2)+((COUNTIF('Elève (4ème2)'!SI9:SK9,"D"))*1))/(COUNTA(SI9:SK9)),"")</f>
        <v>2</v>
      </c>
      <c r="SM9" s="185" t="str">
        <f t="shared" si="100"/>
        <v>C</v>
      </c>
      <c r="SN9" s="130"/>
      <c r="SO9" s="131"/>
      <c r="SP9" s="132"/>
      <c r="SQ9" s="132"/>
      <c r="SR9" s="184" t="str">
        <f>IFERROR((((COUNTIF('Elève (4ème2)'!SN9:SQ9,"A"))*4)+((COUNTIF('Elève (4ème2)'!SN9:SQ9,"B"))*3)+((COUNTIF('Elève (4ème2)'!SN9:SQ9,"C"))*2)+((COUNTIF('Elève (4ème2)'!SN9:SQ9,"D"))*1))/(COUNTA(SN9:SQ9)),"")</f>
        <v/>
      </c>
      <c r="SS9" s="185" t="str">
        <f t="shared" si="101"/>
        <v/>
      </c>
      <c r="ST9" s="130" t="s">
        <v>31</v>
      </c>
      <c r="SU9" s="219" t="s">
        <v>30</v>
      </c>
      <c r="SV9" s="219"/>
      <c r="SW9" s="131" t="s">
        <v>30</v>
      </c>
      <c r="SX9" s="136"/>
      <c r="SY9" s="184">
        <f>IFERROR((((COUNTIF('Elève (4ème2)'!ST9:SX9,"A"))*4)+((COUNTIF('Elève (4ème2)'!ST9:SX9,"B"))*3)+((COUNTIF('Elève (4ème2)'!ST9:SX9,"C"))*2)+((COUNTIF('Elève (4ème2)'!ST9:SX9,"D"))*1))/(COUNTA(ST9:SX9)),"")</f>
        <v>2.6666666666666665</v>
      </c>
      <c r="SZ9" s="185" t="str">
        <f t="shared" si="102"/>
        <v>C</v>
      </c>
      <c r="TA9" s="184">
        <f>IF(COUNT(SL9,SR9,SY9)=0,"",SUM(SL9,SR9,SY9)/COUNT(SL9,SR9,SY9))</f>
        <v>2.333333333333333</v>
      </c>
      <c r="TB9" s="207" t="str">
        <f t="shared" si="103"/>
        <v>C</v>
      </c>
      <c r="TC9" s="130" t="s">
        <v>30</v>
      </c>
      <c r="TD9" s="131"/>
      <c r="TE9" s="132"/>
      <c r="TF9" s="184">
        <f>IFERROR((((COUNTIF('Elève (4ème2)'!TC9:TE9,"A"))*4)+((COUNTIF('Elève (4ème2)'!TC9:TE9,"B"))*3)+((COUNTIF('Elève (4ème2)'!TC9:TE9,"C"))*2)+((COUNTIF('Elève (4ème2)'!TC9:TE9,"D"))*1))/(COUNTA(TC9:TE9)),"")</f>
        <v>3</v>
      </c>
      <c r="TG9" s="185" t="str">
        <f t="shared" si="104"/>
        <v>B</v>
      </c>
      <c r="TH9" s="130"/>
      <c r="TI9" s="131"/>
      <c r="TJ9" s="132"/>
      <c r="TK9" s="132"/>
      <c r="TL9" s="184" t="str">
        <f>IFERROR((((COUNTIF('Elève (4ème2)'!TH9:TK9,"A"))*4)+((COUNTIF('Elève (4ème2)'!TH9:TK9,"B"))*3)+((COUNTIF('Elève (4ème2)'!TH9:TK9,"C"))*2)+((COUNTIF('Elève (4ème2)'!TH9:TK9,"D"))*1))/(COUNTA(TH9:TK9)),"")</f>
        <v/>
      </c>
      <c r="TM9" s="185" t="str">
        <f t="shared" si="105"/>
        <v/>
      </c>
      <c r="TN9" s="130" t="s">
        <v>30</v>
      </c>
      <c r="TO9" s="219" t="s">
        <v>30</v>
      </c>
      <c r="TP9" s="219"/>
      <c r="TQ9" s="131" t="s">
        <v>29</v>
      </c>
      <c r="TR9" s="136"/>
      <c r="TS9" s="184">
        <f>IFERROR((((COUNTIF('Elève (4ème2)'!TN9:TR9,"A"))*4)+((COUNTIF('Elève (4ème2)'!TN9:TR9,"B"))*3)+((COUNTIF('Elève (4ème2)'!TN9:TR9,"C"))*2)+((COUNTIF('Elève (4ème2)'!TN9:TR9,"D"))*1))/(COUNTA(TN9:TR9)),"")</f>
        <v>3.3333333333333335</v>
      </c>
      <c r="TT9" s="185" t="str">
        <f t="shared" si="106"/>
        <v>B</v>
      </c>
      <c r="TU9" s="184">
        <f>IF(COUNT(TF9,TL9,TS9)=0,"",SUM(TF9,TL9,TS9)/COUNT(TF9,TL9,TS9))</f>
        <v>3.166666666666667</v>
      </c>
      <c r="TV9" s="207" t="str">
        <f t="shared" si="107"/>
        <v>B</v>
      </c>
      <c r="TW9" s="130"/>
      <c r="TX9" s="131"/>
      <c r="TY9" s="132"/>
      <c r="TZ9" s="133" t="str">
        <f>IFERROR((((COUNTIF('Elève (4ème2)'!TW9:TY9,"A"))*4)+((COUNTIF('Elève (4ème2)'!TW9:TY9,"B"))*3)+((COUNTIF('Elève (4ème2)'!TW9:TY9,"C"))*2)+((COUNTIF('Elève (4ème2)'!TW9:TY9,"D"))*1))/(COUNTA(TW9:TY9)),"")</f>
        <v/>
      </c>
      <c r="UA9" s="134" t="str">
        <f t="shared" si="108"/>
        <v/>
      </c>
      <c r="UB9" s="130"/>
      <c r="UC9" s="131"/>
      <c r="UD9" s="132"/>
      <c r="UE9" s="133" t="str">
        <f>IFERROR((((COUNTIF('Elève (4ème2)'!UB9:UD9,"A"))*4)+((COUNTIF('Elève (4ème2)'!UB9:UD9,"B"))*3)+((COUNTIF('Elève (4ème2)'!UB9:UD9,"C"))*2)+((COUNTIF('Elève (4ème2)'!UB9:UD9,"D"))*1))/(COUNTA(UB9:UD9)),"")</f>
        <v/>
      </c>
      <c r="UF9" s="134" t="str">
        <f t="shared" si="109"/>
        <v/>
      </c>
      <c r="UG9" s="130"/>
      <c r="UH9" s="131"/>
      <c r="UI9" s="136"/>
      <c r="UJ9" s="133" t="str">
        <f>IFERROR((((COUNTIF('Elève (4ème2)'!UG9:UI9,"A"))*4)+((COUNTIF('Elève (4ème2)'!UG9:UI9,"B"))*3)+((COUNTIF('Elève (4ème2)'!UG9:UI9,"C"))*2)+((COUNTIF('Elève (4ème2)'!UG9:UI9,"D"))*1))/(COUNTA(UG9:UI9)),"")</f>
        <v/>
      </c>
      <c r="UK9" s="134" t="str">
        <f t="shared" si="110"/>
        <v/>
      </c>
      <c r="UL9" s="133" t="str">
        <f>IF(COUNT(TZ9,UE9,UJ9)=0,"",SUM(TZ9,UE9,UJ9)/COUNT(TZ9,UE9,UJ9))</f>
        <v/>
      </c>
      <c r="UM9" s="135" t="str">
        <f t="shared" si="111"/>
        <v/>
      </c>
      <c r="UN9" s="130"/>
      <c r="UO9" s="131"/>
      <c r="UP9" s="132"/>
      <c r="UQ9" s="133" t="str">
        <f>IFERROR((((COUNTIF('Elève (4ème2)'!UN9:UP9,"A"))*4)+((COUNTIF('Elève (4ème2)'!UN9:UP9,"B"))*3)+((COUNTIF('Elève (4ème2)'!UN9:UP9,"C"))*2)+((COUNTIF('Elève (4ème2)'!UN9:UP9,"D"))*1))/(COUNTA(UN9:UP9)),"")</f>
        <v/>
      </c>
      <c r="UR9" s="134" t="str">
        <f t="shared" si="112"/>
        <v/>
      </c>
      <c r="US9" s="130"/>
      <c r="UT9" s="131"/>
      <c r="UU9" s="132"/>
      <c r="UV9" s="133" t="str">
        <f>IFERROR((((COUNTIF('Elève (4ème2)'!US9:UU9,"A"))*4)+((COUNTIF('Elève (4ème2)'!US9:UU9,"B"))*3)+((COUNTIF('Elève (4ème2)'!US9:UU9,"C"))*2)+((COUNTIF('Elève (4ème2)'!US9:UU9,"D"))*1))/(COUNTA(US9:UU9)),"")</f>
        <v/>
      </c>
      <c r="UW9" s="134" t="str">
        <f t="shared" si="113"/>
        <v/>
      </c>
      <c r="UX9" s="130"/>
      <c r="UY9" s="131"/>
      <c r="UZ9" s="136"/>
      <c r="VA9" s="133" t="str">
        <f>IFERROR((((COUNTIF('Elève (4ème2)'!UX9:UZ9,"A"))*4)+((COUNTIF('Elève (4ème2)'!UX9:UZ9,"B"))*3)+((COUNTIF('Elève (4ème2)'!UX9:UZ9,"C"))*2)+((COUNTIF('Elève (4ème2)'!UX9:UZ9,"D"))*1))/(COUNTA(UX9:UZ9)),"")</f>
        <v/>
      </c>
      <c r="VB9" s="134" t="str">
        <f t="shared" si="114"/>
        <v/>
      </c>
      <c r="VC9" s="133" t="str">
        <f>IF(COUNT(UQ9,UV9,VA9)=0,"",SUM(UQ9,UV9,VA9)/COUNT(UQ9,UV9,VA9))</f>
        <v/>
      </c>
      <c r="VD9" s="135" t="str">
        <f t="shared" si="115"/>
        <v/>
      </c>
      <c r="VE9" s="130"/>
      <c r="VF9" s="131"/>
      <c r="VG9" s="132"/>
      <c r="VH9" s="133" t="str">
        <f>IFERROR((((COUNTIF('Elève (4ème2)'!VE9:VG9,"A"))*4)+((COUNTIF('Elève (4ème2)'!VE9:VG9,"B"))*3)+((COUNTIF('Elève (4ème2)'!VE9:VG9,"C"))*2)+((COUNTIF('Elève (4ème2)'!VE9:VG9,"D"))*1))/(COUNTA(VE9:VG9)),"")</f>
        <v/>
      </c>
      <c r="VI9" s="134" t="str">
        <f t="shared" si="116"/>
        <v/>
      </c>
      <c r="VJ9" s="130"/>
      <c r="VK9" s="131"/>
      <c r="VL9" s="132"/>
      <c r="VM9" s="133" t="str">
        <f>IFERROR((((COUNTIF('Elève (4ème2)'!VJ9:VL9,"A"))*4)+((COUNTIF('Elève (4ème2)'!VJ9:VL9,"B"))*3)+((COUNTIF('Elève (4ème2)'!VJ9:VL9,"C"))*2)+((COUNTIF('Elève (4ème2)'!VJ9:VL9,"D"))*1))/(COUNTA(VJ9:VL9)),"")</f>
        <v/>
      </c>
      <c r="VN9" s="134" t="str">
        <f t="shared" si="117"/>
        <v/>
      </c>
      <c r="VO9" s="130"/>
      <c r="VP9" s="131"/>
      <c r="VQ9" s="136"/>
      <c r="VR9" s="133" t="str">
        <f>IFERROR((((COUNTIF('Elève (4ème2)'!VO9:VQ9,"A"))*4)+((COUNTIF('Elève (4ème2)'!VO9:VQ9,"B"))*3)+((COUNTIF('Elève (4ème2)'!VO9:VQ9,"C"))*2)+((COUNTIF('Elève (4ème2)'!VO9:VQ9,"D"))*1))/(COUNTA(VO9:VQ9)),"")</f>
        <v/>
      </c>
      <c r="VS9" s="134" t="str">
        <f t="shared" si="118"/>
        <v/>
      </c>
      <c r="VT9" s="133" t="str">
        <f>IF(COUNT(VH9,VM9,VR9)=0,"",SUM(VH9,VM9,VR9)/COUNT(VH9,VM9,VR9))</f>
        <v/>
      </c>
      <c r="VU9" s="135" t="str">
        <f t="shared" si="119"/>
        <v/>
      </c>
    </row>
    <row r="10" spans="1:593" s="138" customFormat="1" ht="17.25" customHeight="1" thickBot="1" x14ac:dyDescent="0.6">
      <c r="A10" s="164" t="s">
        <v>17</v>
      </c>
      <c r="B10" s="103">
        <v>1</v>
      </c>
      <c r="C10" s="172"/>
      <c r="D10" s="110"/>
      <c r="E10" s="111"/>
      <c r="F10" s="178">
        <f>IF(COUNT(F11:F12)=0,"",SUM(F11:F12)/COUNT(F11:F12))</f>
        <v>1</v>
      </c>
      <c r="G10" s="179" t="str">
        <f t="shared" si="0"/>
        <v>D</v>
      </c>
      <c r="H10" s="172"/>
      <c r="I10" s="110"/>
      <c r="J10" s="110"/>
      <c r="K10" s="111"/>
      <c r="L10" s="178">
        <f>IF(COUNT(L11,L12)=0,"",SUM(L11:L12)/COUNT(L11,L12))</f>
        <v>3</v>
      </c>
      <c r="M10" s="194" t="str">
        <f t="shared" si="1"/>
        <v>B</v>
      </c>
      <c r="N10" s="172"/>
      <c r="O10" s="110"/>
      <c r="P10" s="110"/>
      <c r="Q10" s="110"/>
      <c r="R10" s="111"/>
      <c r="S10" s="178">
        <f>IF(COUNT(S11,S12)=0,"",SUM(S11:S12)/COUNT(S11,S12))</f>
        <v>3</v>
      </c>
      <c r="T10" s="202" t="str">
        <f t="shared" si="2"/>
        <v>B</v>
      </c>
      <c r="U10" s="203">
        <f>IF(COUNT(U11:U12)=0,"",SUM(U11:U12)/COUNT(U11:U12))</f>
        <v>2.666666666666667</v>
      </c>
      <c r="V10" s="204" t="str">
        <f t="shared" si="3"/>
        <v>C</v>
      </c>
      <c r="W10" s="214"/>
      <c r="X10" s="110"/>
      <c r="Y10" s="111"/>
      <c r="Z10" s="178">
        <f>IF(COUNT(Z11:Z12)=0,"",SUM(Z11:Z12)/COUNT(Z11:Z12))</f>
        <v>2</v>
      </c>
      <c r="AA10" s="179" t="str">
        <f t="shared" si="4"/>
        <v>C</v>
      </c>
      <c r="AB10" s="172"/>
      <c r="AC10" s="110"/>
      <c r="AD10" s="110"/>
      <c r="AE10" s="111"/>
      <c r="AF10" s="178">
        <f>IF(COUNT(AF11,AF12)=0,"",SUM(AF11:AF12)/COUNT(AF11,AF12))</f>
        <v>2</v>
      </c>
      <c r="AG10" s="194" t="str">
        <f t="shared" si="5"/>
        <v>C</v>
      </c>
      <c r="AH10" s="172"/>
      <c r="AI10" s="110"/>
      <c r="AJ10" s="110"/>
      <c r="AK10" s="110"/>
      <c r="AL10" s="111"/>
      <c r="AM10" s="178">
        <f>IF(COUNT(AM11,AM12)=0,"",SUM(AM11:AM12)/COUNT(AM11,AM12))</f>
        <v>3.875</v>
      </c>
      <c r="AN10" s="202" t="str">
        <f t="shared" si="6"/>
        <v>A</v>
      </c>
      <c r="AO10" s="203">
        <f>IF(COUNT(AO11:AO12)=0,"",SUM(AO11:AO12)/COUNT(AO11:AO12))</f>
        <v>3.291666666666667</v>
      </c>
      <c r="AP10" s="204" t="str">
        <f t="shared" si="7"/>
        <v>B</v>
      </c>
      <c r="AQ10" s="214"/>
      <c r="AR10" s="110"/>
      <c r="AS10" s="111"/>
      <c r="AT10" s="178">
        <f>IF(COUNT(AT11:AT12)=0,"",SUM(AT11:AT12)/COUNT(AT11:AT12))</f>
        <v>3</v>
      </c>
      <c r="AU10" s="179" t="str">
        <f t="shared" si="8"/>
        <v>B</v>
      </c>
      <c r="AV10" s="172"/>
      <c r="AW10" s="110"/>
      <c r="AX10" s="110"/>
      <c r="AY10" s="111"/>
      <c r="AZ10" s="178">
        <f>IF(COUNT(AZ11,AZ12)=0,"",SUM(AZ11:AZ12)/COUNT(AZ11,AZ12))</f>
        <v>3</v>
      </c>
      <c r="BA10" s="194" t="str">
        <f t="shared" si="9"/>
        <v>B</v>
      </c>
      <c r="BB10" s="172"/>
      <c r="BC10" s="110"/>
      <c r="BD10" s="110"/>
      <c r="BE10" s="110"/>
      <c r="BF10" s="111"/>
      <c r="BG10" s="178">
        <f>IF(COUNT(BG11,BG12)=0,"",SUM(BG11:BG12)/COUNT(BG11,BG12))</f>
        <v>3.5</v>
      </c>
      <c r="BH10" s="202" t="str">
        <f t="shared" si="10"/>
        <v>B</v>
      </c>
      <c r="BI10" s="203">
        <f>IF(COUNT(BI11:BI12)=0,"",SUM(BI11:BI12)/COUNT(BI11:BI12))</f>
        <v>3.5</v>
      </c>
      <c r="BJ10" s="204" t="str">
        <f t="shared" si="11"/>
        <v>B</v>
      </c>
      <c r="BK10" s="214"/>
      <c r="BL10" s="110"/>
      <c r="BM10" s="111"/>
      <c r="BN10" s="178">
        <f>IF(COUNT(BN11:BN12)=0,"",SUM(BN11:BN12)/COUNT(BN11:BN12))</f>
        <v>3</v>
      </c>
      <c r="BO10" s="179" t="str">
        <f t="shared" si="12"/>
        <v>B</v>
      </c>
      <c r="BP10" s="172"/>
      <c r="BQ10" s="110"/>
      <c r="BR10" s="110"/>
      <c r="BS10" s="111"/>
      <c r="BT10" s="178">
        <f>IF(COUNT(BT11,BT12)=0,"",SUM(BT11:BT12)/COUNT(BT11,BT12))</f>
        <v>3</v>
      </c>
      <c r="BU10" s="194" t="str">
        <f t="shared" si="13"/>
        <v>B</v>
      </c>
      <c r="BV10" s="172"/>
      <c r="BW10" s="110"/>
      <c r="BX10" s="110"/>
      <c r="BY10" s="110"/>
      <c r="BZ10" s="111"/>
      <c r="CA10" s="178">
        <f>IF(COUNT(CA11,CA12)=0,"",SUM(CA11:CA12)/COUNT(CA11,CA12))</f>
        <v>3.625</v>
      </c>
      <c r="CB10" s="202" t="str">
        <f t="shared" si="14"/>
        <v>B</v>
      </c>
      <c r="CC10" s="203">
        <f>IF(COUNT(CC11:CC12)=0,"",SUM(CC11:CC12)/COUNT(CC11:CC12))</f>
        <v>3.541666666666667</v>
      </c>
      <c r="CD10" s="204" t="str">
        <f t="shared" si="15"/>
        <v>B</v>
      </c>
      <c r="CE10" s="214"/>
      <c r="CF10" s="110"/>
      <c r="CG10" s="111"/>
      <c r="CH10" s="178">
        <f>IF(COUNT(CH11:CH12)=0,"",SUM(CH11:CH12)/COUNT(CH11:CH12))</f>
        <v>3</v>
      </c>
      <c r="CI10" s="179" t="str">
        <f t="shared" si="16"/>
        <v>B</v>
      </c>
      <c r="CJ10" s="172"/>
      <c r="CK10" s="110"/>
      <c r="CL10" s="110"/>
      <c r="CM10" s="111"/>
      <c r="CN10" s="178">
        <f>IF(COUNT(CN11,CN12)=0,"",SUM(CN11:CN12)/COUNT(CN11,CN12))</f>
        <v>3</v>
      </c>
      <c r="CO10" s="194" t="str">
        <f t="shared" si="17"/>
        <v>B</v>
      </c>
      <c r="CP10" s="172"/>
      <c r="CQ10" s="110"/>
      <c r="CR10" s="110"/>
      <c r="CS10" s="110"/>
      <c r="CT10" s="111"/>
      <c r="CU10" s="178">
        <f>IF(COUNT(CU11,CU12)=0,"",SUM(CU11:CU12)/COUNT(CU11,CU12))</f>
        <v>4</v>
      </c>
      <c r="CV10" s="202" t="str">
        <f t="shared" si="18"/>
        <v>A</v>
      </c>
      <c r="CW10" s="203">
        <f>IF(COUNT(CW11:CW12)=0,"",SUM(CW11:CW12)/COUNT(CW11:CW12))</f>
        <v>3.666666666666667</v>
      </c>
      <c r="CX10" s="204" t="str">
        <f t="shared" si="19"/>
        <v>B</v>
      </c>
      <c r="CY10" s="214"/>
      <c r="CZ10" s="110"/>
      <c r="DA10" s="111"/>
      <c r="DB10" s="178">
        <f>IF(COUNT(DB11:DB12)=0,"",SUM(DB11:DB12)/COUNT(DB11:DB12))</f>
        <v>3</v>
      </c>
      <c r="DC10" s="179" t="str">
        <f t="shared" si="20"/>
        <v>B</v>
      </c>
      <c r="DD10" s="172"/>
      <c r="DE10" s="110"/>
      <c r="DF10" s="110"/>
      <c r="DG10" s="111"/>
      <c r="DH10" s="178">
        <f>IF(COUNT(DH11,DH12)=0,"",SUM(DH11:DH12)/COUNT(DH11,DH12))</f>
        <v>3</v>
      </c>
      <c r="DI10" s="194" t="str">
        <f t="shared" si="21"/>
        <v>B</v>
      </c>
      <c r="DJ10" s="172"/>
      <c r="DK10" s="110"/>
      <c r="DL10" s="110"/>
      <c r="DM10" s="110"/>
      <c r="DN10" s="111"/>
      <c r="DO10" s="178">
        <f>IF(COUNT(DO11,DO12)=0,"",SUM(DO11:DO12)/COUNT(DO11,DO12))</f>
        <v>3</v>
      </c>
      <c r="DP10" s="202" t="str">
        <f t="shared" si="22"/>
        <v>B</v>
      </c>
      <c r="DQ10" s="203">
        <f>IF(COUNT(DQ11:DQ12)=0,"",SUM(DQ11:DQ12)/COUNT(DQ11:DQ12))</f>
        <v>2.666666666666667</v>
      </c>
      <c r="DR10" s="204" t="str">
        <f t="shared" si="23"/>
        <v>C</v>
      </c>
      <c r="DS10" s="214"/>
      <c r="DT10" s="110"/>
      <c r="DU10" s="111"/>
      <c r="DV10" s="178">
        <f>IF(COUNT(DV11:DV12)=0,"",SUM(DV11:DV12)/COUNT(DV11:DV12))</f>
        <v>2</v>
      </c>
      <c r="DW10" s="179" t="str">
        <f t="shared" si="24"/>
        <v>C</v>
      </c>
      <c r="DX10" s="172"/>
      <c r="DY10" s="110"/>
      <c r="DZ10" s="110"/>
      <c r="EA10" s="111"/>
      <c r="EB10" s="178">
        <f>IF(COUNT(EB11,EB12)=0,"",SUM(EB11:EB12)/COUNT(EB11,EB12))</f>
        <v>3</v>
      </c>
      <c r="EC10" s="194" t="str">
        <f t="shared" si="25"/>
        <v>B</v>
      </c>
      <c r="ED10" s="172"/>
      <c r="EE10" s="110"/>
      <c r="EF10" s="110"/>
      <c r="EG10" s="110"/>
      <c r="EH10" s="111"/>
      <c r="EI10" s="178">
        <f>IF(COUNT(EI11,EI12)=0,"",SUM(EI11:EI12)/COUNT(EI11,EI12))</f>
        <v>3.375</v>
      </c>
      <c r="EJ10" s="202" t="str">
        <f t="shared" si="26"/>
        <v>B</v>
      </c>
      <c r="EK10" s="203">
        <f>IF(COUNT(EK11:EK12)=0,"",SUM(EK11:EK12)/COUNT(EK11:EK12))</f>
        <v>2.958333333333333</v>
      </c>
      <c r="EL10" s="204" t="str">
        <f t="shared" si="27"/>
        <v>B</v>
      </c>
      <c r="EM10" s="214"/>
      <c r="EN10" s="110"/>
      <c r="EO10" s="111"/>
      <c r="EP10" s="178">
        <f>IF(COUNT(EP11:EP12)=0,"",SUM(EP11:EP12)/COUNT(EP11:EP12))</f>
        <v>4</v>
      </c>
      <c r="EQ10" s="179" t="str">
        <f t="shared" si="28"/>
        <v>A</v>
      </c>
      <c r="ER10" s="172"/>
      <c r="ES10" s="110"/>
      <c r="ET10" s="110"/>
      <c r="EU10" s="111"/>
      <c r="EV10" s="178">
        <f>IF(COUNT(EV11,EV12)=0,"",SUM(EV11:EV12)/COUNT(EV11,EV12))</f>
        <v>3</v>
      </c>
      <c r="EW10" s="194" t="str">
        <f t="shared" si="29"/>
        <v>B</v>
      </c>
      <c r="EX10" s="172"/>
      <c r="EY10" s="110"/>
      <c r="EZ10" s="110"/>
      <c r="FA10" s="110"/>
      <c r="FB10" s="111"/>
      <c r="FC10" s="178">
        <f>IF(COUNT(FC11,FC12)=0,"",SUM(FC11:FC12)/COUNT(FC11,FC12))</f>
        <v>3.875</v>
      </c>
      <c r="FD10" s="202" t="str">
        <f t="shared" si="30"/>
        <v>A</v>
      </c>
      <c r="FE10" s="203">
        <f>IF(COUNT(FE11:FE12)=0,"",SUM(FE11:FE12)/COUNT(FE11:FE12))</f>
        <v>3.791666666666667</v>
      </c>
      <c r="FF10" s="204" t="str">
        <f t="shared" si="31"/>
        <v>A</v>
      </c>
      <c r="FG10" s="214"/>
      <c r="FH10" s="110"/>
      <c r="FI10" s="111"/>
      <c r="FJ10" s="178">
        <f>IF(COUNT(FJ11:FJ12)=0,"",SUM(FJ11:FJ12)/COUNT(FJ11:FJ12))</f>
        <v>3</v>
      </c>
      <c r="FK10" s="179" t="str">
        <f t="shared" si="32"/>
        <v>B</v>
      </c>
      <c r="FL10" s="172"/>
      <c r="FM10" s="110"/>
      <c r="FN10" s="110"/>
      <c r="FO10" s="111"/>
      <c r="FP10" s="178">
        <f>IF(COUNT(FP11,FP12)=0,"",SUM(FP11:FP12)/COUNT(FP11,FP12))</f>
        <v>3</v>
      </c>
      <c r="FQ10" s="194" t="str">
        <f t="shared" si="33"/>
        <v>B</v>
      </c>
      <c r="FR10" s="172"/>
      <c r="FS10" s="110"/>
      <c r="FT10" s="110"/>
      <c r="FU10" s="110"/>
      <c r="FV10" s="111"/>
      <c r="FW10" s="178">
        <f>IF(COUNT(FW11,FW12)=0,"",SUM(FW11:FW12)/COUNT(FW11,FW12))</f>
        <v>3.625</v>
      </c>
      <c r="FX10" s="202" t="str">
        <f t="shared" si="34"/>
        <v>B</v>
      </c>
      <c r="FY10" s="203">
        <f>IF(COUNT(FY11:FY12)=0,"",SUM(FY11:FY12)/COUNT(FY11:FY12))</f>
        <v>3.541666666666667</v>
      </c>
      <c r="FZ10" s="204" t="str">
        <f t="shared" si="35"/>
        <v>B</v>
      </c>
      <c r="GA10" s="214"/>
      <c r="GB10" s="110"/>
      <c r="GC10" s="111"/>
      <c r="GD10" s="178">
        <f>IF(COUNT(GD11:GD12)=0,"",SUM(GD11:GD12)/COUNT(GD11:GD12))</f>
        <v>3</v>
      </c>
      <c r="GE10" s="179" t="str">
        <f t="shared" si="36"/>
        <v>B</v>
      </c>
      <c r="GF10" s="172"/>
      <c r="GG10" s="110"/>
      <c r="GH10" s="110"/>
      <c r="GI10" s="111"/>
      <c r="GJ10" s="178" t="str">
        <f>IF(COUNT(GJ11,GJ12)=0,"",SUM(GJ11:GJ12)/COUNT(GJ11,GJ12))</f>
        <v/>
      </c>
      <c r="GK10" s="194" t="str">
        <f t="shared" si="37"/>
        <v/>
      </c>
      <c r="GL10" s="172"/>
      <c r="GM10" s="110"/>
      <c r="GN10" s="110"/>
      <c r="GO10" s="110"/>
      <c r="GP10" s="111"/>
      <c r="GQ10" s="178">
        <f>IF(COUNT(GQ11,GQ12)=0,"",SUM(GQ11:GQ12)/COUNT(GQ11,GQ12))</f>
        <v>3.875</v>
      </c>
      <c r="GR10" s="202" t="str">
        <f t="shared" si="38"/>
        <v>A</v>
      </c>
      <c r="GS10" s="203">
        <f>IF(COUNT(GS11:GS12)=0,"",SUM(GS11:GS12)/COUNT(GS11:GS12))</f>
        <v>3.6875</v>
      </c>
      <c r="GT10" s="204" t="str">
        <f t="shared" si="39"/>
        <v>B</v>
      </c>
      <c r="GU10" s="214"/>
      <c r="GV10" s="110"/>
      <c r="GW10" s="111"/>
      <c r="GX10" s="178">
        <f>IF(COUNT(GX11:GX12)=0,"",SUM(GX11:GX12)/COUNT(GX11:GX12))</f>
        <v>3</v>
      </c>
      <c r="GY10" s="179" t="str">
        <f t="shared" si="40"/>
        <v>B</v>
      </c>
      <c r="GZ10" s="172"/>
      <c r="HA10" s="110"/>
      <c r="HB10" s="110"/>
      <c r="HC10" s="111"/>
      <c r="HD10" s="178">
        <f>IF(COUNT(HD11,HD12)=0,"",SUM(HD11:HD12)/COUNT(HD11,HD12))</f>
        <v>2</v>
      </c>
      <c r="HE10" s="194" t="str">
        <f t="shared" si="41"/>
        <v>C</v>
      </c>
      <c r="HF10" s="172"/>
      <c r="HG10" s="110"/>
      <c r="HH10" s="110"/>
      <c r="HI10" s="110"/>
      <c r="HJ10" s="111"/>
      <c r="HK10" s="178">
        <f>IF(COUNT(HK11,HK12)=0,"",SUM(HK11:HK12)/COUNT(HK11,HK12))</f>
        <v>2.75</v>
      </c>
      <c r="HL10" s="202" t="str">
        <f t="shared" si="42"/>
        <v>C</v>
      </c>
      <c r="HM10" s="203">
        <f>IF(COUNT(HM11:HM12)=0,"",SUM(HM11:HM12)/COUNT(HM11:HM12))</f>
        <v>2.416666666666667</v>
      </c>
      <c r="HN10" s="204" t="str">
        <f t="shared" si="43"/>
        <v>C</v>
      </c>
      <c r="HO10" s="214"/>
      <c r="HP10" s="110"/>
      <c r="HQ10" s="111"/>
      <c r="HR10" s="178">
        <f>IF(COUNT(HR11:HR12)=0,"",SUM(HR11:HR12)/COUNT(HR11:HR12))</f>
        <v>2</v>
      </c>
      <c r="HS10" s="179" t="str">
        <f t="shared" si="44"/>
        <v>C</v>
      </c>
      <c r="HT10" s="172"/>
      <c r="HU10" s="110"/>
      <c r="HV10" s="110"/>
      <c r="HW10" s="111"/>
      <c r="HX10" s="178">
        <f>IF(COUNT(HX11,HX12)=0,"",SUM(HX11:HX12)/COUNT(HX11,HX12))</f>
        <v>3</v>
      </c>
      <c r="HY10" s="194" t="str">
        <f t="shared" si="45"/>
        <v>B</v>
      </c>
      <c r="HZ10" s="172"/>
      <c r="IA10" s="110"/>
      <c r="IB10" s="110"/>
      <c r="IC10" s="110"/>
      <c r="ID10" s="111"/>
      <c r="IE10" s="178">
        <f>IF(COUNT(IE11,IE12)=0,"",SUM(IE11:IE12)/COUNT(IE11,IE12))</f>
        <v>3.5</v>
      </c>
      <c r="IF10" s="202" t="str">
        <f t="shared" si="46"/>
        <v>B</v>
      </c>
      <c r="IG10" s="203">
        <f>IF(COUNT(IG11:IG12)=0,"",SUM(IG11:IG12)/COUNT(IG11:IG12))</f>
        <v>3</v>
      </c>
      <c r="IH10" s="204" t="str">
        <f t="shared" si="47"/>
        <v>B</v>
      </c>
      <c r="II10" s="214"/>
      <c r="IJ10" s="110"/>
      <c r="IK10" s="111"/>
      <c r="IL10" s="178">
        <f>IF(COUNT(IL11:IL12)=0,"",SUM(IL11:IL12)/COUNT(IL11:IL12))</f>
        <v>3</v>
      </c>
      <c r="IM10" s="179" t="str">
        <f t="shared" si="48"/>
        <v>B</v>
      </c>
      <c r="IN10" s="172"/>
      <c r="IO10" s="110"/>
      <c r="IP10" s="110"/>
      <c r="IQ10" s="111"/>
      <c r="IR10" s="178" t="str">
        <f>IF(COUNT(IR11,IR12)=0,"",SUM(IR11:IR12)/COUNT(IR11,IR12))</f>
        <v/>
      </c>
      <c r="IS10" s="194" t="str">
        <f t="shared" si="49"/>
        <v/>
      </c>
      <c r="IT10" s="172"/>
      <c r="IU10" s="110"/>
      <c r="IV10" s="110"/>
      <c r="IW10" s="110"/>
      <c r="IX10" s="111"/>
      <c r="IY10" s="178">
        <f>IF(COUNT(IY11,IY12)=0,"",SUM(IY11:IY12)/COUNT(IY11,IY12))</f>
        <v>3.875</v>
      </c>
      <c r="IZ10" s="202" t="str">
        <f t="shared" si="50"/>
        <v>A</v>
      </c>
      <c r="JA10" s="203">
        <f>IF(COUNT(JA11:JA12)=0,"",SUM(JA11:JA12)/COUNT(JA11:JA12))</f>
        <v>3.6875</v>
      </c>
      <c r="JB10" s="204" t="str">
        <f t="shared" si="51"/>
        <v>B</v>
      </c>
      <c r="JC10" s="214"/>
      <c r="JD10" s="110"/>
      <c r="JE10" s="111"/>
      <c r="JF10" s="178">
        <f>IF(COUNT(JF11:JF12)=0,"",SUM(JF11:JF12)/COUNT(JF11:JF12))</f>
        <v>4</v>
      </c>
      <c r="JG10" s="179" t="str">
        <f t="shared" si="52"/>
        <v>A</v>
      </c>
      <c r="JH10" s="172"/>
      <c r="JI10" s="110"/>
      <c r="JJ10" s="110"/>
      <c r="JK10" s="111"/>
      <c r="JL10" s="178">
        <f>IF(COUNT(JL11,JL12)=0,"",SUM(JL11:JL12)/COUNT(JL11,JL12))</f>
        <v>3</v>
      </c>
      <c r="JM10" s="194" t="str">
        <f t="shared" si="53"/>
        <v>B</v>
      </c>
      <c r="JN10" s="172"/>
      <c r="JO10" s="110"/>
      <c r="JP10" s="110"/>
      <c r="JQ10" s="110"/>
      <c r="JR10" s="111"/>
      <c r="JS10" s="178">
        <f>IF(COUNT(JS11,JS12)=0,"",SUM(JS11:JS12)/COUNT(JS11,JS12))</f>
        <v>3.875</v>
      </c>
      <c r="JT10" s="202" t="str">
        <f t="shared" si="54"/>
        <v>A</v>
      </c>
      <c r="JU10" s="203">
        <f>IF(COUNT(JU11:JU12)=0,"",SUM(JU11:JU12)/COUNT(JU11:JU12))</f>
        <v>3.791666666666667</v>
      </c>
      <c r="JV10" s="204" t="str">
        <f t="shared" si="55"/>
        <v>A</v>
      </c>
      <c r="JW10" s="214"/>
      <c r="JX10" s="110"/>
      <c r="JY10" s="111"/>
      <c r="JZ10" s="178">
        <f>IF(COUNT(JZ11:JZ12)=0,"",SUM(JZ11:JZ12)/COUNT(JZ11:JZ12))</f>
        <v>3</v>
      </c>
      <c r="KA10" s="179" t="str">
        <f t="shared" si="56"/>
        <v>B</v>
      </c>
      <c r="KB10" s="172"/>
      <c r="KC10" s="110"/>
      <c r="KD10" s="110"/>
      <c r="KE10" s="111"/>
      <c r="KF10" s="178">
        <f>IF(COUNT(KF11,KF12)=0,"",SUM(KF11:KF12)/COUNT(KF11,KF12))</f>
        <v>3</v>
      </c>
      <c r="KG10" s="194" t="str">
        <f t="shared" si="57"/>
        <v>B</v>
      </c>
      <c r="KH10" s="172"/>
      <c r="KI10" s="110"/>
      <c r="KJ10" s="110"/>
      <c r="KK10" s="110"/>
      <c r="KL10" s="111"/>
      <c r="KM10" s="178">
        <f>IF(COUNT(KM11,KM12)=0,"",SUM(KM11:KM12)/COUNT(KM11,KM12))</f>
        <v>3.875</v>
      </c>
      <c r="KN10" s="202" t="str">
        <f t="shared" si="58"/>
        <v>A</v>
      </c>
      <c r="KO10" s="203">
        <f>IF(COUNT(KO11:KO12)=0,"",SUM(KO11:KO12)/COUNT(KO11:KO12))</f>
        <v>3.625</v>
      </c>
      <c r="KP10" s="204" t="str">
        <f t="shared" si="59"/>
        <v>B</v>
      </c>
      <c r="KQ10" s="214"/>
      <c r="KR10" s="110"/>
      <c r="KS10" s="111"/>
      <c r="KT10" s="178">
        <f>IF(COUNT(KT11:KT12)=0,"",SUM(KT11:KT12)/COUNT(KT11:KT12))</f>
        <v>2</v>
      </c>
      <c r="KU10" s="179" t="str">
        <f t="shared" si="60"/>
        <v>C</v>
      </c>
      <c r="KV10" s="172"/>
      <c r="KW10" s="110"/>
      <c r="KX10" s="110"/>
      <c r="KY10" s="111"/>
      <c r="KZ10" s="178">
        <f>IF(COUNT(KZ11,KZ12)=0,"",SUM(KZ11:KZ12)/COUNT(KZ11,KZ12))</f>
        <v>4</v>
      </c>
      <c r="LA10" s="194" t="str">
        <f t="shared" si="61"/>
        <v>A</v>
      </c>
      <c r="LB10" s="172"/>
      <c r="LC10" s="110"/>
      <c r="LD10" s="110"/>
      <c r="LE10" s="110"/>
      <c r="LF10" s="111"/>
      <c r="LG10" s="178">
        <f>IF(COUNT(LG11,LG12)=0,"",SUM(LG11:LG12)/COUNT(LG11,LG12))</f>
        <v>3.75</v>
      </c>
      <c r="LH10" s="202" t="str">
        <f t="shared" si="62"/>
        <v>A</v>
      </c>
      <c r="LI10" s="203">
        <f>IF(COUNT(LI11:LI12)=0,"",SUM(LI11:LI12)/COUNT(LI11:LI12))</f>
        <v>3.583333333333333</v>
      </c>
      <c r="LJ10" s="204" t="str">
        <f t="shared" si="63"/>
        <v>B</v>
      </c>
      <c r="LK10" s="214"/>
      <c r="LL10" s="110"/>
      <c r="LM10" s="111"/>
      <c r="LN10" s="178">
        <f>IF(COUNT(LN11:LN12)=0,"",SUM(LN11:LN12)/COUNT(LN11:LN12))</f>
        <v>3</v>
      </c>
      <c r="LO10" s="179" t="str">
        <f t="shared" si="64"/>
        <v>B</v>
      </c>
      <c r="LP10" s="172"/>
      <c r="LQ10" s="110"/>
      <c r="LR10" s="110"/>
      <c r="LS10" s="111"/>
      <c r="LT10" s="178">
        <f>IF(COUNT(LT11,LT12)=0,"",SUM(LT11:LT12)/COUNT(LT11,LT12))</f>
        <v>2</v>
      </c>
      <c r="LU10" s="194" t="str">
        <f t="shared" si="65"/>
        <v>C</v>
      </c>
      <c r="LV10" s="172"/>
      <c r="LW10" s="110"/>
      <c r="LX10" s="110"/>
      <c r="LY10" s="110"/>
      <c r="LZ10" s="111"/>
      <c r="MA10" s="178">
        <f>IF(COUNT(MA11,MA12)=0,"",SUM(MA11:MA12)/COUNT(MA11,MA12))</f>
        <v>2.125</v>
      </c>
      <c r="MB10" s="202" t="str">
        <f t="shared" si="66"/>
        <v>C</v>
      </c>
      <c r="MC10" s="203">
        <f>IF(COUNT(MC11:MC12)=0,"",SUM(MC11:MC12)/COUNT(MC11:MC12))</f>
        <v>1.875</v>
      </c>
      <c r="MD10" s="204" t="str">
        <f t="shared" si="67"/>
        <v>C</v>
      </c>
      <c r="ME10" s="214"/>
      <c r="MF10" s="110"/>
      <c r="MG10" s="111"/>
      <c r="MH10" s="178">
        <f>IF(COUNT(MH11:MH12)=0,"",SUM(MH11:MH12)/COUNT(MH11:MH12))</f>
        <v>4</v>
      </c>
      <c r="MI10" s="179" t="str">
        <f t="shared" si="68"/>
        <v>A</v>
      </c>
      <c r="MJ10" s="172"/>
      <c r="MK10" s="110"/>
      <c r="ML10" s="110"/>
      <c r="MM10" s="111"/>
      <c r="MN10" s="178">
        <f>IF(COUNT(MN11,MN12)=0,"",SUM(MN11:MN12)/COUNT(MN11,MN12))</f>
        <v>2</v>
      </c>
      <c r="MO10" s="194" t="str">
        <f t="shared" si="69"/>
        <v>C</v>
      </c>
      <c r="MP10" s="172"/>
      <c r="MQ10" s="110"/>
      <c r="MR10" s="110"/>
      <c r="MS10" s="110"/>
      <c r="MT10" s="111"/>
      <c r="MU10" s="178">
        <f>IF(COUNT(MU11,MU12)=0,"",SUM(MU11:MU12)/COUNT(MU11,MU12))</f>
        <v>2.75</v>
      </c>
      <c r="MV10" s="202" t="str">
        <f t="shared" si="70"/>
        <v>C</v>
      </c>
      <c r="MW10" s="203">
        <f>IF(COUNT(MW11:MW12)=0,"",SUM(MW11:MW12)/COUNT(MW11:MW12))</f>
        <v>2.583333333333333</v>
      </c>
      <c r="MX10" s="204" t="str">
        <f t="shared" si="71"/>
        <v>C</v>
      </c>
      <c r="MY10" s="214"/>
      <c r="MZ10" s="110"/>
      <c r="NA10" s="111"/>
      <c r="NB10" s="178">
        <f>IF(COUNT(NB11:NB12)=0,"",SUM(NB11:NB12)/COUNT(NB11:NB12))</f>
        <v>3</v>
      </c>
      <c r="NC10" s="179" t="str">
        <f t="shared" si="72"/>
        <v>B</v>
      </c>
      <c r="ND10" s="172"/>
      <c r="NE10" s="110"/>
      <c r="NF10" s="110"/>
      <c r="NG10" s="111"/>
      <c r="NH10" s="178">
        <f>IF(COUNT(NH11,NH12)=0,"",SUM(NH11:NH12)/COUNT(NH11,NH12))</f>
        <v>3</v>
      </c>
      <c r="NI10" s="194" t="str">
        <f t="shared" si="73"/>
        <v>B</v>
      </c>
      <c r="NJ10" s="172"/>
      <c r="NK10" s="110"/>
      <c r="NL10" s="110"/>
      <c r="NM10" s="110"/>
      <c r="NN10" s="111"/>
      <c r="NO10" s="178">
        <f>IF(COUNT(NO11,NO12)=0,"",SUM(NO11:NO12)/COUNT(NO11,NO12))</f>
        <v>2</v>
      </c>
      <c r="NP10" s="202" t="str">
        <f t="shared" si="74"/>
        <v>C</v>
      </c>
      <c r="NQ10" s="203">
        <f>IF(COUNT(NQ11:NQ12)=0,"",SUM(NQ11:NQ12)/COUNT(NQ11:NQ12))</f>
        <v>2</v>
      </c>
      <c r="NR10" s="204" t="str">
        <f t="shared" si="75"/>
        <v>C</v>
      </c>
      <c r="NS10" s="214"/>
      <c r="NT10" s="110"/>
      <c r="NU10" s="111"/>
      <c r="NV10" s="178">
        <f>IF(COUNT(NV11:NV12)=0,"",SUM(NV11:NV12)/COUNT(NV11:NV12))</f>
        <v>4</v>
      </c>
      <c r="NW10" s="179" t="str">
        <f t="shared" si="76"/>
        <v>A</v>
      </c>
      <c r="NX10" s="172"/>
      <c r="NY10" s="110"/>
      <c r="NZ10" s="110"/>
      <c r="OA10" s="111"/>
      <c r="OB10" s="178">
        <f>IF(COUNT(OB11,OB12)=0,"",SUM(OB11:OB12)/COUNT(OB11,OB12))</f>
        <v>3</v>
      </c>
      <c r="OC10" s="194" t="str">
        <f t="shared" si="77"/>
        <v>B</v>
      </c>
      <c r="OD10" s="172"/>
      <c r="OE10" s="110"/>
      <c r="OF10" s="110"/>
      <c r="OG10" s="110"/>
      <c r="OH10" s="111"/>
      <c r="OI10" s="178">
        <f>IF(COUNT(OI11,OI12)=0,"",SUM(OI11:OI12)/COUNT(OI11,OI12))</f>
        <v>4</v>
      </c>
      <c r="OJ10" s="202" t="str">
        <f t="shared" si="78"/>
        <v>A</v>
      </c>
      <c r="OK10" s="203">
        <f>IF(COUNT(OK11:OK12)=0,"",SUM(OK11:OK12)/COUNT(OK11:OK12))</f>
        <v>3.833333333333333</v>
      </c>
      <c r="OL10" s="204" t="str">
        <f t="shared" si="79"/>
        <v>A</v>
      </c>
      <c r="OM10" s="214"/>
      <c r="ON10" s="110"/>
      <c r="OO10" s="111"/>
      <c r="OP10" s="178">
        <f>IF(COUNT(OP11:OP12)=0,"",SUM(OP11:OP12)/COUNT(OP11:OP12))</f>
        <v>4</v>
      </c>
      <c r="OQ10" s="179" t="str">
        <f t="shared" si="80"/>
        <v>A</v>
      </c>
      <c r="OR10" s="172"/>
      <c r="OS10" s="110"/>
      <c r="OT10" s="110"/>
      <c r="OU10" s="111"/>
      <c r="OV10" s="178">
        <f>IF(COUNT(OV11,OV12)=0,"",SUM(OV11:OV12)/COUNT(OV11,OV12))</f>
        <v>3</v>
      </c>
      <c r="OW10" s="194" t="str">
        <f t="shared" si="81"/>
        <v>B</v>
      </c>
      <c r="OX10" s="172"/>
      <c r="OY10" s="110"/>
      <c r="OZ10" s="110"/>
      <c r="PA10" s="110"/>
      <c r="PB10" s="111"/>
      <c r="PC10" s="178">
        <f>IF(COUNT(PC11,PC12)=0,"",SUM(PC11:PC12)/COUNT(PC11,PC12))</f>
        <v>3.875</v>
      </c>
      <c r="PD10" s="202" t="str">
        <f t="shared" si="82"/>
        <v>A</v>
      </c>
      <c r="PE10" s="203">
        <f>IF(COUNT(PE11:PE12)=0,"",SUM(PE11:PE12)/COUNT(PE11:PE12))</f>
        <v>3.791666666666667</v>
      </c>
      <c r="PF10" s="204" t="str">
        <f t="shared" si="83"/>
        <v>A</v>
      </c>
      <c r="PG10" s="214"/>
      <c r="PH10" s="110"/>
      <c r="PI10" s="111"/>
      <c r="PJ10" s="178">
        <f>IF(COUNT(PJ11:PJ12)=0,"",SUM(PJ11:PJ12)/COUNT(PJ11:PJ12))</f>
        <v>4</v>
      </c>
      <c r="PK10" s="179" t="str">
        <f t="shared" si="84"/>
        <v>A</v>
      </c>
      <c r="PL10" s="172"/>
      <c r="PM10" s="110"/>
      <c r="PN10" s="110"/>
      <c r="PO10" s="111"/>
      <c r="PP10" s="178">
        <f>IF(COUNT(PP11,PP12)=0,"",SUM(PP11:PP12)/COUNT(PP11,PP12))</f>
        <v>3</v>
      </c>
      <c r="PQ10" s="194" t="str">
        <f t="shared" si="85"/>
        <v>B</v>
      </c>
      <c r="PR10" s="172"/>
      <c r="PS10" s="110"/>
      <c r="PT10" s="110"/>
      <c r="PU10" s="110"/>
      <c r="PV10" s="111"/>
      <c r="PW10" s="178">
        <f>IF(COUNT(PW11,PW12)=0,"",SUM(PW11:PW12)/COUNT(PW11,PW12))</f>
        <v>3.375</v>
      </c>
      <c r="PX10" s="202" t="str">
        <f t="shared" si="86"/>
        <v>B</v>
      </c>
      <c r="PY10" s="203">
        <f>IF(COUNT(PY11:PY12)=0,"",SUM(PY11:PY12)/COUNT(PY11:PY12))</f>
        <v>3.291666666666667</v>
      </c>
      <c r="PZ10" s="204" t="str">
        <f t="shared" si="87"/>
        <v>B</v>
      </c>
      <c r="QA10" s="214"/>
      <c r="QB10" s="110"/>
      <c r="QC10" s="111"/>
      <c r="QD10" s="178">
        <f>IF(COUNT(QD11:QD12)=0,"",SUM(QD11:QD12)/COUNT(QD11:QD12))</f>
        <v>3</v>
      </c>
      <c r="QE10" s="179" t="str">
        <f t="shared" si="88"/>
        <v>B</v>
      </c>
      <c r="QF10" s="172"/>
      <c r="QG10" s="110"/>
      <c r="QH10" s="110"/>
      <c r="QI10" s="111"/>
      <c r="QJ10" s="178">
        <f>IF(COUNT(QJ11,QJ12)=0,"",SUM(QJ11:QJ12)/COUNT(QJ11,QJ12))</f>
        <v>3</v>
      </c>
      <c r="QK10" s="194" t="str">
        <f t="shared" si="89"/>
        <v>B</v>
      </c>
      <c r="QL10" s="172"/>
      <c r="QM10" s="110"/>
      <c r="QN10" s="110"/>
      <c r="QO10" s="110"/>
      <c r="QP10" s="111"/>
      <c r="QQ10" s="178">
        <f>IF(COUNT(QQ11,QQ12)=0,"",SUM(QQ11:QQ12)/COUNT(QQ11,QQ12))</f>
        <v>3.875</v>
      </c>
      <c r="QR10" s="202" t="str">
        <f t="shared" si="90"/>
        <v>A</v>
      </c>
      <c r="QS10" s="203">
        <f>IF(COUNT(QS11:QS12)=0,"",SUM(QS11:QS12)/COUNT(QS11:QS12))</f>
        <v>3.625</v>
      </c>
      <c r="QT10" s="204" t="str">
        <f t="shared" si="91"/>
        <v>B</v>
      </c>
      <c r="QU10" s="214"/>
      <c r="QV10" s="110"/>
      <c r="QW10" s="111"/>
      <c r="QX10" s="178">
        <f>IF(COUNT(QX11:QX12)=0,"",SUM(QX11:QX12)/COUNT(QX11:QX12))</f>
        <v>3</v>
      </c>
      <c r="QY10" s="179" t="str">
        <f t="shared" si="92"/>
        <v>B</v>
      </c>
      <c r="QZ10" s="172"/>
      <c r="RA10" s="110"/>
      <c r="RB10" s="110"/>
      <c r="RC10" s="111"/>
      <c r="RD10" s="178">
        <f>IF(COUNT(RD11,RD12)=0,"",SUM(RD11:RD12)/COUNT(RD11,RD12))</f>
        <v>2</v>
      </c>
      <c r="RE10" s="194" t="str">
        <f t="shared" si="93"/>
        <v>C</v>
      </c>
      <c r="RF10" s="172"/>
      <c r="RG10" s="110"/>
      <c r="RH10" s="110"/>
      <c r="RI10" s="110"/>
      <c r="RJ10" s="111"/>
      <c r="RK10" s="178">
        <f>IF(COUNT(RK11,RK12)=0,"",SUM(RK11:RK12)/COUNT(RK11,RK12))</f>
        <v>3.875</v>
      </c>
      <c r="RL10" s="202" t="str">
        <f t="shared" si="94"/>
        <v>A</v>
      </c>
      <c r="RM10" s="203">
        <f>IF(COUNT(RM11:RM12)=0,"",SUM(RM11:RM12)/COUNT(RM11:RM12))</f>
        <v>3.458333333333333</v>
      </c>
      <c r="RN10" s="204" t="str">
        <f t="shared" si="95"/>
        <v>B</v>
      </c>
      <c r="RO10" s="214"/>
      <c r="RP10" s="110"/>
      <c r="RQ10" s="111"/>
      <c r="RR10" s="178">
        <f>IF(COUNT(RR11:RR12)=0,"",SUM(RR11:RR12)/COUNT(RR11:RR12))</f>
        <v>4</v>
      </c>
      <c r="RS10" s="179" t="str">
        <f t="shared" si="96"/>
        <v>A</v>
      </c>
      <c r="RT10" s="172"/>
      <c r="RU10" s="110"/>
      <c r="RV10" s="110"/>
      <c r="RW10" s="111"/>
      <c r="RX10" s="178">
        <f>IF(COUNT(RX11,RX12)=0,"",SUM(RX11:RX12)/COUNT(RX11,RX12))</f>
        <v>3</v>
      </c>
      <c r="RY10" s="194" t="str">
        <f t="shared" si="97"/>
        <v>B</v>
      </c>
      <c r="RZ10" s="172"/>
      <c r="SA10" s="110"/>
      <c r="SB10" s="110"/>
      <c r="SC10" s="110"/>
      <c r="SD10" s="111"/>
      <c r="SE10" s="178">
        <f>IF(COUNT(SE11,SE12)=0,"",SUM(SE11:SE12)/COUNT(SE11,SE12))</f>
        <v>3.75</v>
      </c>
      <c r="SF10" s="202" t="str">
        <f t="shared" si="98"/>
        <v>A</v>
      </c>
      <c r="SG10" s="203">
        <f>IF(COUNT(SG11:SG12)=0,"",SUM(SG11:SG12)/COUNT(SG11:SG12))</f>
        <v>3.75</v>
      </c>
      <c r="SH10" s="204" t="str">
        <f t="shared" si="99"/>
        <v>A</v>
      </c>
      <c r="SI10" s="214"/>
      <c r="SJ10" s="110"/>
      <c r="SK10" s="111"/>
      <c r="SL10" s="178">
        <f>IF(COUNT(SL11:SL12)=0,"",SUM(SL11:SL12)/COUNT(SL11:SL12))</f>
        <v>4</v>
      </c>
      <c r="SM10" s="179" t="str">
        <f t="shared" si="100"/>
        <v>A</v>
      </c>
      <c r="SN10" s="172"/>
      <c r="SO10" s="110"/>
      <c r="SP10" s="110"/>
      <c r="SQ10" s="111"/>
      <c r="SR10" s="178">
        <f>IF(COUNT(SR11,SR12)=0,"",SUM(SR11:SR12)/COUNT(SR11,SR12))</f>
        <v>3</v>
      </c>
      <c r="SS10" s="194" t="str">
        <f t="shared" si="101"/>
        <v>B</v>
      </c>
      <c r="ST10" s="172"/>
      <c r="SU10" s="110"/>
      <c r="SV10" s="110"/>
      <c r="SW10" s="110"/>
      <c r="SX10" s="111"/>
      <c r="SY10" s="178">
        <f>IF(COUNT(SY11,SY12)=0,"",SUM(SY11:SY12)/COUNT(SY11,SY12))</f>
        <v>3.875</v>
      </c>
      <c r="SZ10" s="202" t="str">
        <f t="shared" si="102"/>
        <v>A</v>
      </c>
      <c r="TA10" s="203">
        <f>IF(COUNT(TA11:TA12)=0,"",SUM(TA11:TA12)/COUNT(TA11:TA12))</f>
        <v>3.791666666666667</v>
      </c>
      <c r="TB10" s="204" t="str">
        <f t="shared" si="103"/>
        <v>A</v>
      </c>
      <c r="TC10" s="214"/>
      <c r="TD10" s="110"/>
      <c r="TE10" s="111"/>
      <c r="TF10" s="178">
        <f>IF(COUNT(TF11:TF12)=0,"",SUM(TF11:TF12)/COUNT(TF11:TF12))</f>
        <v>3</v>
      </c>
      <c r="TG10" s="179" t="str">
        <f t="shared" si="104"/>
        <v>B</v>
      </c>
      <c r="TH10" s="172"/>
      <c r="TI10" s="110"/>
      <c r="TJ10" s="110"/>
      <c r="TK10" s="111"/>
      <c r="TL10" s="178">
        <f>IF(COUNT(TL11,TL12)=0,"",SUM(TL11:TL12)/COUNT(TL11,TL12))</f>
        <v>3</v>
      </c>
      <c r="TM10" s="194" t="str">
        <f t="shared" si="105"/>
        <v>B</v>
      </c>
      <c r="TN10" s="172"/>
      <c r="TO10" s="110"/>
      <c r="TP10" s="110"/>
      <c r="TQ10" s="110"/>
      <c r="TR10" s="111"/>
      <c r="TS10" s="178">
        <f>IF(COUNT(TS11,TS12)=0,"",SUM(TS11:TS12)/COUNT(TS11,TS12))</f>
        <v>3.5</v>
      </c>
      <c r="TT10" s="202" t="str">
        <f t="shared" si="106"/>
        <v>B</v>
      </c>
      <c r="TU10" s="203">
        <f>IF(COUNT(TU11:TU12)=0,"",SUM(TU11:TU12)/COUNT(TU11:TU12))</f>
        <v>3.166666666666667</v>
      </c>
      <c r="TV10" s="204" t="str">
        <f t="shared" si="107"/>
        <v>B</v>
      </c>
      <c r="TW10" s="137"/>
      <c r="TX10" s="110"/>
      <c r="TY10" s="111"/>
      <c r="TZ10" s="106" t="str">
        <f>IF(COUNT(TZ11:TZ12)=0,"",SUM(TZ11:TZ12)/COUNT(TZ11:TZ12))</f>
        <v/>
      </c>
      <c r="UA10" s="107" t="str">
        <f t="shared" si="108"/>
        <v/>
      </c>
      <c r="UB10" s="109"/>
      <c r="UC10" s="110"/>
      <c r="UD10" s="111"/>
      <c r="UE10" s="106" t="str">
        <f>IF(COUNT(UE11,UE12)=0,"",SUM(UE11:UE12)/COUNT(UE11,UE12))</f>
        <v/>
      </c>
      <c r="UF10" s="108" t="str">
        <f t="shared" si="109"/>
        <v/>
      </c>
      <c r="UG10" s="109"/>
      <c r="UH10" s="110"/>
      <c r="UI10" s="111"/>
      <c r="UJ10" s="106" t="str">
        <f>IF(COUNT(UJ11,UJ12)=0,"",SUM(UJ11:UJ12)/COUNT(UJ11,UJ12))</f>
        <v/>
      </c>
      <c r="UK10" s="112" t="str">
        <f t="shared" si="110"/>
        <v/>
      </c>
      <c r="UL10" s="113" t="str">
        <f>IF(COUNT(UL11:UL12)=0,"",SUM(UL11:UL12)/COUNT(UL11:UL12))</f>
        <v/>
      </c>
      <c r="UM10" s="114" t="str">
        <f t="shared" si="111"/>
        <v/>
      </c>
      <c r="UN10" s="137"/>
      <c r="UO10" s="110"/>
      <c r="UP10" s="111"/>
      <c r="UQ10" s="106" t="str">
        <f>IF(COUNT(UQ11:UQ12)=0,"",SUM(UQ11:UQ12)/COUNT(UQ11:UQ12))</f>
        <v/>
      </c>
      <c r="UR10" s="107" t="str">
        <f t="shared" si="112"/>
        <v/>
      </c>
      <c r="US10" s="109"/>
      <c r="UT10" s="110"/>
      <c r="UU10" s="111"/>
      <c r="UV10" s="106" t="str">
        <f>IF(COUNT(UV11,UV12)=0,"",SUM(UV11:UV12)/COUNT(UV11,UV12))</f>
        <v/>
      </c>
      <c r="UW10" s="108" t="str">
        <f t="shared" si="113"/>
        <v/>
      </c>
      <c r="UX10" s="109"/>
      <c r="UY10" s="110"/>
      <c r="UZ10" s="111"/>
      <c r="VA10" s="106" t="str">
        <f>IF(COUNT(VA11,VA12)=0,"",SUM(VA11:VA12)/COUNT(VA11,VA12))</f>
        <v/>
      </c>
      <c r="VB10" s="112" t="str">
        <f t="shared" si="114"/>
        <v/>
      </c>
      <c r="VC10" s="113" t="str">
        <f>IF(COUNT(VC11:VC12)=0,"",SUM(VC11:VC12)/COUNT(VC11:VC12))</f>
        <v/>
      </c>
      <c r="VD10" s="114" t="str">
        <f t="shared" si="115"/>
        <v/>
      </c>
      <c r="VE10" s="137"/>
      <c r="VF10" s="110"/>
      <c r="VG10" s="111"/>
      <c r="VH10" s="106" t="str">
        <f>IF(COUNT(VH11:VH12)=0,"",SUM(VH11:VH12)/COUNT(VH11:VH12))</f>
        <v/>
      </c>
      <c r="VI10" s="107" t="str">
        <f t="shared" si="116"/>
        <v/>
      </c>
      <c r="VJ10" s="109"/>
      <c r="VK10" s="110"/>
      <c r="VL10" s="111"/>
      <c r="VM10" s="106" t="str">
        <f>IF(COUNT(VM11,VM12)=0,"",SUM(VM11:VM12)/COUNT(VM11,VM12))</f>
        <v/>
      </c>
      <c r="VN10" s="108" t="str">
        <f t="shared" si="117"/>
        <v/>
      </c>
      <c r="VO10" s="109"/>
      <c r="VP10" s="110"/>
      <c r="VQ10" s="111"/>
      <c r="VR10" s="106" t="str">
        <f>IF(COUNT(VR11,VR12)=0,"",SUM(VR11:VR12)/COUNT(VR11,VR12))</f>
        <v/>
      </c>
      <c r="VS10" s="112" t="str">
        <f t="shared" si="118"/>
        <v/>
      </c>
      <c r="VT10" s="113" t="str">
        <f>IF(COUNT(VT11:VT12)=0,"",SUM(VT11:VT12)/COUNT(VT11:VT12))</f>
        <v/>
      </c>
      <c r="VU10" s="114" t="str">
        <f t="shared" si="119"/>
        <v/>
      </c>
    </row>
    <row r="11" spans="1:593" ht="18" customHeight="1" x14ac:dyDescent="0.55000000000000004">
      <c r="A11" s="246" t="s">
        <v>18</v>
      </c>
      <c r="B11" s="247"/>
      <c r="C11" s="123"/>
      <c r="D11" s="124" t="s">
        <v>32</v>
      </c>
      <c r="E11" s="125"/>
      <c r="F11" s="180">
        <f>IFERROR((((COUNTIF('Elève (4ème2)'!C11:E11,"A"))*4)+((COUNTIF('Elève (4ème2)'!C11:E11,"B"))*3)+((COUNTIF('Elève (4ème2)'!C11:E11,"C"))*2)+((COUNTIF('Elève (4ème2)'!C11:E11,"D"))*1))/(COUNTA(C11:E11)),"")</f>
        <v>1</v>
      </c>
      <c r="G11" s="181" t="str">
        <f t="shared" si="0"/>
        <v>D</v>
      </c>
      <c r="H11" s="123" t="s">
        <v>30</v>
      </c>
      <c r="I11" s="124"/>
      <c r="J11" s="125"/>
      <c r="K11" s="125"/>
      <c r="L11" s="180">
        <f>IFERROR((((COUNTIF('Elève (4ème2)'!H11:K11,"A"))*4)+((COUNTIF('Elève (4ème2)'!H11:K11,"B"))*3)+((COUNTIF('Elève (4ème2)'!H11:K11,"C"))*2)+((COUNTIF('Elève (4ème2)'!H11:K11,"D"))*1))/(COUNTA(H11:K11)),"")</f>
        <v>3</v>
      </c>
      <c r="M11" s="181" t="str">
        <f t="shared" si="1"/>
        <v>B</v>
      </c>
      <c r="N11" s="123" t="s">
        <v>31</v>
      </c>
      <c r="O11" s="124" t="s">
        <v>29</v>
      </c>
      <c r="P11" s="218" t="s">
        <v>31</v>
      </c>
      <c r="Q11" s="218" t="s">
        <v>29</v>
      </c>
      <c r="R11" s="125"/>
      <c r="S11" s="180">
        <f>IFERROR((((COUNTIF('Elève (4ème2)'!N11:R11,"A"))*4)+((COUNTIF('Elève (4ème2)'!N11:R11,"B"))*3)+((COUNTIF('Elève (4ème2)'!N11:R11,"C"))*2)+((COUNTIF('Elève (4ème2)'!N11:R11,"D"))*1))/(COUNTA(N11:R11)),"")</f>
        <v>3</v>
      </c>
      <c r="T11" s="181" t="str">
        <f t="shared" si="2"/>
        <v>B</v>
      </c>
      <c r="U11" s="208">
        <f>IF(COUNT(F11,L11,S11)=0,"",SUM(F11,L11,S11)/COUNT(F11,L11,S11))</f>
        <v>2.3333333333333335</v>
      </c>
      <c r="V11" s="205" t="str">
        <f t="shared" si="3"/>
        <v>C</v>
      </c>
      <c r="W11" s="123"/>
      <c r="X11" s="124" t="s">
        <v>31</v>
      </c>
      <c r="Y11" s="125"/>
      <c r="Z11" s="180">
        <f>IFERROR((((COUNTIF('Elève (4ème2)'!W11:Y11,"A"))*4)+((COUNTIF('Elève (4ème2)'!W11:Y11,"B"))*3)+((COUNTIF('Elève (4ème2)'!W11:Y11,"C"))*2)+((COUNTIF('Elève (4ème2)'!W11:Y11,"D"))*1))/(COUNTA(W11:Y11)),"")</f>
        <v>2</v>
      </c>
      <c r="AA11" s="181" t="str">
        <f t="shared" si="4"/>
        <v>C</v>
      </c>
      <c r="AB11" s="123" t="s">
        <v>31</v>
      </c>
      <c r="AC11" s="124"/>
      <c r="AD11" s="125"/>
      <c r="AE11" s="125"/>
      <c r="AF11" s="180">
        <f>IFERROR((((COUNTIF('Elève (4ème2)'!AB11:AE11,"A"))*4)+((COUNTIF('Elève (4ème2)'!AB11:AE11,"B"))*3)+((COUNTIF('Elève (4ème2)'!AB11:AE11,"C"))*2)+((COUNTIF('Elève (4ème2)'!AB11:AE11,"D"))*1))/(COUNTA(AB11:AE11)),"")</f>
        <v>2</v>
      </c>
      <c r="AG11" s="181" t="str">
        <f t="shared" si="5"/>
        <v>C</v>
      </c>
      <c r="AH11" s="123" t="s">
        <v>30</v>
      </c>
      <c r="AI11" s="218" t="s">
        <v>29</v>
      </c>
      <c r="AJ11" s="218" t="s">
        <v>29</v>
      </c>
      <c r="AK11" s="124" t="s">
        <v>29</v>
      </c>
      <c r="AL11" s="129"/>
      <c r="AM11" s="180">
        <f>IFERROR((((COUNTIF('Elève (4ème2)'!AH11:AL11,"A"))*4)+((COUNTIF('Elève (4ème2)'!AH11:AL11,"B"))*3)+((COUNTIF('Elève (4ème2)'!AH11:AL11,"C"))*2)+((COUNTIF('Elève (4ème2)'!AH11:AL11,"D"))*1))/(COUNTA(AH11:AL11)),"")</f>
        <v>3.75</v>
      </c>
      <c r="AN11" s="181" t="str">
        <f t="shared" si="6"/>
        <v>A</v>
      </c>
      <c r="AO11" s="208">
        <f>IF(COUNT(Z11,AF11,AM11)=0,"",SUM(Z11,AF11,AM11)/COUNT(Z11,AF11,AM11))</f>
        <v>2.5833333333333335</v>
      </c>
      <c r="AP11" s="205" t="str">
        <f t="shared" si="7"/>
        <v>C</v>
      </c>
      <c r="AQ11" s="123"/>
      <c r="AR11" s="124" t="s">
        <v>30</v>
      </c>
      <c r="AS11" s="125"/>
      <c r="AT11" s="180">
        <f>IFERROR((((COUNTIF('Elève (4ème2)'!AQ11:AS11,"A"))*4)+((COUNTIF('Elève (4ème2)'!AQ11:AS11,"B"))*3)+((COUNTIF('Elève (4ème2)'!AQ11:AS11,"C"))*2)+((COUNTIF('Elève (4ème2)'!AQ11:AS11,"D"))*1))/(COUNTA(AQ11:AS11)),"")</f>
        <v>3</v>
      </c>
      <c r="AU11" s="181" t="str">
        <f t="shared" si="8"/>
        <v>B</v>
      </c>
      <c r="AV11" s="123" t="s">
        <v>30</v>
      </c>
      <c r="AW11" s="124"/>
      <c r="AX11" s="125"/>
      <c r="AY11" s="125"/>
      <c r="AZ11" s="180">
        <f>IFERROR((((COUNTIF('Elève (4ème2)'!AV11:AY11,"A"))*4)+((COUNTIF('Elève (4ème2)'!AV11:AY11,"B"))*3)+((COUNTIF('Elève (4ème2)'!AV11:AY11,"C"))*2)+((COUNTIF('Elève (4ème2)'!AV11:AY11,"D"))*1))/(COUNTA(AV11:AY11)),"")</f>
        <v>3</v>
      </c>
      <c r="BA11" s="181" t="str">
        <f t="shared" si="9"/>
        <v>B</v>
      </c>
      <c r="BB11" s="123" t="s">
        <v>32</v>
      </c>
      <c r="BC11" s="218"/>
      <c r="BD11" s="218" t="s">
        <v>29</v>
      </c>
      <c r="BE11" s="124" t="s">
        <v>29</v>
      </c>
      <c r="BF11" s="129"/>
      <c r="BG11" s="180">
        <f>IFERROR((((COUNTIF('Elève (4ème2)'!BB11:BF11,"A"))*4)+((COUNTIF('Elève (4ème2)'!BB11:BF11,"B"))*3)+((COUNTIF('Elève (4ème2)'!BB11:BF11,"C"))*2)+((COUNTIF('Elève (4ème2)'!BB11:BF11,"D"))*1))/(COUNTA(BB11:BF11)),"")</f>
        <v>3</v>
      </c>
      <c r="BH11" s="181" t="str">
        <f t="shared" si="10"/>
        <v>B</v>
      </c>
      <c r="BI11" s="208">
        <f>IF(COUNT(AT11,AZ11,BG11)=0,"",SUM(AT11,AZ11,BG11)/COUNT(AT11,AZ11,BG11))</f>
        <v>3</v>
      </c>
      <c r="BJ11" s="205" t="str">
        <f t="shared" si="11"/>
        <v>B</v>
      </c>
      <c r="BK11" s="123"/>
      <c r="BL11" s="124" t="s">
        <v>30</v>
      </c>
      <c r="BM11" s="125"/>
      <c r="BN11" s="180">
        <f>IFERROR((((COUNTIF('Elève (4ème2)'!BK11:BM11,"A"))*4)+((COUNTIF('Elève (4ème2)'!BK11:BM11,"B"))*3)+((COUNTIF('Elève (4ème2)'!BK11:BM11,"C"))*2)+((COUNTIF('Elève (4ème2)'!BK11:BM11,"D"))*1))/(COUNTA(BK11:BM11)),"")</f>
        <v>3</v>
      </c>
      <c r="BO11" s="181" t="str">
        <f t="shared" si="12"/>
        <v>B</v>
      </c>
      <c r="BP11" s="123" t="s">
        <v>30</v>
      </c>
      <c r="BQ11" s="124"/>
      <c r="BR11" s="125"/>
      <c r="BS11" s="125"/>
      <c r="BT11" s="180">
        <f>IFERROR((((COUNTIF('Elève (4ème2)'!BP11:BS11,"A"))*4)+((COUNTIF('Elève (4ème2)'!BP11:BS11,"B"))*3)+((COUNTIF('Elève (4ème2)'!BP11:BS11,"C"))*2)+((COUNTIF('Elève (4ème2)'!BP11:BS11,"D"))*1))/(COUNTA(BP11:BS11)),"")</f>
        <v>3</v>
      </c>
      <c r="BU11" s="181" t="str">
        <f t="shared" si="13"/>
        <v>B</v>
      </c>
      <c r="BV11" s="123" t="s">
        <v>30</v>
      </c>
      <c r="BW11" s="218" t="s">
        <v>29</v>
      </c>
      <c r="BX11" s="218" t="s">
        <v>31</v>
      </c>
      <c r="BY11" s="124" t="s">
        <v>29</v>
      </c>
      <c r="BZ11" s="129"/>
      <c r="CA11" s="180">
        <f>IFERROR((((COUNTIF('Elève (4ème2)'!BV11:BZ11,"A"))*4)+((COUNTIF('Elève (4ème2)'!BV11:BZ11,"B"))*3)+((COUNTIF('Elève (4ème2)'!BV11:BZ11,"C"))*2)+((COUNTIF('Elève (4ème2)'!BV11:BZ11,"D"))*1))/(COUNTA(BV11:BZ11)),"")</f>
        <v>3.25</v>
      </c>
      <c r="CB11" s="181" t="str">
        <f t="shared" si="14"/>
        <v>B</v>
      </c>
      <c r="CC11" s="208">
        <f>IF(COUNT(BN11,BT11,CA11)=0,"",SUM(BN11,BT11,CA11)/COUNT(BN11,BT11,CA11))</f>
        <v>3.0833333333333335</v>
      </c>
      <c r="CD11" s="205" t="str">
        <f t="shared" si="15"/>
        <v>B</v>
      </c>
      <c r="CE11" s="123"/>
      <c r="CF11" s="124" t="s">
        <v>30</v>
      </c>
      <c r="CG11" s="125"/>
      <c r="CH11" s="180">
        <f>IFERROR((((COUNTIF('Elève (4ème2)'!CE11:CG11,"A"))*4)+((COUNTIF('Elève (4ème2)'!CE11:CG11,"B"))*3)+((COUNTIF('Elève (4ème2)'!CE11:CG11,"C"))*2)+((COUNTIF('Elève (4ème2)'!CE11:CG11,"D"))*1))/(COUNTA(CE11:CG11)),"")</f>
        <v>3</v>
      </c>
      <c r="CI11" s="181" t="str">
        <f t="shared" si="16"/>
        <v>B</v>
      </c>
      <c r="CJ11" s="123" t="s">
        <v>30</v>
      </c>
      <c r="CK11" s="124"/>
      <c r="CL11" s="125"/>
      <c r="CM11" s="125"/>
      <c r="CN11" s="180">
        <f>IFERROR((((COUNTIF('Elève (4ème2)'!CJ11:CM11,"A"))*4)+((COUNTIF('Elève (4ème2)'!CJ11:CM11,"B"))*3)+((COUNTIF('Elève (4ème2)'!CJ11:CM11,"C"))*2)+((COUNTIF('Elève (4ème2)'!CJ11:CM11,"D"))*1))/(COUNTA(CJ11:CM11)),"")</f>
        <v>3</v>
      </c>
      <c r="CO11" s="181" t="str">
        <f t="shared" si="17"/>
        <v>B</v>
      </c>
      <c r="CP11" s="123" t="s">
        <v>29</v>
      </c>
      <c r="CQ11" s="218" t="s">
        <v>29</v>
      </c>
      <c r="CR11" s="218" t="s">
        <v>29</v>
      </c>
      <c r="CS11" s="124" t="s">
        <v>29</v>
      </c>
      <c r="CT11" s="129"/>
      <c r="CU11" s="180">
        <f>IFERROR((((COUNTIF('Elève (4ème2)'!CP11:CT11,"A"))*4)+((COUNTIF('Elève (4ème2)'!CP11:CT11,"B"))*3)+((COUNTIF('Elève (4ème2)'!CP11:CT11,"C"))*2)+((COUNTIF('Elève (4ème2)'!CP11:CT11,"D"))*1))/(COUNTA(CP11:CT11)),"")</f>
        <v>4</v>
      </c>
      <c r="CV11" s="181" t="str">
        <f t="shared" si="18"/>
        <v>A</v>
      </c>
      <c r="CW11" s="208">
        <f>IF(COUNT(CH11,CN11,CU11)=0,"",SUM(CH11,CN11,CU11)/COUNT(CH11,CN11,CU11))</f>
        <v>3.3333333333333335</v>
      </c>
      <c r="CX11" s="205" t="str">
        <f t="shared" si="19"/>
        <v>B</v>
      </c>
      <c r="CY11" s="123"/>
      <c r="CZ11" s="124" t="s">
        <v>30</v>
      </c>
      <c r="DA11" s="125"/>
      <c r="DB11" s="180">
        <f>IFERROR((((COUNTIF('Elève (4ème2)'!CY11:DA11,"A"))*4)+((COUNTIF('Elève (4ème2)'!CY11:DA11,"B"))*3)+((COUNTIF('Elève (4ème2)'!CY11:DA11,"C"))*2)+((COUNTIF('Elève (4ème2)'!CY11:DA11,"D"))*1))/(COUNTA(CY11:DA11)),"")</f>
        <v>3</v>
      </c>
      <c r="DC11" s="181" t="str">
        <f t="shared" si="20"/>
        <v>B</v>
      </c>
      <c r="DD11" s="123" t="s">
        <v>30</v>
      </c>
      <c r="DE11" s="124"/>
      <c r="DF11" s="125"/>
      <c r="DG11" s="125"/>
      <c r="DH11" s="180">
        <f>IFERROR((((COUNTIF('Elève (4ème2)'!DD11:DG11,"A"))*4)+((COUNTIF('Elève (4ème2)'!DD11:DG11,"B"))*3)+((COUNTIF('Elève (4ème2)'!DD11:DG11,"C"))*2)+((COUNTIF('Elève (4ème2)'!DD11:DG11,"D"))*1))/(COUNTA(DD11:DG11)),"")</f>
        <v>3</v>
      </c>
      <c r="DI11" s="181" t="str">
        <f t="shared" si="21"/>
        <v>B</v>
      </c>
      <c r="DJ11" s="123"/>
      <c r="DK11" s="218" t="s">
        <v>29</v>
      </c>
      <c r="DL11" s="218" t="s">
        <v>29</v>
      </c>
      <c r="DM11" s="124" t="s">
        <v>29</v>
      </c>
      <c r="DN11" s="129"/>
      <c r="DO11" s="180">
        <f>IFERROR((((COUNTIF('Elève (4ème2)'!DJ11:DN11,"A"))*4)+((COUNTIF('Elève (4ème2)'!DJ11:DN11,"B"))*3)+((COUNTIF('Elève (4ème2)'!DJ11:DN11,"C"))*2)+((COUNTIF('Elève (4ème2)'!DJ11:DN11,"D"))*1))/(COUNTA(DJ11:DN11)),"")</f>
        <v>4</v>
      </c>
      <c r="DP11" s="181" t="str">
        <f t="shared" si="22"/>
        <v>A</v>
      </c>
      <c r="DQ11" s="208">
        <f>IF(COUNT(DB11,DH11,DO11)=0,"",SUM(DB11,DH11,DO11)/COUNT(DB11,DH11,DO11))</f>
        <v>3.3333333333333335</v>
      </c>
      <c r="DR11" s="205" t="str">
        <f t="shared" si="23"/>
        <v>B</v>
      </c>
      <c r="DS11" s="123"/>
      <c r="DT11" s="124" t="s">
        <v>31</v>
      </c>
      <c r="DU11" s="125"/>
      <c r="DV11" s="180">
        <f>IFERROR((((COUNTIF('Elève (4ème2)'!DS11:DU11,"A"))*4)+((COUNTIF('Elève (4ème2)'!DS11:DU11,"B"))*3)+((COUNTIF('Elève (4ème2)'!DS11:DU11,"C"))*2)+((COUNTIF('Elève (4ème2)'!DS11:DU11,"D"))*1))/(COUNTA(DS11:DU11)),"")</f>
        <v>2</v>
      </c>
      <c r="DW11" s="181" t="str">
        <f t="shared" si="24"/>
        <v>C</v>
      </c>
      <c r="DX11" s="123" t="s">
        <v>30</v>
      </c>
      <c r="DY11" s="124"/>
      <c r="DZ11" s="125"/>
      <c r="EA11" s="125"/>
      <c r="EB11" s="180">
        <f>IFERROR((((COUNTIF('Elève (4ème2)'!DX11:EA11,"A"))*4)+((COUNTIF('Elève (4ème2)'!DX11:EA11,"B"))*3)+((COUNTIF('Elève (4ème2)'!DX11:EA11,"C"))*2)+((COUNTIF('Elève (4ème2)'!DX11:EA11,"D"))*1))/(COUNTA(DX11:EA11)),"")</f>
        <v>3</v>
      </c>
      <c r="EC11" s="181" t="str">
        <f t="shared" si="25"/>
        <v>B</v>
      </c>
      <c r="ED11" s="123" t="s">
        <v>30</v>
      </c>
      <c r="EE11" s="218" t="s">
        <v>29</v>
      </c>
      <c r="EF11" s="218" t="s">
        <v>29</v>
      </c>
      <c r="EG11" s="124" t="s">
        <v>29</v>
      </c>
      <c r="EH11" s="129"/>
      <c r="EI11" s="180">
        <f>IFERROR((((COUNTIF('Elève (4ème2)'!ED11:EH11,"A"))*4)+((COUNTIF('Elève (4ème2)'!ED11:EH11,"B"))*3)+((COUNTIF('Elève (4ème2)'!ED11:EH11,"C"))*2)+((COUNTIF('Elève (4ème2)'!ED11:EH11,"D"))*1))/(COUNTA(ED11:EH11)),"")</f>
        <v>3.75</v>
      </c>
      <c r="EJ11" s="181" t="str">
        <f t="shared" si="26"/>
        <v>A</v>
      </c>
      <c r="EK11" s="208">
        <f>IF(COUNT(DV11,EB11,EI11)=0,"",SUM(DV11,EB11,EI11)/COUNT(DV11,EB11,EI11))</f>
        <v>2.9166666666666665</v>
      </c>
      <c r="EL11" s="205" t="str">
        <f t="shared" si="27"/>
        <v>B</v>
      </c>
      <c r="EM11" s="123"/>
      <c r="EN11" s="124" t="s">
        <v>29</v>
      </c>
      <c r="EO11" s="125"/>
      <c r="EP11" s="180">
        <f>IFERROR((((COUNTIF('Elève (4ème2)'!EM11:EO11,"A"))*4)+((COUNTIF('Elève (4ème2)'!EM11:EO11,"B"))*3)+((COUNTIF('Elève (4ème2)'!EM11:EO11,"C"))*2)+((COUNTIF('Elève (4ème2)'!EM11:EO11,"D"))*1))/(COUNTA(EM11:EO11)),"")</f>
        <v>4</v>
      </c>
      <c r="EQ11" s="181" t="str">
        <f t="shared" si="28"/>
        <v>A</v>
      </c>
      <c r="ER11" s="123" t="s">
        <v>30</v>
      </c>
      <c r="ES11" s="124"/>
      <c r="ET11" s="125"/>
      <c r="EU11" s="125"/>
      <c r="EV11" s="180">
        <f>IFERROR((((COUNTIF('Elève (4ème2)'!ER11:EU11,"A"))*4)+((COUNTIF('Elève (4ème2)'!ER11:EU11,"B"))*3)+((COUNTIF('Elève (4ème2)'!ER11:EU11,"C"))*2)+((COUNTIF('Elève (4ème2)'!ER11:EU11,"D"))*1))/(COUNTA(ER11:EU11)),"")</f>
        <v>3</v>
      </c>
      <c r="EW11" s="181" t="str">
        <f t="shared" si="29"/>
        <v>B</v>
      </c>
      <c r="EX11" s="123" t="s">
        <v>30</v>
      </c>
      <c r="EY11" s="218" t="s">
        <v>29</v>
      </c>
      <c r="EZ11" s="218" t="s">
        <v>29</v>
      </c>
      <c r="FA11" s="124" t="s">
        <v>29</v>
      </c>
      <c r="FB11" s="129"/>
      <c r="FC11" s="180">
        <f>IFERROR((((COUNTIF('Elève (4ème2)'!EX11:FB11,"A"))*4)+((COUNTIF('Elève (4ème2)'!EX11:FB11,"B"))*3)+((COUNTIF('Elève (4ème2)'!EX11:FB11,"C"))*2)+((COUNTIF('Elève (4ème2)'!EX11:FB11,"D"))*1))/(COUNTA(EX11:FB11)),"")</f>
        <v>3.75</v>
      </c>
      <c r="FD11" s="181" t="str">
        <f t="shared" si="30"/>
        <v>A</v>
      </c>
      <c r="FE11" s="208">
        <f>IF(COUNT(EP11,EV11,FC11)=0,"",SUM(EP11,EV11,FC11)/COUNT(EP11,EV11,FC11))</f>
        <v>3.5833333333333335</v>
      </c>
      <c r="FF11" s="205" t="str">
        <f t="shared" si="31"/>
        <v>B</v>
      </c>
      <c r="FG11" s="123"/>
      <c r="FH11" s="124" t="s">
        <v>30</v>
      </c>
      <c r="FI11" s="125"/>
      <c r="FJ11" s="180">
        <f>IFERROR((((COUNTIF('Elève (4ème2)'!FG11:FI11,"A"))*4)+((COUNTIF('Elève (4ème2)'!FG11:FI11,"B"))*3)+((COUNTIF('Elève (4ème2)'!FG11:FI11,"C"))*2)+((COUNTIF('Elève (4ème2)'!FG11:FI11,"D"))*1))/(COUNTA(FG11:FI11)),"")</f>
        <v>3</v>
      </c>
      <c r="FK11" s="181" t="str">
        <f t="shared" si="32"/>
        <v>B</v>
      </c>
      <c r="FL11" s="123" t="s">
        <v>30</v>
      </c>
      <c r="FM11" s="124"/>
      <c r="FN11" s="125"/>
      <c r="FO11" s="125"/>
      <c r="FP11" s="180">
        <f>IFERROR((((COUNTIF('Elève (4ème2)'!FL11:FO11,"A"))*4)+((COUNTIF('Elève (4ème2)'!FL11:FO11,"B"))*3)+((COUNTIF('Elève (4ème2)'!FL11:FO11,"C"))*2)+((COUNTIF('Elève (4ème2)'!FL11:FO11,"D"))*1))/(COUNTA(FL11:FO11)),"")</f>
        <v>3</v>
      </c>
      <c r="FQ11" s="181" t="str">
        <f t="shared" si="33"/>
        <v>B</v>
      </c>
      <c r="FR11" s="123" t="s">
        <v>32</v>
      </c>
      <c r="FS11" s="218" t="s">
        <v>29</v>
      </c>
      <c r="FT11" s="218" t="s">
        <v>29</v>
      </c>
      <c r="FU11" s="124" t="s">
        <v>29</v>
      </c>
      <c r="FV11" s="129"/>
      <c r="FW11" s="180">
        <f>IFERROR((((COUNTIF('Elève (4ème2)'!FR11:FV11,"A"))*4)+((COUNTIF('Elève (4ème2)'!FR11:FV11,"B"))*3)+((COUNTIF('Elève (4ème2)'!FR11:FV11,"C"))*2)+((COUNTIF('Elève (4ème2)'!FR11:FV11,"D"))*1))/(COUNTA(FR11:FV11)),"")</f>
        <v>3.25</v>
      </c>
      <c r="FX11" s="181" t="str">
        <f t="shared" si="34"/>
        <v>B</v>
      </c>
      <c r="FY11" s="208">
        <f>IF(COUNT(FJ11,FP11,FW11)=0,"",SUM(FJ11,FP11,FW11)/COUNT(FJ11,FP11,FW11))</f>
        <v>3.0833333333333335</v>
      </c>
      <c r="FZ11" s="205" t="str">
        <f t="shared" si="35"/>
        <v>B</v>
      </c>
      <c r="GA11" s="123"/>
      <c r="GB11" s="124" t="s">
        <v>30</v>
      </c>
      <c r="GC11" s="125"/>
      <c r="GD11" s="180">
        <f>IFERROR((((COUNTIF('Elève (4ème2)'!GA11:GC11,"A"))*4)+((COUNTIF('Elève (4ème2)'!GA11:GC11,"B"))*3)+((COUNTIF('Elève (4ème2)'!GA11:GC11,"C"))*2)+((COUNTIF('Elève (4ème2)'!GA11:GC11,"D"))*1))/(COUNTA(GA11:GC11)),"")</f>
        <v>3</v>
      </c>
      <c r="GE11" s="181" t="str">
        <f t="shared" si="36"/>
        <v>B</v>
      </c>
      <c r="GF11" s="123"/>
      <c r="GG11" s="124"/>
      <c r="GH11" s="125"/>
      <c r="GI11" s="125"/>
      <c r="GJ11" s="180" t="str">
        <f>IFERROR((((COUNTIF('Elève (4ème2)'!GF11:GI11,"A"))*4)+((COUNTIF('Elève (4ème2)'!GF11:GI11,"B"))*3)+((COUNTIF('Elève (4ème2)'!GF11:GI11,"C"))*2)+((COUNTIF('Elève (4ème2)'!GF11:GI11,"D"))*1))/(COUNTA(GF11:GI11)),"")</f>
        <v/>
      </c>
      <c r="GK11" s="181" t="str">
        <f t="shared" si="37"/>
        <v/>
      </c>
      <c r="GL11" s="123" t="s">
        <v>30</v>
      </c>
      <c r="GM11" s="218" t="s">
        <v>29</v>
      </c>
      <c r="GN11" s="218" t="s">
        <v>29</v>
      </c>
      <c r="GO11" s="124" t="s">
        <v>29</v>
      </c>
      <c r="GP11" s="129"/>
      <c r="GQ11" s="180">
        <f>IFERROR((((COUNTIF('Elève (4ème2)'!GL11:GP11,"A"))*4)+((COUNTIF('Elève (4ème2)'!GL11:GP11,"B"))*3)+((COUNTIF('Elève (4ème2)'!GL11:GP11,"C"))*2)+((COUNTIF('Elève (4ème2)'!GL11:GP11,"D"))*1))/(COUNTA(GL11:GP11)),"")</f>
        <v>3.75</v>
      </c>
      <c r="GR11" s="181" t="str">
        <f t="shared" si="38"/>
        <v>A</v>
      </c>
      <c r="GS11" s="208">
        <f>IF(COUNT(GD11,GJ11,GQ11)=0,"",SUM(GD11,GJ11,GQ11)/COUNT(GD11,GJ11,GQ11))</f>
        <v>3.375</v>
      </c>
      <c r="GT11" s="205" t="str">
        <f t="shared" si="39"/>
        <v>B</v>
      </c>
      <c r="GU11" s="123"/>
      <c r="GV11" s="124" t="s">
        <v>30</v>
      </c>
      <c r="GW11" s="125"/>
      <c r="GX11" s="180">
        <f>IFERROR((((COUNTIF('Elève (4ème2)'!GU11:GW11,"A"))*4)+((COUNTIF('Elève (4ème2)'!GU11:GW11,"B"))*3)+((COUNTIF('Elève (4ème2)'!GU11:GW11,"C"))*2)+((COUNTIF('Elève (4ème2)'!GU11:GW11,"D"))*1))/(COUNTA(GU11:GW11)),"")</f>
        <v>3</v>
      </c>
      <c r="GY11" s="181" t="str">
        <f t="shared" si="40"/>
        <v>B</v>
      </c>
      <c r="GZ11" s="123" t="s">
        <v>31</v>
      </c>
      <c r="HA11" s="124"/>
      <c r="HB11" s="125"/>
      <c r="HC11" s="125"/>
      <c r="HD11" s="180">
        <f>IFERROR((((COUNTIF('Elève (4ème2)'!GZ11:HC11,"A"))*4)+((COUNTIF('Elève (4ème2)'!GZ11:HC11,"B"))*3)+((COUNTIF('Elève (4ème2)'!GZ11:HC11,"C"))*2)+((COUNTIF('Elève (4ème2)'!GZ11:HC11,"D"))*1))/(COUNTA(GZ11:HC11)),"")</f>
        <v>2</v>
      </c>
      <c r="HE11" s="181" t="str">
        <f t="shared" si="41"/>
        <v>C</v>
      </c>
      <c r="HF11" s="123" t="s">
        <v>30</v>
      </c>
      <c r="HG11" s="218" t="s">
        <v>29</v>
      </c>
      <c r="HH11" s="218" t="s">
        <v>30</v>
      </c>
      <c r="HI11" s="124" t="s">
        <v>29</v>
      </c>
      <c r="HJ11" s="129"/>
      <c r="HK11" s="180">
        <f>IFERROR((((COUNTIF('Elève (4ème2)'!HF11:HJ11,"A"))*4)+((COUNTIF('Elève (4ème2)'!HF11:HJ11,"B"))*3)+((COUNTIF('Elève (4ème2)'!HF11:HJ11,"C"))*2)+((COUNTIF('Elève (4ème2)'!HF11:HJ11,"D"))*1))/(COUNTA(HF11:HJ11)),"")</f>
        <v>3.5</v>
      </c>
      <c r="HL11" s="181" t="str">
        <f t="shared" si="42"/>
        <v>B</v>
      </c>
      <c r="HM11" s="208">
        <f>IF(COUNT(GX11,HD11,HK11)=0,"",SUM(GX11,HD11,HK11)/COUNT(GX11,HD11,HK11))</f>
        <v>2.8333333333333335</v>
      </c>
      <c r="HN11" s="205" t="str">
        <f t="shared" si="43"/>
        <v>B</v>
      </c>
      <c r="HO11" s="123"/>
      <c r="HP11" s="124" t="s">
        <v>31</v>
      </c>
      <c r="HQ11" s="125"/>
      <c r="HR11" s="180">
        <f>IFERROR((((COUNTIF('Elève (4ème2)'!HO11:HQ11,"A"))*4)+((COUNTIF('Elève (4ème2)'!HO11:HQ11,"B"))*3)+((COUNTIF('Elève (4ème2)'!HO11:HQ11,"C"))*2)+((COUNTIF('Elève (4ème2)'!HO11:HQ11,"D"))*1))/(COUNTA(HO11:HQ11)),"")</f>
        <v>2</v>
      </c>
      <c r="HS11" s="181" t="str">
        <f t="shared" si="44"/>
        <v>C</v>
      </c>
      <c r="HT11" s="123" t="s">
        <v>30</v>
      </c>
      <c r="HU11" s="124"/>
      <c r="HV11" s="125"/>
      <c r="HW11" s="125"/>
      <c r="HX11" s="180">
        <f>IFERROR((((COUNTIF('Elève (4ème2)'!HT11:HW11,"A"))*4)+((COUNTIF('Elève (4ème2)'!HT11:HW11,"B"))*3)+((COUNTIF('Elève (4ème2)'!HT11:HW11,"C"))*2)+((COUNTIF('Elève (4ème2)'!HT11:HW11,"D"))*1))/(COUNTA(HT11:HW11)),"")</f>
        <v>3</v>
      </c>
      <c r="HY11" s="181" t="str">
        <f t="shared" si="45"/>
        <v>B</v>
      </c>
      <c r="HZ11" s="123" t="s">
        <v>29</v>
      </c>
      <c r="IA11" s="218" t="s">
        <v>29</v>
      </c>
      <c r="IB11" s="218" t="s">
        <v>29</v>
      </c>
      <c r="IC11" s="124" t="s">
        <v>29</v>
      </c>
      <c r="ID11" s="129"/>
      <c r="IE11" s="180">
        <f>IFERROR((((COUNTIF('Elève (4ème2)'!HZ11:ID11,"A"))*4)+((COUNTIF('Elève (4ème2)'!HZ11:ID11,"B"))*3)+((COUNTIF('Elève (4ème2)'!HZ11:ID11,"C"))*2)+((COUNTIF('Elève (4ème2)'!HZ11:ID11,"D"))*1))/(COUNTA(HZ11:ID11)),"")</f>
        <v>4</v>
      </c>
      <c r="IF11" s="181" t="str">
        <f t="shared" si="46"/>
        <v>A</v>
      </c>
      <c r="IG11" s="208">
        <f>IF(COUNT(HR11,HX11,IE11)=0,"",SUM(HR11,HX11,IE11)/COUNT(HR11,HX11,IE11))</f>
        <v>3</v>
      </c>
      <c r="IH11" s="205" t="str">
        <f t="shared" si="47"/>
        <v>B</v>
      </c>
      <c r="II11" s="123"/>
      <c r="IJ11" s="124" t="s">
        <v>30</v>
      </c>
      <c r="IK11" s="125"/>
      <c r="IL11" s="180">
        <f>IFERROR((((COUNTIF('Elève (4ème2)'!II11:IK11,"A"))*4)+((COUNTIF('Elève (4ème2)'!II11:IK11,"B"))*3)+((COUNTIF('Elève (4ème2)'!II11:IK11,"C"))*2)+((COUNTIF('Elève (4ème2)'!II11:IK11,"D"))*1))/(COUNTA(II11:IK11)),"")</f>
        <v>3</v>
      </c>
      <c r="IM11" s="181" t="str">
        <f t="shared" si="48"/>
        <v>B</v>
      </c>
      <c r="IN11" s="123"/>
      <c r="IO11" s="124"/>
      <c r="IP11" s="125"/>
      <c r="IQ11" s="125"/>
      <c r="IR11" s="180" t="str">
        <f>IFERROR((((COUNTIF('Elève (4ème2)'!IN11:IQ11,"A"))*4)+((COUNTIF('Elève (4ème2)'!IN11:IQ11,"B"))*3)+((COUNTIF('Elève (4ème2)'!IN11:IQ11,"C"))*2)+((COUNTIF('Elève (4ème2)'!IN11:IQ11,"D"))*1))/(COUNTA(IN11:IQ11)),"")</f>
        <v/>
      </c>
      <c r="IS11" s="181" t="str">
        <f t="shared" si="49"/>
        <v/>
      </c>
      <c r="IT11" s="123" t="s">
        <v>30</v>
      </c>
      <c r="IU11" s="218" t="s">
        <v>29</v>
      </c>
      <c r="IV11" s="218" t="s">
        <v>29</v>
      </c>
      <c r="IW11" s="124" t="s">
        <v>29</v>
      </c>
      <c r="IX11" s="129"/>
      <c r="IY11" s="180">
        <f>IFERROR((((COUNTIF('Elève (4ème2)'!IT11:IX11,"A"))*4)+((COUNTIF('Elève (4ème2)'!IT11:IX11,"B"))*3)+((COUNTIF('Elève (4ème2)'!IT11:IX11,"C"))*2)+((COUNTIF('Elève (4ème2)'!IT11:IX11,"D"))*1))/(COUNTA(IT11:IX11)),"")</f>
        <v>3.75</v>
      </c>
      <c r="IZ11" s="181" t="str">
        <f t="shared" si="50"/>
        <v>A</v>
      </c>
      <c r="JA11" s="208">
        <f>IF(COUNT(IL11,IR11,IY11)=0,"",SUM(IL11,IR11,IY11)/COUNT(IL11,IR11,IY11))</f>
        <v>3.375</v>
      </c>
      <c r="JB11" s="205" t="str">
        <f t="shared" si="51"/>
        <v>B</v>
      </c>
      <c r="JC11" s="123"/>
      <c r="JD11" s="124" t="s">
        <v>29</v>
      </c>
      <c r="JE11" s="125"/>
      <c r="JF11" s="180">
        <f>IFERROR((((COUNTIF('Elève (4ème2)'!JC11:JE11,"A"))*4)+((COUNTIF('Elève (4ème2)'!JC11:JE11,"B"))*3)+((COUNTIF('Elève (4ème2)'!JC11:JE11,"C"))*2)+((COUNTIF('Elève (4ème2)'!JC11:JE11,"D"))*1))/(COUNTA(JC11:JE11)),"")</f>
        <v>4</v>
      </c>
      <c r="JG11" s="181" t="str">
        <f t="shared" si="52"/>
        <v>A</v>
      </c>
      <c r="JH11" s="123" t="s">
        <v>30</v>
      </c>
      <c r="JI11" s="124"/>
      <c r="JJ11" s="125"/>
      <c r="JK11" s="125"/>
      <c r="JL11" s="180">
        <f>IFERROR((((COUNTIF('Elève (4ème2)'!JH11:JK11,"A"))*4)+((COUNTIF('Elève (4ème2)'!JH11:JK11,"B"))*3)+((COUNTIF('Elève (4ème2)'!JH11:JK11,"C"))*2)+((COUNTIF('Elève (4ème2)'!JH11:JK11,"D"))*1))/(COUNTA(JH11:JK11)),"")</f>
        <v>3</v>
      </c>
      <c r="JM11" s="181" t="str">
        <f t="shared" si="53"/>
        <v>B</v>
      </c>
      <c r="JN11" s="123" t="s">
        <v>30</v>
      </c>
      <c r="JO11" s="218" t="s">
        <v>29</v>
      </c>
      <c r="JP11" s="218" t="s">
        <v>29</v>
      </c>
      <c r="JQ11" s="124" t="s">
        <v>29</v>
      </c>
      <c r="JR11" s="129"/>
      <c r="JS11" s="180">
        <f>IFERROR((((COUNTIF('Elève (4ème2)'!JN11:JR11,"A"))*4)+((COUNTIF('Elève (4ème2)'!JN11:JR11,"B"))*3)+((COUNTIF('Elève (4ème2)'!JN11:JR11,"C"))*2)+((COUNTIF('Elève (4ème2)'!JN11:JR11,"D"))*1))/(COUNTA(JN11:JR11)),"")</f>
        <v>3.75</v>
      </c>
      <c r="JT11" s="181" t="str">
        <f t="shared" si="54"/>
        <v>A</v>
      </c>
      <c r="JU11" s="208">
        <f>IF(COUNT(JF11,JL11,JS11)=0,"",SUM(JF11,JL11,JS11)/COUNT(JF11,JL11,JS11))</f>
        <v>3.5833333333333335</v>
      </c>
      <c r="JV11" s="205" t="str">
        <f t="shared" si="55"/>
        <v>B</v>
      </c>
      <c r="JW11" s="123"/>
      <c r="JX11" s="124" t="s">
        <v>30</v>
      </c>
      <c r="JY11" s="125"/>
      <c r="JZ11" s="180">
        <f>IFERROR((((COUNTIF('Elève (4ème2)'!JW11:JY11,"A"))*4)+((COUNTIF('Elève (4ème2)'!JW11:JY11,"B"))*3)+((COUNTIF('Elève (4ème2)'!JW11:JY11,"C"))*2)+((COUNTIF('Elève (4ème2)'!JW11:JY11,"D"))*1))/(COUNTA(JW11:JY11)),"")</f>
        <v>3</v>
      </c>
      <c r="KA11" s="181" t="str">
        <f t="shared" si="56"/>
        <v>B</v>
      </c>
      <c r="KB11" s="123" t="s">
        <v>30</v>
      </c>
      <c r="KC11" s="124"/>
      <c r="KD11" s="125"/>
      <c r="KE11" s="125"/>
      <c r="KF11" s="180">
        <f>IFERROR((((COUNTIF('Elève (4ème2)'!KB11:KE11,"A"))*4)+((COUNTIF('Elève (4ème2)'!KB11:KE11,"B"))*3)+((COUNTIF('Elève (4ème2)'!KB11:KE11,"C"))*2)+((COUNTIF('Elève (4ème2)'!KB11:KE11,"D"))*1))/(COUNTA(KB11:KE11)),"")</f>
        <v>3</v>
      </c>
      <c r="KG11" s="181" t="str">
        <f t="shared" si="57"/>
        <v>B</v>
      </c>
      <c r="KH11" s="123" t="s">
        <v>30</v>
      </c>
      <c r="KI11" s="218" t="s">
        <v>29</v>
      </c>
      <c r="KJ11" s="218" t="s">
        <v>29</v>
      </c>
      <c r="KK11" s="124" t="s">
        <v>29</v>
      </c>
      <c r="KL11" s="129"/>
      <c r="KM11" s="180">
        <f>IFERROR((((COUNTIF('Elève (4ème2)'!KH11:KL11,"A"))*4)+((COUNTIF('Elève (4ème2)'!KH11:KL11,"B"))*3)+((COUNTIF('Elève (4ème2)'!KH11:KL11,"C"))*2)+((COUNTIF('Elève (4ème2)'!KH11:KL11,"D"))*1))/(COUNTA(KH11:KL11)),"")</f>
        <v>3.75</v>
      </c>
      <c r="KN11" s="181" t="str">
        <f t="shared" si="58"/>
        <v>A</v>
      </c>
      <c r="KO11" s="208">
        <f>IF(COUNT(JZ11,KF11,KM11)=0,"",SUM(JZ11,KF11,KM11)/COUNT(JZ11,KF11,KM11))</f>
        <v>3.25</v>
      </c>
      <c r="KP11" s="205" t="str">
        <f t="shared" si="59"/>
        <v>B</v>
      </c>
      <c r="KQ11" s="123"/>
      <c r="KR11" s="124" t="s">
        <v>31</v>
      </c>
      <c r="KS11" s="125"/>
      <c r="KT11" s="180">
        <f>IFERROR((((COUNTIF('Elève (4ème2)'!KQ11:KS11,"A"))*4)+((COUNTIF('Elève (4ème2)'!KQ11:KS11,"B"))*3)+((COUNTIF('Elève (4ème2)'!KQ11:KS11,"C"))*2)+((COUNTIF('Elève (4ème2)'!KQ11:KS11,"D"))*1))/(COUNTA(KQ11:KS11)),"")</f>
        <v>2</v>
      </c>
      <c r="KU11" s="181" t="str">
        <f t="shared" si="60"/>
        <v>C</v>
      </c>
      <c r="KV11" s="123" t="s">
        <v>29</v>
      </c>
      <c r="KW11" s="124"/>
      <c r="KX11" s="125"/>
      <c r="KY11" s="125"/>
      <c r="KZ11" s="180">
        <f>IFERROR((((COUNTIF('Elève (4ème2)'!KV11:KY11,"A"))*4)+((COUNTIF('Elève (4ème2)'!KV11:KY11,"B"))*3)+((COUNTIF('Elève (4ème2)'!KV11:KY11,"C"))*2)+((COUNTIF('Elève (4ème2)'!KV11:KY11,"D"))*1))/(COUNTA(KV11:KY11)),"")</f>
        <v>4</v>
      </c>
      <c r="LA11" s="181" t="str">
        <f t="shared" si="61"/>
        <v>A</v>
      </c>
      <c r="LB11" s="123" t="s">
        <v>30</v>
      </c>
      <c r="LC11" s="218" t="s">
        <v>29</v>
      </c>
      <c r="LD11" s="218" t="s">
        <v>30</v>
      </c>
      <c r="LE11" s="124" t="s">
        <v>29</v>
      </c>
      <c r="LF11" s="129"/>
      <c r="LG11" s="180">
        <f>IFERROR((((COUNTIF('Elève (4ème2)'!LB11:LF11,"A"))*4)+((COUNTIF('Elève (4ème2)'!LB11:LF11,"B"))*3)+((COUNTIF('Elève (4ème2)'!LB11:LF11,"C"))*2)+((COUNTIF('Elève (4ème2)'!LB11:LF11,"D"))*1))/(COUNTA(LB11:LF11)),"")</f>
        <v>3.5</v>
      </c>
      <c r="LH11" s="181" t="str">
        <f t="shared" si="62"/>
        <v>B</v>
      </c>
      <c r="LI11" s="208">
        <f>IF(COUNT(KT11,KZ11,LG11)=0,"",SUM(KT11,KZ11,LG11)/COUNT(KT11,KZ11,LG11))</f>
        <v>3.1666666666666665</v>
      </c>
      <c r="LJ11" s="205" t="str">
        <f t="shared" si="63"/>
        <v>B</v>
      </c>
      <c r="LK11" s="123"/>
      <c r="LL11" s="124" t="s">
        <v>30</v>
      </c>
      <c r="LM11" s="125"/>
      <c r="LN11" s="180">
        <f>IFERROR((((COUNTIF('Elève (4ème2)'!LK11:LM11,"A"))*4)+((COUNTIF('Elève (4ème2)'!LK11:LM11,"B"))*3)+((COUNTIF('Elève (4ème2)'!LK11:LM11,"C"))*2)+((COUNTIF('Elève (4ème2)'!LK11:LM11,"D"))*1))/(COUNTA(LK11:LM11)),"")</f>
        <v>3</v>
      </c>
      <c r="LO11" s="181" t="str">
        <f t="shared" si="64"/>
        <v>B</v>
      </c>
      <c r="LP11" s="123" t="s">
        <v>31</v>
      </c>
      <c r="LQ11" s="124"/>
      <c r="LR11" s="125"/>
      <c r="LS11" s="125"/>
      <c r="LT11" s="180">
        <f>IFERROR((((COUNTIF('Elève (4ème2)'!LP11:LS11,"A"))*4)+((COUNTIF('Elève (4ème2)'!LP11:LS11,"B"))*3)+((COUNTIF('Elève (4ème2)'!LP11:LS11,"C"))*2)+((COUNTIF('Elève (4ème2)'!LP11:LS11,"D"))*1))/(COUNTA(LP11:LS11)),"")</f>
        <v>2</v>
      </c>
      <c r="LU11" s="181" t="str">
        <f t="shared" si="65"/>
        <v>C</v>
      </c>
      <c r="LV11" s="123" t="s">
        <v>30</v>
      </c>
      <c r="LW11" s="218" t="s">
        <v>29</v>
      </c>
      <c r="LX11" s="218" t="s">
        <v>31</v>
      </c>
      <c r="LY11" s="124" t="s">
        <v>29</v>
      </c>
      <c r="LZ11" s="129"/>
      <c r="MA11" s="180">
        <f>IFERROR((((COUNTIF('Elève (4ème2)'!LV11:LZ11,"A"))*4)+((COUNTIF('Elève (4ème2)'!LV11:LZ11,"B"))*3)+((COUNTIF('Elève (4ème2)'!LV11:LZ11,"C"))*2)+((COUNTIF('Elève (4ème2)'!LV11:LZ11,"D"))*1))/(COUNTA(LV11:LZ11)),"")</f>
        <v>3.25</v>
      </c>
      <c r="MB11" s="181" t="str">
        <f t="shared" si="66"/>
        <v>B</v>
      </c>
      <c r="MC11" s="208">
        <f>IF(COUNT(LN11,LT11,MA11)=0,"",SUM(LN11,LT11,MA11)/COUNT(LN11,LT11,MA11))</f>
        <v>2.75</v>
      </c>
      <c r="MD11" s="205" t="str">
        <f t="shared" si="67"/>
        <v>C</v>
      </c>
      <c r="ME11" s="123"/>
      <c r="MF11" s="124" t="s">
        <v>29</v>
      </c>
      <c r="MG11" s="125"/>
      <c r="MH11" s="180">
        <f>IFERROR((((COUNTIF('Elève (4ème2)'!ME11:MG11,"A"))*4)+((COUNTIF('Elève (4ème2)'!ME11:MG11,"B"))*3)+((COUNTIF('Elève (4ème2)'!ME11:MG11,"C"))*2)+((COUNTIF('Elève (4ème2)'!ME11:MG11,"D"))*1))/(COUNTA(ME11:MG11)),"")</f>
        <v>4</v>
      </c>
      <c r="MI11" s="181" t="str">
        <f t="shared" si="68"/>
        <v>A</v>
      </c>
      <c r="MJ11" s="123" t="s">
        <v>31</v>
      </c>
      <c r="MK11" s="124"/>
      <c r="ML11" s="125"/>
      <c r="MM11" s="125"/>
      <c r="MN11" s="180">
        <f>IFERROR((((COUNTIF('Elève (4ème2)'!MJ11:MM11,"A"))*4)+((COUNTIF('Elève (4ème2)'!MJ11:MM11,"B"))*3)+((COUNTIF('Elève (4ème2)'!MJ11:MM11,"C"))*2)+((COUNTIF('Elève (4ème2)'!MJ11:MM11,"D"))*1))/(COUNTA(MJ11:MM11)),"")</f>
        <v>2</v>
      </c>
      <c r="MO11" s="181" t="str">
        <f t="shared" si="69"/>
        <v>C</v>
      </c>
      <c r="MP11" s="123" t="s">
        <v>30</v>
      </c>
      <c r="MQ11" s="218" t="s">
        <v>29</v>
      </c>
      <c r="MR11" s="218" t="s">
        <v>30</v>
      </c>
      <c r="MS11" s="124" t="s">
        <v>29</v>
      </c>
      <c r="MT11" s="129"/>
      <c r="MU11" s="180">
        <f>IFERROR((((COUNTIF('Elève (4ème2)'!MP11:MT11,"A"))*4)+((COUNTIF('Elève (4ème2)'!MP11:MT11,"B"))*3)+((COUNTIF('Elève (4ème2)'!MP11:MT11,"C"))*2)+((COUNTIF('Elève (4ème2)'!MP11:MT11,"D"))*1))/(COUNTA(MP11:MT11)),"")</f>
        <v>3.5</v>
      </c>
      <c r="MV11" s="181" t="str">
        <f t="shared" si="70"/>
        <v>B</v>
      </c>
      <c r="MW11" s="208">
        <f>IF(COUNT(MH11,MN11,MU11)=0,"",SUM(MH11,MN11,MU11)/COUNT(MH11,MN11,MU11))</f>
        <v>3.1666666666666665</v>
      </c>
      <c r="MX11" s="205" t="str">
        <f t="shared" si="71"/>
        <v>B</v>
      </c>
      <c r="MY11" s="123"/>
      <c r="MZ11" s="124" t="s">
        <v>30</v>
      </c>
      <c r="NA11" s="125"/>
      <c r="NB11" s="180">
        <f>IFERROR((((COUNTIF('Elève (4ème2)'!MY11:NA11,"A"))*4)+((COUNTIF('Elève (4ème2)'!MY11:NA11,"B"))*3)+((COUNTIF('Elève (4ème2)'!MY11:NA11,"C"))*2)+((COUNTIF('Elève (4ème2)'!MY11:NA11,"D"))*1))/(COUNTA(MY11:NA11)),"")</f>
        <v>3</v>
      </c>
      <c r="NC11" s="181" t="str">
        <f t="shared" si="72"/>
        <v>B</v>
      </c>
      <c r="ND11" s="123" t="s">
        <v>30</v>
      </c>
      <c r="NE11" s="124"/>
      <c r="NF11" s="125"/>
      <c r="NG11" s="125"/>
      <c r="NH11" s="180">
        <f>IFERROR((((COUNTIF('Elève (4ème2)'!ND11:NG11,"A"))*4)+((COUNTIF('Elève (4ème2)'!ND11:NG11,"B"))*3)+((COUNTIF('Elève (4ème2)'!ND11:NG11,"C"))*2)+((COUNTIF('Elève (4ème2)'!ND11:NG11,"D"))*1))/(COUNTA(ND11:NG11)),"")</f>
        <v>3</v>
      </c>
      <c r="NI11" s="181" t="str">
        <f t="shared" si="73"/>
        <v>B</v>
      </c>
      <c r="NJ11" s="123" t="s">
        <v>30</v>
      </c>
      <c r="NK11" s="218" t="s">
        <v>29</v>
      </c>
      <c r="NL11" s="218" t="s">
        <v>32</v>
      </c>
      <c r="NM11" s="124" t="s">
        <v>29</v>
      </c>
      <c r="NN11" s="129"/>
      <c r="NO11" s="180">
        <f>IFERROR((((COUNTIF('Elève (4ème2)'!NJ11:NN11,"A"))*4)+((COUNTIF('Elève (4ème2)'!NJ11:NN11,"B"))*3)+((COUNTIF('Elève (4ème2)'!NJ11:NN11,"C"))*2)+((COUNTIF('Elève (4ème2)'!NJ11:NN11,"D"))*1))/(COUNTA(NJ11:NN11)),"")</f>
        <v>3</v>
      </c>
      <c r="NP11" s="181" t="str">
        <f t="shared" si="74"/>
        <v>B</v>
      </c>
      <c r="NQ11" s="208">
        <f>IF(COUNT(NB11,NH11,NO11)=0,"",SUM(NB11,NH11,NO11)/COUNT(NB11,NH11,NO11))</f>
        <v>3</v>
      </c>
      <c r="NR11" s="205" t="str">
        <f t="shared" si="75"/>
        <v>B</v>
      </c>
      <c r="NS11" s="123"/>
      <c r="NT11" s="124" t="s">
        <v>29</v>
      </c>
      <c r="NU11" s="125"/>
      <c r="NV11" s="180">
        <f>IFERROR((((COUNTIF('Elève (4ème2)'!NS11:NU11,"A"))*4)+((COUNTIF('Elève (4ème2)'!NS11:NU11,"B"))*3)+((COUNTIF('Elève (4ème2)'!NS11:NU11,"C"))*2)+((COUNTIF('Elève (4ème2)'!NS11:NU11,"D"))*1))/(COUNTA(NS11:NU11)),"")</f>
        <v>4</v>
      </c>
      <c r="NW11" s="181" t="str">
        <f t="shared" si="76"/>
        <v>A</v>
      </c>
      <c r="NX11" s="123" t="s">
        <v>30</v>
      </c>
      <c r="NY11" s="124"/>
      <c r="NZ11" s="125"/>
      <c r="OA11" s="125"/>
      <c r="OB11" s="180">
        <f>IFERROR((((COUNTIF('Elève (4ème2)'!NX11:OA11,"A"))*4)+((COUNTIF('Elève (4ème2)'!NX11:OA11,"B"))*3)+((COUNTIF('Elève (4ème2)'!NX11:OA11,"C"))*2)+((COUNTIF('Elève (4ème2)'!NX11:OA11,"D"))*1))/(COUNTA(NX11:OA11)),"")</f>
        <v>3</v>
      </c>
      <c r="OC11" s="181" t="str">
        <f t="shared" si="77"/>
        <v>B</v>
      </c>
      <c r="OD11" s="123" t="s">
        <v>29</v>
      </c>
      <c r="OE11" s="218" t="s">
        <v>29</v>
      </c>
      <c r="OF11" s="218" t="s">
        <v>29</v>
      </c>
      <c r="OG11" s="124" t="s">
        <v>29</v>
      </c>
      <c r="OH11" s="129"/>
      <c r="OI11" s="180">
        <f>IFERROR((((COUNTIF('Elève (4ème2)'!OD11:OH11,"A"))*4)+((COUNTIF('Elève (4ème2)'!OD11:OH11,"B"))*3)+((COUNTIF('Elève (4ème2)'!OD11:OH11,"C"))*2)+((COUNTIF('Elève (4ème2)'!OD11:OH11,"D"))*1))/(COUNTA(OD11:OH11)),"")</f>
        <v>4</v>
      </c>
      <c r="OJ11" s="181" t="str">
        <f t="shared" si="78"/>
        <v>A</v>
      </c>
      <c r="OK11" s="208">
        <f>IF(COUNT(NV11,OB11,OI11)=0,"",SUM(NV11,OB11,OI11)/COUNT(NV11,OB11,OI11))</f>
        <v>3.6666666666666665</v>
      </c>
      <c r="OL11" s="205" t="str">
        <f t="shared" si="79"/>
        <v>B</v>
      </c>
      <c r="OM11" s="123"/>
      <c r="ON11" s="124" t="s">
        <v>29</v>
      </c>
      <c r="OO11" s="125"/>
      <c r="OP11" s="180">
        <f>IFERROR((((COUNTIF('Elève (4ème2)'!OM11:OO11,"A"))*4)+((COUNTIF('Elève (4ème2)'!OM11:OO11,"B"))*3)+((COUNTIF('Elève (4ème2)'!OM11:OO11,"C"))*2)+((COUNTIF('Elève (4ème2)'!OM11:OO11,"D"))*1))/(COUNTA(OM11:OO11)),"")</f>
        <v>4</v>
      </c>
      <c r="OQ11" s="181" t="str">
        <f t="shared" si="80"/>
        <v>A</v>
      </c>
      <c r="OR11" s="123" t="s">
        <v>30</v>
      </c>
      <c r="OS11" s="124"/>
      <c r="OT11" s="125"/>
      <c r="OU11" s="125"/>
      <c r="OV11" s="180">
        <f>IFERROR((((COUNTIF('Elève (4ème2)'!OR11:OU11,"A"))*4)+((COUNTIF('Elève (4ème2)'!OR11:OU11,"B"))*3)+((COUNTIF('Elève (4ème2)'!OR11:OU11,"C"))*2)+((COUNTIF('Elève (4ème2)'!OR11:OU11,"D"))*1))/(COUNTA(OR11:OU11)),"")</f>
        <v>3</v>
      </c>
      <c r="OW11" s="181" t="str">
        <f t="shared" si="81"/>
        <v>B</v>
      </c>
      <c r="OX11" s="123" t="s">
        <v>30</v>
      </c>
      <c r="OY11" s="218" t="s">
        <v>29</v>
      </c>
      <c r="OZ11" s="218" t="s">
        <v>29</v>
      </c>
      <c r="PA11" s="124" t="s">
        <v>29</v>
      </c>
      <c r="PB11" s="129"/>
      <c r="PC11" s="180">
        <f>IFERROR((((COUNTIF('Elève (4ème2)'!OX11:PB11,"A"))*4)+((COUNTIF('Elève (4ème2)'!OX11:PB11,"B"))*3)+((COUNTIF('Elève (4ème2)'!OX11:PB11,"C"))*2)+((COUNTIF('Elève (4ème2)'!OX11:PB11,"D"))*1))/(COUNTA(OX11:PB11)),"")</f>
        <v>3.75</v>
      </c>
      <c r="PD11" s="181" t="str">
        <f t="shared" si="82"/>
        <v>A</v>
      </c>
      <c r="PE11" s="208">
        <f>IF(COUNT(OP11,OV11,PC11)=0,"",SUM(OP11,OV11,PC11)/COUNT(OP11,OV11,PC11))</f>
        <v>3.5833333333333335</v>
      </c>
      <c r="PF11" s="205" t="str">
        <f t="shared" si="83"/>
        <v>B</v>
      </c>
      <c r="PG11" s="123"/>
      <c r="PH11" s="124" t="s">
        <v>29</v>
      </c>
      <c r="PI11" s="125"/>
      <c r="PJ11" s="180">
        <f>IFERROR((((COUNTIF('Elève (4ème2)'!PG11:PI11,"A"))*4)+((COUNTIF('Elève (4ème2)'!PG11:PI11,"B"))*3)+((COUNTIF('Elève (4ème2)'!PG11:PI11,"C"))*2)+((COUNTIF('Elève (4ème2)'!PG11:PI11,"D"))*1))/(COUNTA(PG11:PI11)),"")</f>
        <v>4</v>
      </c>
      <c r="PK11" s="181" t="str">
        <f t="shared" si="84"/>
        <v>A</v>
      </c>
      <c r="PL11" s="123" t="s">
        <v>30</v>
      </c>
      <c r="PM11" s="124"/>
      <c r="PN11" s="125"/>
      <c r="PO11" s="125"/>
      <c r="PP11" s="180">
        <f>IFERROR((((COUNTIF('Elève (4ème2)'!PL11:PO11,"A"))*4)+((COUNTIF('Elève (4ème2)'!PL11:PO11,"B"))*3)+((COUNTIF('Elève (4ème2)'!PL11:PO11,"C"))*2)+((COUNTIF('Elève (4ème2)'!PL11:PO11,"D"))*1))/(COUNTA(PL11:PO11)),"")</f>
        <v>3</v>
      </c>
      <c r="PQ11" s="181" t="str">
        <f t="shared" si="85"/>
        <v>B</v>
      </c>
      <c r="PR11" s="123" t="s">
        <v>30</v>
      </c>
      <c r="PS11" s="218" t="s">
        <v>29</v>
      </c>
      <c r="PT11" s="218" t="s">
        <v>29</v>
      </c>
      <c r="PU11" s="124" t="s">
        <v>29</v>
      </c>
      <c r="PV11" s="129"/>
      <c r="PW11" s="180">
        <f>IFERROR((((COUNTIF('Elève (4ème2)'!PR11:PV11,"A"))*4)+((COUNTIF('Elève (4ème2)'!PR11:PV11,"B"))*3)+((COUNTIF('Elève (4ème2)'!PR11:PV11,"C"))*2)+((COUNTIF('Elève (4ème2)'!PR11:PV11,"D"))*1))/(COUNTA(PR11:PV11)),"")</f>
        <v>3.75</v>
      </c>
      <c r="PX11" s="181" t="str">
        <f t="shared" si="86"/>
        <v>A</v>
      </c>
      <c r="PY11" s="208">
        <f>IF(COUNT(PJ11,PP11,PW11)=0,"",SUM(PJ11,PP11,PW11)/COUNT(PJ11,PP11,PW11))</f>
        <v>3.5833333333333335</v>
      </c>
      <c r="PZ11" s="205" t="str">
        <f t="shared" si="87"/>
        <v>B</v>
      </c>
      <c r="QA11" s="123"/>
      <c r="QB11" s="124" t="s">
        <v>30</v>
      </c>
      <c r="QC11" s="125"/>
      <c r="QD11" s="180">
        <f>IFERROR((((COUNTIF('Elève (4ème2)'!QA11:QC11,"A"))*4)+((COUNTIF('Elève (4ème2)'!QA11:QC11,"B"))*3)+((COUNTIF('Elève (4ème2)'!QA11:QC11,"C"))*2)+((COUNTIF('Elève (4ème2)'!QA11:QC11,"D"))*1))/(COUNTA(QA11:QC11)),"")</f>
        <v>3</v>
      </c>
      <c r="QE11" s="181" t="str">
        <f t="shared" si="88"/>
        <v>B</v>
      </c>
      <c r="QF11" s="123" t="s">
        <v>30</v>
      </c>
      <c r="QG11" s="124"/>
      <c r="QH11" s="125"/>
      <c r="QI11" s="125"/>
      <c r="QJ11" s="180">
        <f>IFERROR((((COUNTIF('Elève (4ème2)'!QF11:QI11,"A"))*4)+((COUNTIF('Elève (4ème2)'!QF11:QI11,"B"))*3)+((COUNTIF('Elève (4ème2)'!QF11:QI11,"C"))*2)+((COUNTIF('Elève (4ème2)'!QF11:QI11,"D"))*1))/(COUNTA(QF11:QI11)),"")</f>
        <v>3</v>
      </c>
      <c r="QK11" s="181" t="str">
        <f t="shared" si="89"/>
        <v>B</v>
      </c>
      <c r="QL11" s="123" t="s">
        <v>30</v>
      </c>
      <c r="QM11" s="218" t="s">
        <v>29</v>
      </c>
      <c r="QN11" s="218" t="s">
        <v>29</v>
      </c>
      <c r="QO11" s="124" t="s">
        <v>29</v>
      </c>
      <c r="QP11" s="129"/>
      <c r="QQ11" s="180">
        <f>IFERROR((((COUNTIF('Elève (4ème2)'!QL11:QP11,"A"))*4)+((COUNTIF('Elève (4ème2)'!QL11:QP11,"B"))*3)+((COUNTIF('Elève (4ème2)'!QL11:QP11,"C"))*2)+((COUNTIF('Elève (4ème2)'!QL11:QP11,"D"))*1))/(COUNTA(QL11:QP11)),"")</f>
        <v>3.75</v>
      </c>
      <c r="QR11" s="181" t="str">
        <f t="shared" si="90"/>
        <v>A</v>
      </c>
      <c r="QS11" s="208">
        <f>IF(COUNT(QD11,QJ11,QQ11)=0,"",SUM(QD11,QJ11,QQ11)/COUNT(QD11,QJ11,QQ11))</f>
        <v>3.25</v>
      </c>
      <c r="QT11" s="205" t="str">
        <f t="shared" si="91"/>
        <v>B</v>
      </c>
      <c r="QU11" s="123"/>
      <c r="QV11" s="124" t="s">
        <v>30</v>
      </c>
      <c r="QW11" s="125"/>
      <c r="QX11" s="180">
        <f>IFERROR((((COUNTIF('Elève (4ème2)'!QU11:QW11,"A"))*4)+((COUNTIF('Elève (4ème2)'!QU11:QW11,"B"))*3)+((COUNTIF('Elève (4ème2)'!QU11:QW11,"C"))*2)+((COUNTIF('Elève (4ème2)'!QU11:QW11,"D"))*1))/(COUNTA(QU11:QW11)),"")</f>
        <v>3</v>
      </c>
      <c r="QY11" s="181" t="str">
        <f t="shared" si="92"/>
        <v>B</v>
      </c>
      <c r="QZ11" s="123" t="s">
        <v>31</v>
      </c>
      <c r="RA11" s="124"/>
      <c r="RB11" s="125"/>
      <c r="RC11" s="125"/>
      <c r="RD11" s="180">
        <f>IFERROR((((COUNTIF('Elève (4ème2)'!QZ11:RC11,"A"))*4)+((COUNTIF('Elève (4ème2)'!QZ11:RC11,"B"))*3)+((COUNTIF('Elève (4ème2)'!QZ11:RC11,"C"))*2)+((COUNTIF('Elève (4ème2)'!QZ11:RC11,"D"))*1))/(COUNTA(QZ11:RC11)),"")</f>
        <v>2</v>
      </c>
      <c r="RE11" s="181" t="str">
        <f t="shared" si="93"/>
        <v>C</v>
      </c>
      <c r="RF11" s="123" t="s">
        <v>30</v>
      </c>
      <c r="RG11" s="218" t="s">
        <v>29</v>
      </c>
      <c r="RH11" s="218" t="s">
        <v>29</v>
      </c>
      <c r="RI11" s="124" t="s">
        <v>29</v>
      </c>
      <c r="RJ11" s="129"/>
      <c r="RK11" s="180">
        <f>IFERROR((((COUNTIF('Elève (4ème2)'!RF11:RJ11,"A"))*4)+((COUNTIF('Elève (4ème2)'!RF11:RJ11,"B"))*3)+((COUNTIF('Elève (4ème2)'!RF11:RJ11,"C"))*2)+((COUNTIF('Elève (4ème2)'!RF11:RJ11,"D"))*1))/(COUNTA(RF11:RJ11)),"")</f>
        <v>3.75</v>
      </c>
      <c r="RL11" s="181" t="str">
        <f t="shared" si="94"/>
        <v>A</v>
      </c>
      <c r="RM11" s="208">
        <f>IF(COUNT(QX11,RD11,RK11)=0,"",SUM(QX11,RD11,RK11)/COUNT(QX11,RD11,RK11))</f>
        <v>2.9166666666666665</v>
      </c>
      <c r="RN11" s="205" t="str">
        <f t="shared" si="95"/>
        <v>B</v>
      </c>
      <c r="RO11" s="123"/>
      <c r="RP11" s="124" t="s">
        <v>29</v>
      </c>
      <c r="RQ11" s="125"/>
      <c r="RR11" s="180">
        <f>IFERROR((((COUNTIF('Elève (4ème2)'!RO11:RQ11,"A"))*4)+((COUNTIF('Elève (4ème2)'!RO11:RQ11,"B"))*3)+((COUNTIF('Elève (4ème2)'!RO11:RQ11,"C"))*2)+((COUNTIF('Elève (4ème2)'!RO11:RQ11,"D"))*1))/(COUNTA(RO11:RQ11)),"")</f>
        <v>4</v>
      </c>
      <c r="RS11" s="181" t="str">
        <f t="shared" si="96"/>
        <v>A</v>
      </c>
      <c r="RT11" s="123" t="s">
        <v>30</v>
      </c>
      <c r="RU11" s="124"/>
      <c r="RV11" s="125"/>
      <c r="RW11" s="125"/>
      <c r="RX11" s="180">
        <f>IFERROR((((COUNTIF('Elève (4ème2)'!RT11:RW11,"A"))*4)+((COUNTIF('Elève (4ème2)'!RT11:RW11,"B"))*3)+((COUNTIF('Elève (4ème2)'!RT11:RW11,"C"))*2)+((COUNTIF('Elève (4ème2)'!RT11:RW11,"D"))*1))/(COUNTA(RT11:RW11)),"")</f>
        <v>3</v>
      </c>
      <c r="RY11" s="181" t="str">
        <f t="shared" si="97"/>
        <v>B</v>
      </c>
      <c r="RZ11" s="123" t="s">
        <v>30</v>
      </c>
      <c r="SA11" s="218" t="s">
        <v>29</v>
      </c>
      <c r="SB11" s="218" t="s">
        <v>30</v>
      </c>
      <c r="SC11" s="124" t="s">
        <v>29</v>
      </c>
      <c r="SD11" s="129"/>
      <c r="SE11" s="180">
        <f>IFERROR((((COUNTIF('Elève (4ème2)'!RZ11:SD11,"A"))*4)+((COUNTIF('Elève (4ème2)'!RZ11:SD11,"B"))*3)+((COUNTIF('Elève (4ème2)'!RZ11:SD11,"C"))*2)+((COUNTIF('Elève (4ème2)'!RZ11:SD11,"D"))*1))/(COUNTA(RZ11:SD11)),"")</f>
        <v>3.5</v>
      </c>
      <c r="SF11" s="181" t="str">
        <f t="shared" si="98"/>
        <v>B</v>
      </c>
      <c r="SG11" s="208">
        <f>IF(COUNT(RR11,RX11,SE11)=0,"",SUM(RR11,RX11,SE11)/COUNT(RR11,RX11,SE11))</f>
        <v>3.5</v>
      </c>
      <c r="SH11" s="205" t="str">
        <f t="shared" si="99"/>
        <v>B</v>
      </c>
      <c r="SI11" s="123"/>
      <c r="SJ11" s="124" t="s">
        <v>29</v>
      </c>
      <c r="SK11" s="125"/>
      <c r="SL11" s="180">
        <f>IFERROR((((COUNTIF('Elève (4ème2)'!SI11:SK11,"A"))*4)+((COUNTIF('Elève (4ème2)'!SI11:SK11,"B"))*3)+((COUNTIF('Elève (4ème2)'!SI11:SK11,"C"))*2)+((COUNTIF('Elève (4ème2)'!SI11:SK11,"D"))*1))/(COUNTA(SI11:SK11)),"")</f>
        <v>4</v>
      </c>
      <c r="SM11" s="181" t="str">
        <f t="shared" si="100"/>
        <v>A</v>
      </c>
      <c r="SN11" s="123" t="s">
        <v>30</v>
      </c>
      <c r="SO11" s="124"/>
      <c r="SP11" s="125"/>
      <c r="SQ11" s="125"/>
      <c r="SR11" s="180">
        <f>IFERROR((((COUNTIF('Elève (4ème2)'!SN11:SQ11,"A"))*4)+((COUNTIF('Elève (4ème2)'!SN11:SQ11,"B"))*3)+((COUNTIF('Elève (4ème2)'!SN11:SQ11,"C"))*2)+((COUNTIF('Elève (4ème2)'!SN11:SQ11,"D"))*1))/(COUNTA(SN11:SQ11)),"")</f>
        <v>3</v>
      </c>
      <c r="SS11" s="181" t="str">
        <f t="shared" si="101"/>
        <v>B</v>
      </c>
      <c r="ST11" s="123" t="s">
        <v>30</v>
      </c>
      <c r="SU11" s="218" t="s">
        <v>29</v>
      </c>
      <c r="SV11" s="218" t="s">
        <v>29</v>
      </c>
      <c r="SW11" s="124" t="s">
        <v>29</v>
      </c>
      <c r="SX11" s="129"/>
      <c r="SY11" s="180">
        <f>IFERROR((((COUNTIF('Elève (4ème2)'!ST11:SX11,"A"))*4)+((COUNTIF('Elève (4ème2)'!ST11:SX11,"B"))*3)+((COUNTIF('Elève (4ème2)'!ST11:SX11,"C"))*2)+((COUNTIF('Elève (4ème2)'!ST11:SX11,"D"))*1))/(COUNTA(ST11:SX11)),"")</f>
        <v>3.75</v>
      </c>
      <c r="SZ11" s="181" t="str">
        <f t="shared" si="102"/>
        <v>A</v>
      </c>
      <c r="TA11" s="208">
        <f>IF(COUNT(SL11,SR11,SY11)=0,"",SUM(SL11,SR11,SY11)/COUNT(SL11,SR11,SY11))</f>
        <v>3.5833333333333335</v>
      </c>
      <c r="TB11" s="205" t="str">
        <f t="shared" si="103"/>
        <v>B</v>
      </c>
      <c r="TC11" s="123"/>
      <c r="TD11" s="124" t="s">
        <v>30</v>
      </c>
      <c r="TE11" s="125"/>
      <c r="TF11" s="180">
        <f>IFERROR((((COUNTIF('Elève (4ème2)'!TC11:TE11,"A"))*4)+((COUNTIF('Elève (4ème2)'!TC11:TE11,"B"))*3)+((COUNTIF('Elève (4ème2)'!TC11:TE11,"C"))*2)+((COUNTIF('Elève (4ème2)'!TC11:TE11,"D"))*1))/(COUNTA(TC11:TE11)),"")</f>
        <v>3</v>
      </c>
      <c r="TG11" s="181" t="str">
        <f t="shared" si="104"/>
        <v>B</v>
      </c>
      <c r="TH11" s="123" t="s">
        <v>30</v>
      </c>
      <c r="TI11" s="124"/>
      <c r="TJ11" s="125"/>
      <c r="TK11" s="125"/>
      <c r="TL11" s="180">
        <f>IFERROR((((COUNTIF('Elève (4ème2)'!TH11:TK11,"A"))*4)+((COUNTIF('Elève (4ème2)'!TH11:TK11,"B"))*3)+((COUNTIF('Elève (4ème2)'!TH11:TK11,"C"))*2)+((COUNTIF('Elève (4ème2)'!TH11:TK11,"D"))*1))/(COUNTA(TH11:TK11)),"")</f>
        <v>3</v>
      </c>
      <c r="TM11" s="181" t="str">
        <f t="shared" si="105"/>
        <v>B</v>
      </c>
      <c r="TN11" s="123" t="s">
        <v>29</v>
      </c>
      <c r="TO11" s="218" t="s">
        <v>29</v>
      </c>
      <c r="TP11" s="218" t="s">
        <v>29</v>
      </c>
      <c r="TQ11" s="124" t="s">
        <v>29</v>
      </c>
      <c r="TR11" s="129"/>
      <c r="TS11" s="180">
        <f>IFERROR((((COUNTIF('Elève (4ème2)'!TN11:TR11,"A"))*4)+((COUNTIF('Elève (4ème2)'!TN11:TR11,"B"))*3)+((COUNTIF('Elève (4ème2)'!TN11:TR11,"C"))*2)+((COUNTIF('Elève (4ème2)'!TN11:TR11,"D"))*1))/(COUNTA(TN11:TR11)),"")</f>
        <v>4</v>
      </c>
      <c r="TT11" s="181" t="str">
        <f t="shared" si="106"/>
        <v>A</v>
      </c>
      <c r="TU11" s="208">
        <f>IF(COUNT(TF11,TL11,TS11)=0,"",SUM(TF11,TL11,TS11)/COUNT(TF11,TL11,TS11))</f>
        <v>3.3333333333333335</v>
      </c>
      <c r="TV11" s="205" t="str">
        <f t="shared" si="107"/>
        <v>B</v>
      </c>
      <c r="TW11" s="123"/>
      <c r="TX11" s="124"/>
      <c r="TY11" s="125"/>
      <c r="TZ11" s="119" t="str">
        <f>IFERROR((((COUNTIF('Elève (4ème2)'!TW11:TY11,"A"))*4)+((COUNTIF('Elève (4ème2)'!TW11:TY11,"B"))*3)+((COUNTIF('Elève (4ème2)'!TW11:TY11,"C"))*2)+((COUNTIF('Elève (4ème2)'!TW11:TY11,"D"))*1))/(COUNTA(TW11:TY11)),"")</f>
        <v/>
      </c>
      <c r="UA11" s="120" t="str">
        <f t="shared" si="108"/>
        <v/>
      </c>
      <c r="UB11" s="123"/>
      <c r="UC11" s="124"/>
      <c r="UD11" s="125"/>
      <c r="UE11" s="119" t="str">
        <f>IFERROR((((COUNTIF('Elève (4ème2)'!UB11:UD11,"A"))*4)+((COUNTIF('Elève (4ème2)'!UB11:UD11,"B"))*3)+((COUNTIF('Elève (4ème2)'!UB11:UD11,"C"))*2)+((COUNTIF('Elève (4ème2)'!UB11:UD11,"D"))*1))/(COUNTA(UB11:UD11)),"")</f>
        <v/>
      </c>
      <c r="UF11" s="120" t="str">
        <f t="shared" si="109"/>
        <v/>
      </c>
      <c r="UG11" s="123"/>
      <c r="UH11" s="124"/>
      <c r="UI11" s="129"/>
      <c r="UJ11" s="119" t="str">
        <f>IFERROR((((COUNTIF('Elève (4ème2)'!UG11:UI11,"A"))*4)+((COUNTIF('Elève (4ème2)'!UG11:UI11,"B"))*3)+((COUNTIF('Elève (4ème2)'!UG11:UI11,"C"))*2)+((COUNTIF('Elève (4ème2)'!UG11:UI11,"D"))*1))/(COUNTA(UG11:UI11)),"")</f>
        <v/>
      </c>
      <c r="UK11" s="120" t="str">
        <f t="shared" si="110"/>
        <v/>
      </c>
      <c r="UL11" s="139" t="str">
        <f>IF(COUNT(TZ11,UE11,UJ11)=0,"",SUM(TZ11,UE11,UJ11)/COUNT(TZ11,UE11,UJ11))</f>
        <v/>
      </c>
      <c r="UM11" s="121" t="str">
        <f t="shared" si="111"/>
        <v/>
      </c>
      <c r="UN11" s="123"/>
      <c r="UO11" s="124"/>
      <c r="UP11" s="125"/>
      <c r="UQ11" s="119" t="str">
        <f>IFERROR((((COUNTIF('Elève (4ème2)'!UN11:UP11,"A"))*4)+((COUNTIF('Elève (4ème2)'!UN11:UP11,"B"))*3)+((COUNTIF('Elève (4ème2)'!UN11:UP11,"C"))*2)+((COUNTIF('Elève (4ème2)'!UN11:UP11,"D"))*1))/(COUNTA(UN11:UP11)),"")</f>
        <v/>
      </c>
      <c r="UR11" s="120" t="str">
        <f t="shared" si="112"/>
        <v/>
      </c>
      <c r="US11" s="123"/>
      <c r="UT11" s="124"/>
      <c r="UU11" s="125"/>
      <c r="UV11" s="119" t="str">
        <f>IFERROR((((COUNTIF('Elève (4ème2)'!US11:UU11,"A"))*4)+((COUNTIF('Elève (4ème2)'!US11:UU11,"B"))*3)+((COUNTIF('Elève (4ème2)'!US11:UU11,"C"))*2)+((COUNTIF('Elève (4ème2)'!US11:UU11,"D"))*1))/(COUNTA(US11:UU11)),"")</f>
        <v/>
      </c>
      <c r="UW11" s="120" t="str">
        <f t="shared" si="113"/>
        <v/>
      </c>
      <c r="UX11" s="123"/>
      <c r="UY11" s="124"/>
      <c r="UZ11" s="129"/>
      <c r="VA11" s="119" t="str">
        <f>IFERROR((((COUNTIF('Elève (4ème2)'!UX11:UZ11,"A"))*4)+((COUNTIF('Elève (4ème2)'!UX11:UZ11,"B"))*3)+((COUNTIF('Elève (4ème2)'!UX11:UZ11,"C"))*2)+((COUNTIF('Elève (4ème2)'!UX11:UZ11,"D"))*1))/(COUNTA(UX11:UZ11)),"")</f>
        <v/>
      </c>
      <c r="VB11" s="120" t="str">
        <f t="shared" si="114"/>
        <v/>
      </c>
      <c r="VC11" s="139" t="str">
        <f>IF(COUNT(UQ11,UV11,VA11)=0,"",SUM(UQ11,UV11,VA11)/COUNT(UQ11,UV11,VA11))</f>
        <v/>
      </c>
      <c r="VD11" s="121" t="str">
        <f t="shared" si="115"/>
        <v/>
      </c>
      <c r="VE11" s="123"/>
      <c r="VF11" s="124"/>
      <c r="VG11" s="125"/>
      <c r="VH11" s="119" t="str">
        <f>IFERROR((((COUNTIF('Elève (4ème2)'!VE11:VG11,"A"))*4)+((COUNTIF('Elève (4ème2)'!VE11:VG11,"B"))*3)+((COUNTIF('Elève (4ème2)'!VE11:VG11,"C"))*2)+((COUNTIF('Elève (4ème2)'!VE11:VG11,"D"))*1))/(COUNTA(VE11:VG11)),"")</f>
        <v/>
      </c>
      <c r="VI11" s="120" t="str">
        <f t="shared" si="116"/>
        <v/>
      </c>
      <c r="VJ11" s="123"/>
      <c r="VK11" s="124"/>
      <c r="VL11" s="125"/>
      <c r="VM11" s="119" t="str">
        <f>IFERROR((((COUNTIF('Elève (4ème2)'!VJ11:VL11,"A"))*4)+((COUNTIF('Elève (4ème2)'!VJ11:VL11,"B"))*3)+((COUNTIF('Elève (4ème2)'!VJ11:VL11,"C"))*2)+((COUNTIF('Elève (4ème2)'!VJ11:VL11,"D"))*1))/(COUNTA(VJ11:VL11)),"")</f>
        <v/>
      </c>
      <c r="VN11" s="120" t="str">
        <f t="shared" si="117"/>
        <v/>
      </c>
      <c r="VO11" s="123"/>
      <c r="VP11" s="124"/>
      <c r="VQ11" s="129"/>
      <c r="VR11" s="119" t="str">
        <f>IFERROR((((COUNTIF('Elève (4ème2)'!VO11:VQ11,"A"))*4)+((COUNTIF('Elève (4ème2)'!VO11:VQ11,"B"))*3)+((COUNTIF('Elève (4ème2)'!VO11:VQ11,"C"))*2)+((COUNTIF('Elève (4ème2)'!VO11:VQ11,"D"))*1))/(COUNTA(VO11:VQ11)),"")</f>
        <v/>
      </c>
      <c r="VS11" s="120" t="str">
        <f t="shared" si="118"/>
        <v/>
      </c>
      <c r="VT11" s="139" t="str">
        <f>IF(COUNT(VH11,VM11,VR11)=0,"",SUM(VH11,VM11,VR11)/COUNT(VH11,VM11,VR11))</f>
        <v/>
      </c>
      <c r="VU11" s="121" t="str">
        <f t="shared" si="119"/>
        <v/>
      </c>
    </row>
    <row r="12" spans="1:593" ht="18" customHeight="1" thickBot="1" x14ac:dyDescent="0.6">
      <c r="A12" s="250" t="s">
        <v>49</v>
      </c>
      <c r="B12" s="251"/>
      <c r="C12" s="130"/>
      <c r="D12" s="131"/>
      <c r="E12" s="132"/>
      <c r="F12" s="184" t="str">
        <f>IFERROR((((COUNTIF('Elève (4ème2)'!C12:E12,"A"))*4)+((COUNTIF('Elève (4ème2)'!C12:E12,"B"))*3)+((COUNTIF('Elève (4ème2)'!C12:E12,"C"))*2)+((COUNTIF('Elève (4ème2)'!C12:E12,"D"))*1))/(COUNTA(C12:E12)),"")</f>
        <v/>
      </c>
      <c r="G12" s="185" t="str">
        <f t="shared" si="0"/>
        <v/>
      </c>
      <c r="H12" s="130"/>
      <c r="I12" s="131"/>
      <c r="J12" s="132"/>
      <c r="K12" s="132"/>
      <c r="L12" s="184" t="str">
        <f>IFERROR((((COUNTIF('Elève (4ème2)'!H12:K12,"A"))*4)+((COUNTIF('Elève (4ème2)'!H12:K12,"B"))*3)+((COUNTIF('Elève (4ème2)'!H12:K12,"C"))*2)+((COUNTIF('Elève (4ème2)'!H12:K12,"D"))*1))/(COUNTA(H12:K12)),"")</f>
        <v/>
      </c>
      <c r="M12" s="185" t="str">
        <f t="shared" si="1"/>
        <v/>
      </c>
      <c r="N12" s="130"/>
      <c r="O12" s="131"/>
      <c r="P12" s="219" t="s">
        <v>30</v>
      </c>
      <c r="Q12" s="219"/>
      <c r="R12" s="132"/>
      <c r="S12" s="184">
        <f>IFERROR((((COUNTIF('Elève (4ème2)'!N12:R12,"A"))*4)+((COUNTIF('Elève (4ème2)'!N12:R12,"B"))*3)+((COUNTIF('Elève (4ème2)'!N12:R12,"C"))*2)+((COUNTIF('Elève (4ème2)'!N12:R12,"D"))*1))/(COUNTA(N12:R12)),"")</f>
        <v>3</v>
      </c>
      <c r="T12" s="185" t="str">
        <f t="shared" si="2"/>
        <v>B</v>
      </c>
      <c r="U12" s="184">
        <f>IF(COUNT(F12,L12,S12)=0,"",SUM(F12,L12,S12)/COUNT(F12,L12,S12))</f>
        <v>3</v>
      </c>
      <c r="V12" s="207" t="str">
        <f t="shared" si="3"/>
        <v>B</v>
      </c>
      <c r="W12" s="130"/>
      <c r="X12" s="131"/>
      <c r="Y12" s="132"/>
      <c r="Z12" s="184" t="str">
        <f>IFERROR((((COUNTIF('Elève (4ème2)'!W12:Y12,"A"))*4)+((COUNTIF('Elève (4ème2)'!W12:Y12,"B"))*3)+((COUNTIF('Elève (4ème2)'!W12:Y12,"C"))*2)+((COUNTIF('Elève (4ème2)'!W12:Y12,"D"))*1))/(COUNTA(W12:Y12)),"")</f>
        <v/>
      </c>
      <c r="AA12" s="185" t="str">
        <f t="shared" si="4"/>
        <v/>
      </c>
      <c r="AB12" s="130"/>
      <c r="AC12" s="131"/>
      <c r="AD12" s="132"/>
      <c r="AE12" s="132"/>
      <c r="AF12" s="184" t="str">
        <f>IFERROR((((COUNTIF('Elève (4ème2)'!AB12:AE12,"A"))*4)+((COUNTIF('Elève (4ème2)'!AB12:AE12,"B"))*3)+((COUNTIF('Elève (4ème2)'!AB12:AE12,"C"))*2)+((COUNTIF('Elève (4ème2)'!AB12:AE12,"D"))*1))/(COUNTA(AB12:AE12)),"")</f>
        <v/>
      </c>
      <c r="AG12" s="185" t="str">
        <f t="shared" si="5"/>
        <v/>
      </c>
      <c r="AH12" s="130"/>
      <c r="AI12" s="219"/>
      <c r="AJ12" s="219" t="s">
        <v>29</v>
      </c>
      <c r="AK12" s="131"/>
      <c r="AL12" s="136"/>
      <c r="AM12" s="184">
        <f>IFERROR((((COUNTIF('Elève (4ème2)'!AH12:AL12,"A"))*4)+((COUNTIF('Elève (4ème2)'!AH12:AL12,"B"))*3)+((COUNTIF('Elève (4ème2)'!AH12:AL12,"C"))*2)+((COUNTIF('Elève (4ème2)'!AH12:AL12,"D"))*1))/(COUNTA(AH12:AL12)),"")</f>
        <v>4</v>
      </c>
      <c r="AN12" s="185" t="str">
        <f t="shared" si="6"/>
        <v>A</v>
      </c>
      <c r="AO12" s="184">
        <f>IF(COUNT(Z12,AF12,AM12)=0,"",SUM(Z12,AF12,AM12)/COUNT(Z12,AF12,AM12))</f>
        <v>4</v>
      </c>
      <c r="AP12" s="207" t="str">
        <f t="shared" si="7"/>
        <v>A</v>
      </c>
      <c r="AQ12" s="130"/>
      <c r="AR12" s="131"/>
      <c r="AS12" s="132"/>
      <c r="AT12" s="184" t="str">
        <f>IFERROR((((COUNTIF('Elève (4ème2)'!AQ12:AS12,"A"))*4)+((COUNTIF('Elève (4ème2)'!AQ12:AS12,"B"))*3)+((COUNTIF('Elève (4ème2)'!AQ12:AS12,"C"))*2)+((COUNTIF('Elève (4ème2)'!AQ12:AS12,"D"))*1))/(COUNTA(AQ12:AS12)),"")</f>
        <v/>
      </c>
      <c r="AU12" s="185" t="str">
        <f t="shared" si="8"/>
        <v/>
      </c>
      <c r="AV12" s="130"/>
      <c r="AW12" s="131"/>
      <c r="AX12" s="132"/>
      <c r="AY12" s="132"/>
      <c r="AZ12" s="184" t="str">
        <f>IFERROR((((COUNTIF('Elève (4ème2)'!AV12:AY12,"A"))*4)+((COUNTIF('Elève (4ème2)'!AV12:AY12,"B"))*3)+((COUNTIF('Elève (4ème2)'!AV12:AY12,"C"))*2)+((COUNTIF('Elève (4ème2)'!AV12:AY12,"D"))*1))/(COUNTA(AV12:AY12)),"")</f>
        <v/>
      </c>
      <c r="BA12" s="185" t="str">
        <f t="shared" si="9"/>
        <v/>
      </c>
      <c r="BB12" s="130"/>
      <c r="BC12" s="219"/>
      <c r="BD12" s="219" t="s">
        <v>29</v>
      </c>
      <c r="BE12" s="131"/>
      <c r="BF12" s="136"/>
      <c r="BG12" s="184">
        <f>IFERROR((((COUNTIF('Elève (4ème2)'!BB12:BF12,"A"))*4)+((COUNTIF('Elève (4ème2)'!BB12:BF12,"B"))*3)+((COUNTIF('Elève (4ème2)'!BB12:BF12,"C"))*2)+((COUNTIF('Elève (4ème2)'!BB12:BF12,"D"))*1))/(COUNTA(BB12:BF12)),"")</f>
        <v>4</v>
      </c>
      <c r="BH12" s="185" t="str">
        <f t="shared" si="10"/>
        <v>A</v>
      </c>
      <c r="BI12" s="184">
        <f>IF(COUNT(AT12,AZ12,BG12)=0,"",SUM(AT12,AZ12,BG12)/COUNT(AT12,AZ12,BG12))</f>
        <v>4</v>
      </c>
      <c r="BJ12" s="207" t="str">
        <f t="shared" si="11"/>
        <v>A</v>
      </c>
      <c r="BK12" s="130"/>
      <c r="BL12" s="131"/>
      <c r="BM12" s="132"/>
      <c r="BN12" s="184" t="str">
        <f>IFERROR((((COUNTIF('Elève (4ème2)'!BK12:BM12,"A"))*4)+((COUNTIF('Elève (4ème2)'!BK12:BM12,"B"))*3)+((COUNTIF('Elève (4ème2)'!BK12:BM12,"C"))*2)+((COUNTIF('Elève (4ème2)'!BK12:BM12,"D"))*1))/(COUNTA(BK12:BM12)),"")</f>
        <v/>
      </c>
      <c r="BO12" s="185" t="str">
        <f t="shared" si="12"/>
        <v/>
      </c>
      <c r="BP12" s="130"/>
      <c r="BQ12" s="131"/>
      <c r="BR12" s="132"/>
      <c r="BS12" s="132"/>
      <c r="BT12" s="184" t="str">
        <f>IFERROR((((COUNTIF('Elève (4ème2)'!BP12:BS12,"A"))*4)+((COUNTIF('Elève (4ème2)'!BP12:BS12,"B"))*3)+((COUNTIF('Elève (4ème2)'!BP12:BS12,"C"))*2)+((COUNTIF('Elève (4ème2)'!BP12:BS12,"D"))*1))/(COUNTA(BP12:BS12)),"")</f>
        <v/>
      </c>
      <c r="BU12" s="185" t="str">
        <f t="shared" si="13"/>
        <v/>
      </c>
      <c r="BV12" s="130"/>
      <c r="BW12" s="219"/>
      <c r="BX12" s="219" t="s">
        <v>29</v>
      </c>
      <c r="BY12" s="131"/>
      <c r="BZ12" s="136"/>
      <c r="CA12" s="184">
        <f>IFERROR((((COUNTIF('Elève (4ème2)'!BV12:BZ12,"A"))*4)+((COUNTIF('Elève (4ème2)'!BV12:BZ12,"B"))*3)+((COUNTIF('Elève (4ème2)'!BV12:BZ12,"C"))*2)+((COUNTIF('Elève (4ème2)'!BV12:BZ12,"D"))*1))/(COUNTA(BV12:BZ12)),"")</f>
        <v>4</v>
      </c>
      <c r="CB12" s="185" t="str">
        <f t="shared" si="14"/>
        <v>A</v>
      </c>
      <c r="CC12" s="184">
        <f>IF(COUNT(BN12,BT12,CA12)=0,"",SUM(BN12,BT12,CA12)/COUNT(BN12,BT12,CA12))</f>
        <v>4</v>
      </c>
      <c r="CD12" s="207" t="str">
        <f t="shared" si="15"/>
        <v>A</v>
      </c>
      <c r="CE12" s="130"/>
      <c r="CF12" s="131"/>
      <c r="CG12" s="132"/>
      <c r="CH12" s="184" t="str">
        <f>IFERROR((((COUNTIF('Elève (4ème2)'!CE12:CG12,"A"))*4)+((COUNTIF('Elève (4ème2)'!CE12:CG12,"B"))*3)+((COUNTIF('Elève (4ème2)'!CE12:CG12,"C"))*2)+((COUNTIF('Elève (4ème2)'!CE12:CG12,"D"))*1))/(COUNTA(CE12:CG12)),"")</f>
        <v/>
      </c>
      <c r="CI12" s="185" t="str">
        <f t="shared" si="16"/>
        <v/>
      </c>
      <c r="CJ12" s="130"/>
      <c r="CK12" s="131"/>
      <c r="CL12" s="132"/>
      <c r="CM12" s="132"/>
      <c r="CN12" s="184" t="str">
        <f>IFERROR((((COUNTIF('Elève (4ème2)'!CJ12:CM12,"A"))*4)+((COUNTIF('Elève (4ème2)'!CJ12:CM12,"B"))*3)+((COUNTIF('Elève (4ème2)'!CJ12:CM12,"C"))*2)+((COUNTIF('Elève (4ème2)'!CJ12:CM12,"D"))*1))/(COUNTA(CJ12:CM12)),"")</f>
        <v/>
      </c>
      <c r="CO12" s="185" t="str">
        <f t="shared" si="17"/>
        <v/>
      </c>
      <c r="CP12" s="130"/>
      <c r="CQ12" s="219"/>
      <c r="CR12" s="219" t="s">
        <v>29</v>
      </c>
      <c r="CS12" s="131"/>
      <c r="CT12" s="136"/>
      <c r="CU12" s="184">
        <f>IFERROR((((COUNTIF('Elève (4ème2)'!CP12:CT12,"A"))*4)+((COUNTIF('Elève (4ème2)'!CP12:CT12,"B"))*3)+((COUNTIF('Elève (4ème2)'!CP12:CT12,"C"))*2)+((COUNTIF('Elève (4ème2)'!CP12:CT12,"D"))*1))/(COUNTA(CP12:CT12)),"")</f>
        <v>4</v>
      </c>
      <c r="CV12" s="185" t="str">
        <f t="shared" si="18"/>
        <v>A</v>
      </c>
      <c r="CW12" s="184">
        <f>IF(COUNT(CH12,CN12,CU12)=0,"",SUM(CH12,CN12,CU12)/COUNT(CH12,CN12,CU12))</f>
        <v>4</v>
      </c>
      <c r="CX12" s="207" t="str">
        <f t="shared" si="19"/>
        <v>A</v>
      </c>
      <c r="CY12" s="130"/>
      <c r="CZ12" s="131"/>
      <c r="DA12" s="132"/>
      <c r="DB12" s="184" t="str">
        <f>IFERROR((((COUNTIF('Elève (4ème2)'!CY12:DA12,"A"))*4)+((COUNTIF('Elève (4ème2)'!CY12:DA12,"B"))*3)+((COUNTIF('Elève (4ème2)'!CY12:DA12,"C"))*2)+((COUNTIF('Elève (4ème2)'!CY12:DA12,"D"))*1))/(COUNTA(CY12:DA12)),"")</f>
        <v/>
      </c>
      <c r="DC12" s="185" t="str">
        <f t="shared" si="20"/>
        <v/>
      </c>
      <c r="DD12" s="130"/>
      <c r="DE12" s="131"/>
      <c r="DF12" s="132"/>
      <c r="DG12" s="132"/>
      <c r="DH12" s="184" t="str">
        <f>IFERROR((((COUNTIF('Elève (4ème2)'!DD12:DG12,"A"))*4)+((COUNTIF('Elève (4ème2)'!DD12:DG12,"B"))*3)+((COUNTIF('Elève (4ème2)'!DD12:DG12,"C"))*2)+((COUNTIF('Elève (4ème2)'!DD12:DG12,"D"))*1))/(COUNTA(DD12:DG12)),"")</f>
        <v/>
      </c>
      <c r="DI12" s="185" t="str">
        <f t="shared" si="21"/>
        <v/>
      </c>
      <c r="DJ12" s="130"/>
      <c r="DK12" s="219"/>
      <c r="DL12" s="219" t="s">
        <v>31</v>
      </c>
      <c r="DM12" s="131"/>
      <c r="DN12" s="136"/>
      <c r="DO12" s="184">
        <f>IFERROR((((COUNTIF('Elève (4ème2)'!DJ12:DN12,"A"))*4)+((COUNTIF('Elève (4ème2)'!DJ12:DN12,"B"))*3)+((COUNTIF('Elève (4ème2)'!DJ12:DN12,"C"))*2)+((COUNTIF('Elève (4ème2)'!DJ12:DN12,"D"))*1))/(COUNTA(DJ12:DN12)),"")</f>
        <v>2</v>
      </c>
      <c r="DP12" s="185" t="str">
        <f t="shared" si="22"/>
        <v>C</v>
      </c>
      <c r="DQ12" s="184">
        <f>IF(COUNT(DB12,DH12,DO12)=0,"",SUM(DB12,DH12,DO12)/COUNT(DB12,DH12,DO12))</f>
        <v>2</v>
      </c>
      <c r="DR12" s="207" t="str">
        <f t="shared" si="23"/>
        <v>C</v>
      </c>
      <c r="DS12" s="130"/>
      <c r="DT12" s="131"/>
      <c r="DU12" s="132"/>
      <c r="DV12" s="184" t="str">
        <f>IFERROR((((COUNTIF('Elève (4ème2)'!DS12:DU12,"A"))*4)+((COUNTIF('Elève (4ème2)'!DS12:DU12,"B"))*3)+((COUNTIF('Elève (4ème2)'!DS12:DU12,"C"))*2)+((COUNTIF('Elève (4ème2)'!DS12:DU12,"D"))*1))/(COUNTA(DS12:DU12)),"")</f>
        <v/>
      </c>
      <c r="DW12" s="185" t="str">
        <f t="shared" si="24"/>
        <v/>
      </c>
      <c r="DX12" s="130"/>
      <c r="DY12" s="131"/>
      <c r="DZ12" s="132"/>
      <c r="EA12" s="132"/>
      <c r="EB12" s="184" t="str">
        <f>IFERROR((((COUNTIF('Elève (4ème2)'!DX12:EA12,"A"))*4)+((COUNTIF('Elève (4ème2)'!DX12:EA12,"B"))*3)+((COUNTIF('Elève (4ème2)'!DX12:EA12,"C"))*2)+((COUNTIF('Elève (4ème2)'!DX12:EA12,"D"))*1))/(COUNTA(DX12:EA12)),"")</f>
        <v/>
      </c>
      <c r="EC12" s="185" t="str">
        <f t="shared" si="25"/>
        <v/>
      </c>
      <c r="ED12" s="130"/>
      <c r="EE12" s="219"/>
      <c r="EF12" s="219" t="s">
        <v>30</v>
      </c>
      <c r="EG12" s="131"/>
      <c r="EH12" s="136"/>
      <c r="EI12" s="184">
        <f>IFERROR((((COUNTIF('Elève (4ème2)'!ED12:EH12,"A"))*4)+((COUNTIF('Elève (4ème2)'!ED12:EH12,"B"))*3)+((COUNTIF('Elève (4ème2)'!ED12:EH12,"C"))*2)+((COUNTIF('Elève (4ème2)'!ED12:EH12,"D"))*1))/(COUNTA(ED12:EH12)),"")</f>
        <v>3</v>
      </c>
      <c r="EJ12" s="185" t="str">
        <f t="shared" si="26"/>
        <v>B</v>
      </c>
      <c r="EK12" s="184">
        <f>IF(COUNT(DV12,EB12,EI12)=0,"",SUM(DV12,EB12,EI12)/COUNT(DV12,EB12,EI12))</f>
        <v>3</v>
      </c>
      <c r="EL12" s="207" t="str">
        <f t="shared" si="27"/>
        <v>B</v>
      </c>
      <c r="EM12" s="130"/>
      <c r="EN12" s="131"/>
      <c r="EO12" s="132"/>
      <c r="EP12" s="184" t="str">
        <f>IFERROR((((COUNTIF('Elève (4ème2)'!EM12:EO12,"A"))*4)+((COUNTIF('Elève (4ème2)'!EM12:EO12,"B"))*3)+((COUNTIF('Elève (4ème2)'!EM12:EO12,"C"))*2)+((COUNTIF('Elève (4ème2)'!EM12:EO12,"D"))*1))/(COUNTA(EM12:EO12)),"")</f>
        <v/>
      </c>
      <c r="EQ12" s="185" t="str">
        <f t="shared" si="28"/>
        <v/>
      </c>
      <c r="ER12" s="130"/>
      <c r="ES12" s="131"/>
      <c r="ET12" s="132"/>
      <c r="EU12" s="132"/>
      <c r="EV12" s="184" t="str">
        <f>IFERROR((((COUNTIF('Elève (4ème2)'!ER12:EU12,"A"))*4)+((COUNTIF('Elève (4ème2)'!ER12:EU12,"B"))*3)+((COUNTIF('Elève (4ème2)'!ER12:EU12,"C"))*2)+((COUNTIF('Elève (4ème2)'!ER12:EU12,"D"))*1))/(COUNTA(ER12:EU12)),"")</f>
        <v/>
      </c>
      <c r="EW12" s="185" t="str">
        <f t="shared" si="29"/>
        <v/>
      </c>
      <c r="EX12" s="130"/>
      <c r="EY12" s="219"/>
      <c r="EZ12" s="219" t="s">
        <v>29</v>
      </c>
      <c r="FA12" s="131"/>
      <c r="FB12" s="136"/>
      <c r="FC12" s="184">
        <f>IFERROR((((COUNTIF('Elève (4ème2)'!EX12:FB12,"A"))*4)+((COUNTIF('Elève (4ème2)'!EX12:FB12,"B"))*3)+((COUNTIF('Elève (4ème2)'!EX12:FB12,"C"))*2)+((COUNTIF('Elève (4ème2)'!EX12:FB12,"D"))*1))/(COUNTA(EX12:FB12)),"")</f>
        <v>4</v>
      </c>
      <c r="FD12" s="185" t="str">
        <f t="shared" si="30"/>
        <v>A</v>
      </c>
      <c r="FE12" s="184">
        <f>IF(COUNT(EP12,EV12,FC12)=0,"",SUM(EP12,EV12,FC12)/COUNT(EP12,EV12,FC12))</f>
        <v>4</v>
      </c>
      <c r="FF12" s="207" t="str">
        <f t="shared" si="31"/>
        <v>A</v>
      </c>
      <c r="FG12" s="130"/>
      <c r="FH12" s="131"/>
      <c r="FI12" s="132"/>
      <c r="FJ12" s="184" t="str">
        <f>IFERROR((((COUNTIF('Elève (4ème2)'!FG12:FI12,"A"))*4)+((COUNTIF('Elève (4ème2)'!FG12:FI12,"B"))*3)+((COUNTIF('Elève (4ème2)'!FG12:FI12,"C"))*2)+((COUNTIF('Elève (4ème2)'!FG12:FI12,"D"))*1))/(COUNTA(FG12:FI12)),"")</f>
        <v/>
      </c>
      <c r="FK12" s="185" t="str">
        <f t="shared" si="32"/>
        <v/>
      </c>
      <c r="FL12" s="130"/>
      <c r="FM12" s="131"/>
      <c r="FN12" s="132"/>
      <c r="FO12" s="132"/>
      <c r="FP12" s="184" t="str">
        <f>IFERROR((((COUNTIF('Elève (4ème2)'!FL12:FO12,"A"))*4)+((COUNTIF('Elève (4ème2)'!FL12:FO12,"B"))*3)+((COUNTIF('Elève (4ème2)'!FL12:FO12,"C"))*2)+((COUNTIF('Elève (4ème2)'!FL12:FO12,"D"))*1))/(COUNTA(FL12:FO12)),"")</f>
        <v/>
      </c>
      <c r="FQ12" s="185" t="str">
        <f t="shared" si="33"/>
        <v/>
      </c>
      <c r="FR12" s="130"/>
      <c r="FS12" s="219"/>
      <c r="FT12" s="219" t="s">
        <v>29</v>
      </c>
      <c r="FU12" s="131"/>
      <c r="FV12" s="136"/>
      <c r="FW12" s="184">
        <f>IFERROR((((COUNTIF('Elève (4ème2)'!FR12:FV12,"A"))*4)+((COUNTIF('Elève (4ème2)'!FR12:FV12,"B"))*3)+((COUNTIF('Elève (4ème2)'!FR12:FV12,"C"))*2)+((COUNTIF('Elève (4ème2)'!FR12:FV12,"D"))*1))/(COUNTA(FR12:FV12)),"")</f>
        <v>4</v>
      </c>
      <c r="FX12" s="185" t="str">
        <f t="shared" si="34"/>
        <v>A</v>
      </c>
      <c r="FY12" s="184">
        <f>IF(COUNT(FJ12,FP12,FW12)=0,"",SUM(FJ12,FP12,FW12)/COUNT(FJ12,FP12,FW12))</f>
        <v>4</v>
      </c>
      <c r="FZ12" s="207" t="str">
        <f t="shared" si="35"/>
        <v>A</v>
      </c>
      <c r="GA12" s="130"/>
      <c r="GB12" s="131"/>
      <c r="GC12" s="132"/>
      <c r="GD12" s="184" t="str">
        <f>IFERROR((((COUNTIF('Elève (4ème2)'!GA12:GC12,"A"))*4)+((COUNTIF('Elève (4ème2)'!GA12:GC12,"B"))*3)+((COUNTIF('Elève (4ème2)'!GA12:GC12,"C"))*2)+((COUNTIF('Elève (4ème2)'!GA12:GC12,"D"))*1))/(COUNTA(GA12:GC12)),"")</f>
        <v/>
      </c>
      <c r="GE12" s="185" t="str">
        <f t="shared" si="36"/>
        <v/>
      </c>
      <c r="GF12" s="130"/>
      <c r="GG12" s="131"/>
      <c r="GH12" s="132"/>
      <c r="GI12" s="132"/>
      <c r="GJ12" s="184" t="str">
        <f>IFERROR((((COUNTIF('Elève (4ème2)'!GF12:GI12,"A"))*4)+((COUNTIF('Elève (4ème2)'!GF12:GI12,"B"))*3)+((COUNTIF('Elève (4ème2)'!GF12:GI12,"C"))*2)+((COUNTIF('Elève (4ème2)'!GF12:GI12,"D"))*1))/(COUNTA(GF12:GI12)),"")</f>
        <v/>
      </c>
      <c r="GK12" s="185" t="str">
        <f t="shared" si="37"/>
        <v/>
      </c>
      <c r="GL12" s="130"/>
      <c r="GM12" s="219"/>
      <c r="GN12" s="219" t="s">
        <v>29</v>
      </c>
      <c r="GO12" s="131"/>
      <c r="GP12" s="136"/>
      <c r="GQ12" s="184">
        <f>IFERROR((((COUNTIF('Elève (4ème2)'!GL12:GP12,"A"))*4)+((COUNTIF('Elève (4ème2)'!GL12:GP12,"B"))*3)+((COUNTIF('Elève (4ème2)'!GL12:GP12,"C"))*2)+((COUNTIF('Elève (4ème2)'!GL12:GP12,"D"))*1))/(COUNTA(GL12:GP12)),"")</f>
        <v>4</v>
      </c>
      <c r="GR12" s="185" t="str">
        <f t="shared" si="38"/>
        <v>A</v>
      </c>
      <c r="GS12" s="184">
        <f>IF(COUNT(GD12,GJ12,GQ12)=0,"",SUM(GD12,GJ12,GQ12)/COUNT(GD12,GJ12,GQ12))</f>
        <v>4</v>
      </c>
      <c r="GT12" s="207" t="str">
        <f t="shared" si="39"/>
        <v>A</v>
      </c>
      <c r="GU12" s="130"/>
      <c r="GV12" s="131"/>
      <c r="GW12" s="132"/>
      <c r="GX12" s="184" t="str">
        <f>IFERROR((((COUNTIF('Elève (4ème2)'!GU12:GW12,"A"))*4)+((COUNTIF('Elève (4ème2)'!GU12:GW12,"B"))*3)+((COUNTIF('Elève (4ème2)'!GU12:GW12,"C"))*2)+((COUNTIF('Elève (4ème2)'!GU12:GW12,"D"))*1))/(COUNTA(GU12:GW12)),"")</f>
        <v/>
      </c>
      <c r="GY12" s="185" t="str">
        <f t="shared" si="40"/>
        <v/>
      </c>
      <c r="GZ12" s="130"/>
      <c r="HA12" s="131"/>
      <c r="HB12" s="132"/>
      <c r="HC12" s="132"/>
      <c r="HD12" s="184" t="str">
        <f>IFERROR((((COUNTIF('Elève (4ème2)'!GZ12:HC12,"A"))*4)+((COUNTIF('Elève (4ème2)'!GZ12:HC12,"B"))*3)+((COUNTIF('Elève (4ème2)'!GZ12:HC12,"C"))*2)+((COUNTIF('Elève (4ème2)'!GZ12:HC12,"D"))*1))/(COUNTA(GZ12:HC12)),"")</f>
        <v/>
      </c>
      <c r="HE12" s="185" t="str">
        <f t="shared" si="41"/>
        <v/>
      </c>
      <c r="HF12" s="130"/>
      <c r="HG12" s="219"/>
      <c r="HH12" s="219" t="s">
        <v>31</v>
      </c>
      <c r="HI12" s="131"/>
      <c r="HJ12" s="136"/>
      <c r="HK12" s="184">
        <f>IFERROR((((COUNTIF('Elève (4ème2)'!HF12:HJ12,"A"))*4)+((COUNTIF('Elève (4ème2)'!HF12:HJ12,"B"))*3)+((COUNTIF('Elève (4ème2)'!HF12:HJ12,"C"))*2)+((COUNTIF('Elève (4ème2)'!HF12:HJ12,"D"))*1))/(COUNTA(HF12:HJ12)),"")</f>
        <v>2</v>
      </c>
      <c r="HL12" s="185" t="str">
        <f t="shared" si="42"/>
        <v>C</v>
      </c>
      <c r="HM12" s="184">
        <f>IF(COUNT(GX12,HD12,HK12)=0,"",SUM(GX12,HD12,HK12)/COUNT(GX12,HD12,HK12))</f>
        <v>2</v>
      </c>
      <c r="HN12" s="207" t="str">
        <f t="shared" si="43"/>
        <v>C</v>
      </c>
      <c r="HO12" s="130"/>
      <c r="HP12" s="131"/>
      <c r="HQ12" s="132"/>
      <c r="HR12" s="184" t="str">
        <f>IFERROR((((COUNTIF('Elève (4ème2)'!HO12:HQ12,"A"))*4)+((COUNTIF('Elève (4ème2)'!HO12:HQ12,"B"))*3)+((COUNTIF('Elève (4ème2)'!HO12:HQ12,"C"))*2)+((COUNTIF('Elève (4ème2)'!HO12:HQ12,"D"))*1))/(COUNTA(HO12:HQ12)),"")</f>
        <v/>
      </c>
      <c r="HS12" s="185" t="str">
        <f t="shared" si="44"/>
        <v/>
      </c>
      <c r="HT12" s="130"/>
      <c r="HU12" s="131"/>
      <c r="HV12" s="132"/>
      <c r="HW12" s="132"/>
      <c r="HX12" s="184" t="str">
        <f>IFERROR((((COUNTIF('Elève (4ème2)'!HT12:HW12,"A"))*4)+((COUNTIF('Elève (4ème2)'!HT12:HW12,"B"))*3)+((COUNTIF('Elève (4ème2)'!HT12:HW12,"C"))*2)+((COUNTIF('Elève (4ème2)'!HT12:HW12,"D"))*1))/(COUNTA(HT12:HW12)),"")</f>
        <v/>
      </c>
      <c r="HY12" s="185" t="str">
        <f t="shared" si="45"/>
        <v/>
      </c>
      <c r="HZ12" s="130"/>
      <c r="IA12" s="219"/>
      <c r="IB12" s="219" t="s">
        <v>30</v>
      </c>
      <c r="IC12" s="131"/>
      <c r="ID12" s="136"/>
      <c r="IE12" s="184">
        <f>IFERROR((((COUNTIF('Elève (4ème2)'!HZ12:ID12,"A"))*4)+((COUNTIF('Elève (4ème2)'!HZ12:ID12,"B"))*3)+((COUNTIF('Elève (4ème2)'!HZ12:ID12,"C"))*2)+((COUNTIF('Elève (4ème2)'!HZ12:ID12,"D"))*1))/(COUNTA(HZ12:ID12)),"")</f>
        <v>3</v>
      </c>
      <c r="IF12" s="185" t="str">
        <f t="shared" si="46"/>
        <v>B</v>
      </c>
      <c r="IG12" s="184">
        <f>IF(COUNT(HR12,HX12,IE12)=0,"",SUM(HR12,HX12,IE12)/COUNT(HR12,HX12,IE12))</f>
        <v>3</v>
      </c>
      <c r="IH12" s="207" t="str">
        <f t="shared" si="47"/>
        <v>B</v>
      </c>
      <c r="II12" s="130"/>
      <c r="IJ12" s="131"/>
      <c r="IK12" s="132"/>
      <c r="IL12" s="184" t="str">
        <f>IFERROR((((COUNTIF('Elève (4ème2)'!II12:IK12,"A"))*4)+((COUNTIF('Elève (4ème2)'!II12:IK12,"B"))*3)+((COUNTIF('Elève (4ème2)'!II12:IK12,"C"))*2)+((COUNTIF('Elève (4ème2)'!II12:IK12,"D"))*1))/(COUNTA(II12:IK12)),"")</f>
        <v/>
      </c>
      <c r="IM12" s="185" t="str">
        <f t="shared" si="48"/>
        <v/>
      </c>
      <c r="IN12" s="130"/>
      <c r="IO12" s="131"/>
      <c r="IP12" s="132"/>
      <c r="IQ12" s="132"/>
      <c r="IR12" s="184" t="str">
        <f>IFERROR((((COUNTIF('Elève (4ème2)'!IN12:IQ12,"A"))*4)+((COUNTIF('Elève (4ème2)'!IN12:IQ12,"B"))*3)+((COUNTIF('Elève (4ème2)'!IN12:IQ12,"C"))*2)+((COUNTIF('Elève (4ème2)'!IN12:IQ12,"D"))*1))/(COUNTA(IN12:IQ12)),"")</f>
        <v/>
      </c>
      <c r="IS12" s="185" t="str">
        <f t="shared" si="49"/>
        <v/>
      </c>
      <c r="IT12" s="130"/>
      <c r="IU12" s="219"/>
      <c r="IV12" s="219" t="s">
        <v>29</v>
      </c>
      <c r="IW12" s="131"/>
      <c r="IX12" s="136"/>
      <c r="IY12" s="184">
        <f>IFERROR((((COUNTIF('Elève (4ème2)'!IT12:IX12,"A"))*4)+((COUNTIF('Elève (4ème2)'!IT12:IX12,"B"))*3)+((COUNTIF('Elève (4ème2)'!IT12:IX12,"C"))*2)+((COUNTIF('Elève (4ème2)'!IT12:IX12,"D"))*1))/(COUNTA(IT12:IX12)),"")</f>
        <v>4</v>
      </c>
      <c r="IZ12" s="185" t="str">
        <f t="shared" si="50"/>
        <v>A</v>
      </c>
      <c r="JA12" s="184">
        <f>IF(COUNT(IL12,IR12,IY12)=0,"",SUM(IL12,IR12,IY12)/COUNT(IL12,IR12,IY12))</f>
        <v>4</v>
      </c>
      <c r="JB12" s="207" t="str">
        <f t="shared" si="51"/>
        <v>A</v>
      </c>
      <c r="JC12" s="130"/>
      <c r="JD12" s="131"/>
      <c r="JE12" s="132"/>
      <c r="JF12" s="184" t="str">
        <f>IFERROR((((COUNTIF('Elève (4ème2)'!JC12:JE12,"A"))*4)+((COUNTIF('Elève (4ème2)'!JC12:JE12,"B"))*3)+((COUNTIF('Elève (4ème2)'!JC12:JE12,"C"))*2)+((COUNTIF('Elève (4ème2)'!JC12:JE12,"D"))*1))/(COUNTA(JC12:JE12)),"")</f>
        <v/>
      </c>
      <c r="JG12" s="185" t="str">
        <f t="shared" si="52"/>
        <v/>
      </c>
      <c r="JH12" s="130"/>
      <c r="JI12" s="131"/>
      <c r="JJ12" s="132"/>
      <c r="JK12" s="132"/>
      <c r="JL12" s="184" t="str">
        <f>IFERROR((((COUNTIF('Elève (4ème2)'!JH12:JK12,"A"))*4)+((COUNTIF('Elève (4ème2)'!JH12:JK12,"B"))*3)+((COUNTIF('Elève (4ème2)'!JH12:JK12,"C"))*2)+((COUNTIF('Elève (4ème2)'!JH12:JK12,"D"))*1))/(COUNTA(JH12:JK12)),"")</f>
        <v/>
      </c>
      <c r="JM12" s="185" t="str">
        <f t="shared" si="53"/>
        <v/>
      </c>
      <c r="JN12" s="130"/>
      <c r="JO12" s="219"/>
      <c r="JP12" s="219" t="s">
        <v>29</v>
      </c>
      <c r="JQ12" s="131"/>
      <c r="JR12" s="136"/>
      <c r="JS12" s="184">
        <f>IFERROR((((COUNTIF('Elève (4ème2)'!JN12:JR12,"A"))*4)+((COUNTIF('Elève (4ème2)'!JN12:JR12,"B"))*3)+((COUNTIF('Elève (4ème2)'!JN12:JR12,"C"))*2)+((COUNTIF('Elève (4ème2)'!JN12:JR12,"D"))*1))/(COUNTA(JN12:JR12)),"")</f>
        <v>4</v>
      </c>
      <c r="JT12" s="185" t="str">
        <f t="shared" si="54"/>
        <v>A</v>
      </c>
      <c r="JU12" s="184">
        <f>IF(COUNT(JF12,JL12,JS12)=0,"",SUM(JF12,JL12,JS12)/COUNT(JF12,JL12,JS12))</f>
        <v>4</v>
      </c>
      <c r="JV12" s="207" t="str">
        <f t="shared" si="55"/>
        <v>A</v>
      </c>
      <c r="JW12" s="130"/>
      <c r="JX12" s="131"/>
      <c r="JY12" s="132"/>
      <c r="JZ12" s="184" t="str">
        <f>IFERROR((((COUNTIF('Elève (4ème2)'!JW12:JY12,"A"))*4)+((COUNTIF('Elève (4ème2)'!JW12:JY12,"B"))*3)+((COUNTIF('Elève (4ème2)'!JW12:JY12,"C"))*2)+((COUNTIF('Elève (4ème2)'!JW12:JY12,"D"))*1))/(COUNTA(JW12:JY12)),"")</f>
        <v/>
      </c>
      <c r="KA12" s="185" t="str">
        <f t="shared" si="56"/>
        <v/>
      </c>
      <c r="KB12" s="130"/>
      <c r="KC12" s="131"/>
      <c r="KD12" s="132"/>
      <c r="KE12" s="132"/>
      <c r="KF12" s="184" t="str">
        <f>IFERROR((((COUNTIF('Elève (4ème2)'!KB12:KE12,"A"))*4)+((COUNTIF('Elève (4ème2)'!KB12:KE12,"B"))*3)+((COUNTIF('Elève (4ème2)'!KB12:KE12,"C"))*2)+((COUNTIF('Elève (4ème2)'!KB12:KE12,"D"))*1))/(COUNTA(KB12:KE12)),"")</f>
        <v/>
      </c>
      <c r="KG12" s="185" t="str">
        <f t="shared" si="57"/>
        <v/>
      </c>
      <c r="KH12" s="130"/>
      <c r="KI12" s="219"/>
      <c r="KJ12" s="219" t="s">
        <v>29</v>
      </c>
      <c r="KK12" s="131"/>
      <c r="KL12" s="136"/>
      <c r="KM12" s="184">
        <f>IFERROR((((COUNTIF('Elève (4ème2)'!KH12:KL12,"A"))*4)+((COUNTIF('Elève (4ème2)'!KH12:KL12,"B"))*3)+((COUNTIF('Elève (4ème2)'!KH12:KL12,"C"))*2)+((COUNTIF('Elève (4ème2)'!KH12:KL12,"D"))*1))/(COUNTA(KH12:KL12)),"")</f>
        <v>4</v>
      </c>
      <c r="KN12" s="185" t="str">
        <f t="shared" si="58"/>
        <v>A</v>
      </c>
      <c r="KO12" s="184">
        <f>IF(COUNT(JZ12,KF12,KM12)=0,"",SUM(JZ12,KF12,KM12)/COUNT(JZ12,KF12,KM12))</f>
        <v>4</v>
      </c>
      <c r="KP12" s="207" t="str">
        <f t="shared" si="59"/>
        <v>A</v>
      </c>
      <c r="KQ12" s="130"/>
      <c r="KR12" s="131"/>
      <c r="KS12" s="132"/>
      <c r="KT12" s="184" t="str">
        <f>IFERROR((((COUNTIF('Elève (4ème2)'!KQ12:KS12,"A"))*4)+((COUNTIF('Elève (4ème2)'!KQ12:KS12,"B"))*3)+((COUNTIF('Elève (4ème2)'!KQ12:KS12,"C"))*2)+((COUNTIF('Elève (4ème2)'!KQ12:KS12,"D"))*1))/(COUNTA(KQ12:KS12)),"")</f>
        <v/>
      </c>
      <c r="KU12" s="185" t="str">
        <f t="shared" si="60"/>
        <v/>
      </c>
      <c r="KV12" s="130"/>
      <c r="KW12" s="131"/>
      <c r="KX12" s="132"/>
      <c r="KY12" s="132"/>
      <c r="KZ12" s="184" t="str">
        <f>IFERROR((((COUNTIF('Elève (4ème2)'!KV12:KY12,"A"))*4)+((COUNTIF('Elève (4ème2)'!KV12:KY12,"B"))*3)+((COUNTIF('Elève (4ème2)'!KV12:KY12,"C"))*2)+((COUNTIF('Elève (4ème2)'!KV12:KY12,"D"))*1))/(COUNTA(KV12:KY12)),"")</f>
        <v/>
      </c>
      <c r="LA12" s="185" t="str">
        <f t="shared" si="61"/>
        <v/>
      </c>
      <c r="LB12" s="130"/>
      <c r="LC12" s="219"/>
      <c r="LD12" s="219" t="s">
        <v>29</v>
      </c>
      <c r="LE12" s="131"/>
      <c r="LF12" s="136"/>
      <c r="LG12" s="184">
        <f>IFERROR((((COUNTIF('Elève (4ème2)'!LB12:LF12,"A"))*4)+((COUNTIF('Elève (4ème2)'!LB12:LF12,"B"))*3)+((COUNTIF('Elève (4ème2)'!LB12:LF12,"C"))*2)+((COUNTIF('Elève (4ème2)'!LB12:LF12,"D"))*1))/(COUNTA(LB12:LF12)),"")</f>
        <v>4</v>
      </c>
      <c r="LH12" s="185" t="str">
        <f t="shared" si="62"/>
        <v>A</v>
      </c>
      <c r="LI12" s="184">
        <f>IF(COUNT(KT12,KZ12,LG12)=0,"",SUM(KT12,KZ12,LG12)/COUNT(KT12,KZ12,LG12))</f>
        <v>4</v>
      </c>
      <c r="LJ12" s="207" t="str">
        <f t="shared" si="63"/>
        <v>A</v>
      </c>
      <c r="LK12" s="130"/>
      <c r="LL12" s="131"/>
      <c r="LM12" s="132"/>
      <c r="LN12" s="184" t="str">
        <f>IFERROR((((COUNTIF('Elève (4ème2)'!LK12:LM12,"A"))*4)+((COUNTIF('Elève (4ème2)'!LK12:LM12,"B"))*3)+((COUNTIF('Elève (4ème2)'!LK12:LM12,"C"))*2)+((COUNTIF('Elève (4ème2)'!LK12:LM12,"D"))*1))/(COUNTA(LK12:LM12)),"")</f>
        <v/>
      </c>
      <c r="LO12" s="185" t="str">
        <f t="shared" si="64"/>
        <v/>
      </c>
      <c r="LP12" s="130"/>
      <c r="LQ12" s="131"/>
      <c r="LR12" s="132"/>
      <c r="LS12" s="132"/>
      <c r="LT12" s="184" t="str">
        <f>IFERROR((((COUNTIF('Elève (4ème2)'!LP12:LS12,"A"))*4)+((COUNTIF('Elève (4ème2)'!LP12:LS12,"B"))*3)+((COUNTIF('Elève (4ème2)'!LP12:LS12,"C"))*2)+((COUNTIF('Elève (4ème2)'!LP12:LS12,"D"))*1))/(COUNTA(LP12:LS12)),"")</f>
        <v/>
      </c>
      <c r="LU12" s="185" t="str">
        <f t="shared" si="65"/>
        <v/>
      </c>
      <c r="LV12" s="130"/>
      <c r="LW12" s="219"/>
      <c r="LX12" s="219" t="s">
        <v>32</v>
      </c>
      <c r="LY12" s="131"/>
      <c r="LZ12" s="136"/>
      <c r="MA12" s="184">
        <f>IFERROR((((COUNTIF('Elève (4ème2)'!LV12:LZ12,"A"))*4)+((COUNTIF('Elève (4ème2)'!LV12:LZ12,"B"))*3)+((COUNTIF('Elève (4ème2)'!LV12:LZ12,"C"))*2)+((COUNTIF('Elève (4ème2)'!LV12:LZ12,"D"))*1))/(COUNTA(LV12:LZ12)),"")</f>
        <v>1</v>
      </c>
      <c r="MB12" s="185" t="str">
        <f t="shared" si="66"/>
        <v>D</v>
      </c>
      <c r="MC12" s="184">
        <f>IF(COUNT(LN12,LT12,MA12)=0,"",SUM(LN12,LT12,MA12)/COUNT(LN12,LT12,MA12))</f>
        <v>1</v>
      </c>
      <c r="MD12" s="207" t="str">
        <f t="shared" si="67"/>
        <v>D</v>
      </c>
      <c r="ME12" s="130"/>
      <c r="MF12" s="131"/>
      <c r="MG12" s="132"/>
      <c r="MH12" s="184" t="str">
        <f>IFERROR((((COUNTIF('Elève (4ème2)'!ME12:MG12,"A"))*4)+((COUNTIF('Elève (4ème2)'!ME12:MG12,"B"))*3)+((COUNTIF('Elève (4ème2)'!ME12:MG12,"C"))*2)+((COUNTIF('Elève (4ème2)'!ME12:MG12,"D"))*1))/(COUNTA(ME12:MG12)),"")</f>
        <v/>
      </c>
      <c r="MI12" s="185" t="str">
        <f t="shared" si="68"/>
        <v/>
      </c>
      <c r="MJ12" s="130"/>
      <c r="MK12" s="131"/>
      <c r="ML12" s="132"/>
      <c r="MM12" s="132"/>
      <c r="MN12" s="184" t="str">
        <f>IFERROR((((COUNTIF('Elève (4ème2)'!MJ12:MM12,"A"))*4)+((COUNTIF('Elève (4ème2)'!MJ12:MM12,"B"))*3)+((COUNTIF('Elève (4ème2)'!MJ12:MM12,"C"))*2)+((COUNTIF('Elève (4ème2)'!MJ12:MM12,"D"))*1))/(COUNTA(MJ12:MM12)),"")</f>
        <v/>
      </c>
      <c r="MO12" s="185" t="str">
        <f t="shared" si="69"/>
        <v/>
      </c>
      <c r="MP12" s="130"/>
      <c r="MQ12" s="219"/>
      <c r="MR12" s="219" t="s">
        <v>31</v>
      </c>
      <c r="MS12" s="131"/>
      <c r="MT12" s="136"/>
      <c r="MU12" s="184">
        <f>IFERROR((((COUNTIF('Elève (4ème2)'!MP12:MT12,"A"))*4)+((COUNTIF('Elève (4ème2)'!MP12:MT12,"B"))*3)+((COUNTIF('Elève (4ème2)'!MP12:MT12,"C"))*2)+((COUNTIF('Elève (4ème2)'!MP12:MT12,"D"))*1))/(COUNTA(MP12:MT12)),"")</f>
        <v>2</v>
      </c>
      <c r="MV12" s="185" t="str">
        <f t="shared" si="70"/>
        <v>C</v>
      </c>
      <c r="MW12" s="184">
        <f>IF(COUNT(MH12,MN12,MU12)=0,"",SUM(MH12,MN12,MU12)/COUNT(MH12,MN12,MU12))</f>
        <v>2</v>
      </c>
      <c r="MX12" s="207" t="str">
        <f t="shared" si="71"/>
        <v>C</v>
      </c>
      <c r="MY12" s="130"/>
      <c r="MZ12" s="131"/>
      <c r="NA12" s="132"/>
      <c r="NB12" s="184" t="str">
        <f>IFERROR((((COUNTIF('Elève (4ème2)'!MY12:NA12,"A"))*4)+((COUNTIF('Elève (4ème2)'!MY12:NA12,"B"))*3)+((COUNTIF('Elève (4ème2)'!MY12:NA12,"C"))*2)+((COUNTIF('Elève (4ème2)'!MY12:NA12,"D"))*1))/(COUNTA(MY12:NA12)),"")</f>
        <v/>
      </c>
      <c r="NC12" s="185" t="str">
        <f t="shared" si="72"/>
        <v/>
      </c>
      <c r="ND12" s="130"/>
      <c r="NE12" s="131"/>
      <c r="NF12" s="132"/>
      <c r="NG12" s="132"/>
      <c r="NH12" s="184" t="str">
        <f>IFERROR((((COUNTIF('Elève (4ème2)'!ND12:NG12,"A"))*4)+((COUNTIF('Elève (4ème2)'!ND12:NG12,"B"))*3)+((COUNTIF('Elève (4ème2)'!ND12:NG12,"C"))*2)+((COUNTIF('Elève (4ème2)'!ND12:NG12,"D"))*1))/(COUNTA(ND12:NG12)),"")</f>
        <v/>
      </c>
      <c r="NI12" s="185" t="str">
        <f t="shared" si="73"/>
        <v/>
      </c>
      <c r="NJ12" s="130"/>
      <c r="NK12" s="219"/>
      <c r="NL12" s="219" t="s">
        <v>32</v>
      </c>
      <c r="NM12" s="131"/>
      <c r="NN12" s="136"/>
      <c r="NO12" s="184">
        <f>IFERROR((((COUNTIF('Elève (4ème2)'!NJ12:NN12,"A"))*4)+((COUNTIF('Elève (4ème2)'!NJ12:NN12,"B"))*3)+((COUNTIF('Elève (4ème2)'!NJ12:NN12,"C"))*2)+((COUNTIF('Elève (4ème2)'!NJ12:NN12,"D"))*1))/(COUNTA(NJ12:NN12)),"")</f>
        <v>1</v>
      </c>
      <c r="NP12" s="185" t="str">
        <f t="shared" si="74"/>
        <v>D</v>
      </c>
      <c r="NQ12" s="184">
        <f>IF(COUNT(NB12,NH12,NO12)=0,"",SUM(NB12,NH12,NO12)/COUNT(NB12,NH12,NO12))</f>
        <v>1</v>
      </c>
      <c r="NR12" s="207" t="str">
        <f t="shared" si="75"/>
        <v>D</v>
      </c>
      <c r="NS12" s="130"/>
      <c r="NT12" s="131"/>
      <c r="NU12" s="132"/>
      <c r="NV12" s="184" t="str">
        <f>IFERROR((((COUNTIF('Elève (4ème2)'!NS12:NU12,"A"))*4)+((COUNTIF('Elève (4ème2)'!NS12:NU12,"B"))*3)+((COUNTIF('Elève (4ème2)'!NS12:NU12,"C"))*2)+((COUNTIF('Elève (4ème2)'!NS12:NU12,"D"))*1))/(COUNTA(NS12:NU12)),"")</f>
        <v/>
      </c>
      <c r="NW12" s="185" t="str">
        <f t="shared" si="76"/>
        <v/>
      </c>
      <c r="NX12" s="130"/>
      <c r="NY12" s="131"/>
      <c r="NZ12" s="132"/>
      <c r="OA12" s="132"/>
      <c r="OB12" s="184" t="str">
        <f>IFERROR((((COUNTIF('Elève (4ème2)'!NX12:OA12,"A"))*4)+((COUNTIF('Elève (4ème2)'!NX12:OA12,"B"))*3)+((COUNTIF('Elève (4ème2)'!NX12:OA12,"C"))*2)+((COUNTIF('Elève (4ème2)'!NX12:OA12,"D"))*1))/(COUNTA(NX12:OA12)),"")</f>
        <v/>
      </c>
      <c r="OC12" s="185" t="str">
        <f t="shared" si="77"/>
        <v/>
      </c>
      <c r="OD12" s="130"/>
      <c r="OE12" s="219"/>
      <c r="OF12" s="219" t="s">
        <v>29</v>
      </c>
      <c r="OG12" s="131"/>
      <c r="OH12" s="136"/>
      <c r="OI12" s="184">
        <f>IFERROR((((COUNTIF('Elève (4ème2)'!OD12:OH12,"A"))*4)+((COUNTIF('Elève (4ème2)'!OD12:OH12,"B"))*3)+((COUNTIF('Elève (4ème2)'!OD12:OH12,"C"))*2)+((COUNTIF('Elève (4ème2)'!OD12:OH12,"D"))*1))/(COUNTA(OD12:OH12)),"")</f>
        <v>4</v>
      </c>
      <c r="OJ12" s="185" t="str">
        <f t="shared" si="78"/>
        <v>A</v>
      </c>
      <c r="OK12" s="184">
        <f>IF(COUNT(NV12,OB12,OI12)=0,"",SUM(NV12,OB12,OI12)/COUNT(NV12,OB12,OI12))</f>
        <v>4</v>
      </c>
      <c r="OL12" s="207" t="str">
        <f t="shared" si="79"/>
        <v>A</v>
      </c>
      <c r="OM12" s="130"/>
      <c r="ON12" s="131"/>
      <c r="OO12" s="132"/>
      <c r="OP12" s="184" t="str">
        <f>IFERROR((((COUNTIF('Elève (4ème2)'!OM12:OO12,"A"))*4)+((COUNTIF('Elève (4ème2)'!OM12:OO12,"B"))*3)+((COUNTIF('Elève (4ème2)'!OM12:OO12,"C"))*2)+((COUNTIF('Elève (4ème2)'!OM12:OO12,"D"))*1))/(COUNTA(OM12:OO12)),"")</f>
        <v/>
      </c>
      <c r="OQ12" s="185" t="str">
        <f t="shared" si="80"/>
        <v/>
      </c>
      <c r="OR12" s="130"/>
      <c r="OS12" s="131"/>
      <c r="OT12" s="132"/>
      <c r="OU12" s="132"/>
      <c r="OV12" s="184" t="str">
        <f>IFERROR((((COUNTIF('Elève (4ème2)'!OR12:OU12,"A"))*4)+((COUNTIF('Elève (4ème2)'!OR12:OU12,"B"))*3)+((COUNTIF('Elève (4ème2)'!OR12:OU12,"C"))*2)+((COUNTIF('Elève (4ème2)'!OR12:OU12,"D"))*1))/(COUNTA(OR12:OU12)),"")</f>
        <v/>
      </c>
      <c r="OW12" s="185" t="str">
        <f t="shared" si="81"/>
        <v/>
      </c>
      <c r="OX12" s="130"/>
      <c r="OY12" s="219"/>
      <c r="OZ12" s="219" t="s">
        <v>29</v>
      </c>
      <c r="PA12" s="131"/>
      <c r="PB12" s="136"/>
      <c r="PC12" s="184">
        <f>IFERROR((((COUNTIF('Elève (4ème2)'!OX12:PB12,"A"))*4)+((COUNTIF('Elève (4ème2)'!OX12:PB12,"B"))*3)+((COUNTIF('Elève (4ème2)'!OX12:PB12,"C"))*2)+((COUNTIF('Elève (4ème2)'!OX12:PB12,"D"))*1))/(COUNTA(OX12:PB12)),"")</f>
        <v>4</v>
      </c>
      <c r="PD12" s="185" t="str">
        <f t="shared" si="82"/>
        <v>A</v>
      </c>
      <c r="PE12" s="184">
        <f>IF(COUNT(OP12,OV12,PC12)=0,"",SUM(OP12,OV12,PC12)/COUNT(OP12,OV12,PC12))</f>
        <v>4</v>
      </c>
      <c r="PF12" s="207" t="str">
        <f t="shared" si="83"/>
        <v>A</v>
      </c>
      <c r="PG12" s="130"/>
      <c r="PH12" s="131"/>
      <c r="PI12" s="132"/>
      <c r="PJ12" s="184" t="str">
        <f>IFERROR((((COUNTIF('Elève (4ème2)'!PG12:PI12,"A"))*4)+((COUNTIF('Elève (4ème2)'!PG12:PI12,"B"))*3)+((COUNTIF('Elève (4ème2)'!PG12:PI12,"C"))*2)+((COUNTIF('Elève (4ème2)'!PG12:PI12,"D"))*1))/(COUNTA(PG12:PI12)),"")</f>
        <v/>
      </c>
      <c r="PK12" s="185" t="str">
        <f t="shared" si="84"/>
        <v/>
      </c>
      <c r="PL12" s="130"/>
      <c r="PM12" s="131"/>
      <c r="PN12" s="132"/>
      <c r="PO12" s="132"/>
      <c r="PP12" s="184" t="str">
        <f>IFERROR((((COUNTIF('Elève (4ème2)'!PL12:PO12,"A"))*4)+((COUNTIF('Elève (4ème2)'!PL12:PO12,"B"))*3)+((COUNTIF('Elève (4ème2)'!PL12:PO12,"C"))*2)+((COUNTIF('Elève (4ème2)'!PL12:PO12,"D"))*1))/(COUNTA(PL12:PO12)),"")</f>
        <v/>
      </c>
      <c r="PQ12" s="185" t="str">
        <f t="shared" si="85"/>
        <v/>
      </c>
      <c r="PR12" s="130"/>
      <c r="PS12" s="219"/>
      <c r="PT12" s="219" t="s">
        <v>30</v>
      </c>
      <c r="PU12" s="131"/>
      <c r="PV12" s="136"/>
      <c r="PW12" s="184">
        <f>IFERROR((((COUNTIF('Elève (4ème2)'!PR12:PV12,"A"))*4)+((COUNTIF('Elève (4ème2)'!PR12:PV12,"B"))*3)+((COUNTIF('Elève (4ème2)'!PR12:PV12,"C"))*2)+((COUNTIF('Elève (4ème2)'!PR12:PV12,"D"))*1))/(COUNTA(PR12:PV12)),"")</f>
        <v>3</v>
      </c>
      <c r="PX12" s="185" t="str">
        <f t="shared" si="86"/>
        <v>B</v>
      </c>
      <c r="PY12" s="184">
        <f>IF(COUNT(PJ12,PP12,PW12)=0,"",SUM(PJ12,PP12,PW12)/COUNT(PJ12,PP12,PW12))</f>
        <v>3</v>
      </c>
      <c r="PZ12" s="207" t="str">
        <f t="shared" si="87"/>
        <v>B</v>
      </c>
      <c r="QA12" s="130"/>
      <c r="QB12" s="131"/>
      <c r="QC12" s="132"/>
      <c r="QD12" s="184" t="str">
        <f>IFERROR((((COUNTIF('Elève (4ème2)'!QA12:QC12,"A"))*4)+((COUNTIF('Elève (4ème2)'!QA12:QC12,"B"))*3)+((COUNTIF('Elève (4ème2)'!QA12:QC12,"C"))*2)+((COUNTIF('Elève (4ème2)'!QA12:QC12,"D"))*1))/(COUNTA(QA12:QC12)),"")</f>
        <v/>
      </c>
      <c r="QE12" s="185" t="str">
        <f t="shared" si="88"/>
        <v/>
      </c>
      <c r="QF12" s="130"/>
      <c r="QG12" s="131"/>
      <c r="QH12" s="132"/>
      <c r="QI12" s="132"/>
      <c r="QJ12" s="184" t="str">
        <f>IFERROR((((COUNTIF('Elève (4ème2)'!QF12:QI12,"A"))*4)+((COUNTIF('Elève (4ème2)'!QF12:QI12,"B"))*3)+((COUNTIF('Elève (4ème2)'!QF12:QI12,"C"))*2)+((COUNTIF('Elève (4ème2)'!QF12:QI12,"D"))*1))/(COUNTA(QF12:QI12)),"")</f>
        <v/>
      </c>
      <c r="QK12" s="185" t="str">
        <f t="shared" si="89"/>
        <v/>
      </c>
      <c r="QL12" s="130"/>
      <c r="QM12" s="219"/>
      <c r="QN12" s="219" t="s">
        <v>29</v>
      </c>
      <c r="QO12" s="131"/>
      <c r="QP12" s="136"/>
      <c r="QQ12" s="184">
        <f>IFERROR((((COUNTIF('Elève (4ème2)'!QL12:QP12,"A"))*4)+((COUNTIF('Elève (4ème2)'!QL12:QP12,"B"))*3)+((COUNTIF('Elève (4ème2)'!QL12:QP12,"C"))*2)+((COUNTIF('Elève (4ème2)'!QL12:QP12,"D"))*1))/(COUNTA(QL12:QP12)),"")</f>
        <v>4</v>
      </c>
      <c r="QR12" s="185" t="str">
        <f t="shared" si="90"/>
        <v>A</v>
      </c>
      <c r="QS12" s="184">
        <f>IF(COUNT(QD12,QJ12,QQ12)=0,"",SUM(QD12,QJ12,QQ12)/COUNT(QD12,QJ12,QQ12))</f>
        <v>4</v>
      </c>
      <c r="QT12" s="207" t="str">
        <f t="shared" si="91"/>
        <v>A</v>
      </c>
      <c r="QU12" s="130"/>
      <c r="QV12" s="131"/>
      <c r="QW12" s="132"/>
      <c r="QX12" s="184" t="str">
        <f>IFERROR((((COUNTIF('Elève (4ème2)'!QU12:QW12,"A"))*4)+((COUNTIF('Elève (4ème2)'!QU12:QW12,"B"))*3)+((COUNTIF('Elève (4ème2)'!QU12:QW12,"C"))*2)+((COUNTIF('Elève (4ème2)'!QU12:QW12,"D"))*1))/(COUNTA(QU12:QW12)),"")</f>
        <v/>
      </c>
      <c r="QY12" s="185" t="str">
        <f t="shared" si="92"/>
        <v/>
      </c>
      <c r="QZ12" s="130"/>
      <c r="RA12" s="131"/>
      <c r="RB12" s="132"/>
      <c r="RC12" s="132"/>
      <c r="RD12" s="184" t="str">
        <f>IFERROR((((COUNTIF('Elève (4ème2)'!QZ12:RC12,"A"))*4)+((COUNTIF('Elève (4ème2)'!QZ12:RC12,"B"))*3)+((COUNTIF('Elève (4ème2)'!QZ12:RC12,"C"))*2)+((COUNTIF('Elève (4ème2)'!QZ12:RC12,"D"))*1))/(COUNTA(QZ12:RC12)),"")</f>
        <v/>
      </c>
      <c r="RE12" s="185" t="str">
        <f t="shared" si="93"/>
        <v/>
      </c>
      <c r="RF12" s="130"/>
      <c r="RG12" s="219"/>
      <c r="RH12" s="219" t="s">
        <v>29</v>
      </c>
      <c r="RI12" s="131"/>
      <c r="RJ12" s="136"/>
      <c r="RK12" s="184">
        <f>IFERROR((((COUNTIF('Elève (4ème2)'!RF12:RJ12,"A"))*4)+((COUNTIF('Elève (4ème2)'!RF12:RJ12,"B"))*3)+((COUNTIF('Elève (4ème2)'!RF12:RJ12,"C"))*2)+((COUNTIF('Elève (4ème2)'!RF12:RJ12,"D"))*1))/(COUNTA(RF12:RJ12)),"")</f>
        <v>4</v>
      </c>
      <c r="RL12" s="185" t="str">
        <f t="shared" si="94"/>
        <v>A</v>
      </c>
      <c r="RM12" s="184">
        <f>IF(COUNT(QX12,RD12,RK12)=0,"",SUM(QX12,RD12,RK12)/COUNT(QX12,RD12,RK12))</f>
        <v>4</v>
      </c>
      <c r="RN12" s="207" t="str">
        <f t="shared" si="95"/>
        <v>A</v>
      </c>
      <c r="RO12" s="130"/>
      <c r="RP12" s="131"/>
      <c r="RQ12" s="132"/>
      <c r="RR12" s="184" t="str">
        <f>IFERROR((((COUNTIF('Elève (4ème2)'!RO12:RQ12,"A"))*4)+((COUNTIF('Elève (4ème2)'!RO12:RQ12,"B"))*3)+((COUNTIF('Elève (4ème2)'!RO12:RQ12,"C"))*2)+((COUNTIF('Elève (4ème2)'!RO12:RQ12,"D"))*1))/(COUNTA(RO12:RQ12)),"")</f>
        <v/>
      </c>
      <c r="RS12" s="185" t="str">
        <f t="shared" si="96"/>
        <v/>
      </c>
      <c r="RT12" s="130"/>
      <c r="RU12" s="131"/>
      <c r="RV12" s="132"/>
      <c r="RW12" s="132"/>
      <c r="RX12" s="184" t="str">
        <f>IFERROR((((COUNTIF('Elève (4ème2)'!RT12:RW12,"A"))*4)+((COUNTIF('Elève (4ème2)'!RT12:RW12,"B"))*3)+((COUNTIF('Elève (4ème2)'!RT12:RW12,"C"))*2)+((COUNTIF('Elève (4ème2)'!RT12:RW12,"D"))*1))/(COUNTA(RT12:RW12)),"")</f>
        <v/>
      </c>
      <c r="RY12" s="185" t="str">
        <f t="shared" si="97"/>
        <v/>
      </c>
      <c r="RZ12" s="130"/>
      <c r="SA12" s="219"/>
      <c r="SB12" s="219" t="s">
        <v>29</v>
      </c>
      <c r="SC12" s="131"/>
      <c r="SD12" s="136"/>
      <c r="SE12" s="184">
        <f>IFERROR((((COUNTIF('Elève (4ème2)'!RZ12:SD12,"A"))*4)+((COUNTIF('Elève (4ème2)'!RZ12:SD12,"B"))*3)+((COUNTIF('Elève (4ème2)'!RZ12:SD12,"C"))*2)+((COUNTIF('Elève (4ème2)'!RZ12:SD12,"D"))*1))/(COUNTA(RZ12:SD12)),"")</f>
        <v>4</v>
      </c>
      <c r="SF12" s="185" t="str">
        <f t="shared" si="98"/>
        <v>A</v>
      </c>
      <c r="SG12" s="184">
        <f>IF(COUNT(RR12,RX12,SE12)=0,"",SUM(RR12,RX12,SE12)/COUNT(RR12,RX12,SE12))</f>
        <v>4</v>
      </c>
      <c r="SH12" s="207" t="str">
        <f t="shared" si="99"/>
        <v>A</v>
      </c>
      <c r="SI12" s="130"/>
      <c r="SJ12" s="131"/>
      <c r="SK12" s="132"/>
      <c r="SL12" s="184" t="str">
        <f>IFERROR((((COUNTIF('Elève (4ème2)'!SI12:SK12,"A"))*4)+((COUNTIF('Elève (4ème2)'!SI12:SK12,"B"))*3)+((COUNTIF('Elève (4ème2)'!SI12:SK12,"C"))*2)+((COUNTIF('Elève (4ème2)'!SI12:SK12,"D"))*1))/(COUNTA(SI12:SK12)),"")</f>
        <v/>
      </c>
      <c r="SM12" s="185" t="str">
        <f t="shared" si="100"/>
        <v/>
      </c>
      <c r="SN12" s="130"/>
      <c r="SO12" s="131"/>
      <c r="SP12" s="132"/>
      <c r="SQ12" s="132"/>
      <c r="SR12" s="184" t="str">
        <f>IFERROR((((COUNTIF('Elève (4ème2)'!SN12:SQ12,"A"))*4)+((COUNTIF('Elève (4ème2)'!SN12:SQ12,"B"))*3)+((COUNTIF('Elève (4ème2)'!SN12:SQ12,"C"))*2)+((COUNTIF('Elève (4ème2)'!SN12:SQ12,"D"))*1))/(COUNTA(SN12:SQ12)),"")</f>
        <v/>
      </c>
      <c r="SS12" s="185" t="str">
        <f t="shared" si="101"/>
        <v/>
      </c>
      <c r="ST12" s="130"/>
      <c r="SU12" s="219"/>
      <c r="SV12" s="219" t="s">
        <v>29</v>
      </c>
      <c r="SW12" s="131"/>
      <c r="SX12" s="136"/>
      <c r="SY12" s="184">
        <f>IFERROR((((COUNTIF('Elève (4ème2)'!ST12:SX12,"A"))*4)+((COUNTIF('Elève (4ème2)'!ST12:SX12,"B"))*3)+((COUNTIF('Elève (4ème2)'!ST12:SX12,"C"))*2)+((COUNTIF('Elève (4ème2)'!ST12:SX12,"D"))*1))/(COUNTA(ST12:SX12)),"")</f>
        <v>4</v>
      </c>
      <c r="SZ12" s="185" t="str">
        <f t="shared" si="102"/>
        <v>A</v>
      </c>
      <c r="TA12" s="184">
        <f>IF(COUNT(SL12,SR12,SY12)=0,"",SUM(SL12,SR12,SY12)/COUNT(SL12,SR12,SY12))</f>
        <v>4</v>
      </c>
      <c r="TB12" s="207" t="str">
        <f t="shared" si="103"/>
        <v>A</v>
      </c>
      <c r="TC12" s="130"/>
      <c r="TD12" s="131"/>
      <c r="TE12" s="132"/>
      <c r="TF12" s="184" t="str">
        <f>IFERROR((((COUNTIF('Elève (4ème2)'!TC12:TE12,"A"))*4)+((COUNTIF('Elève (4ème2)'!TC12:TE12,"B"))*3)+((COUNTIF('Elève (4ème2)'!TC12:TE12,"C"))*2)+((COUNTIF('Elève (4ème2)'!TC12:TE12,"D"))*1))/(COUNTA(TC12:TE12)),"")</f>
        <v/>
      </c>
      <c r="TG12" s="185" t="str">
        <f t="shared" si="104"/>
        <v/>
      </c>
      <c r="TH12" s="130"/>
      <c r="TI12" s="131"/>
      <c r="TJ12" s="132"/>
      <c r="TK12" s="132"/>
      <c r="TL12" s="184" t="str">
        <f>IFERROR((((COUNTIF('Elève (4ème2)'!TH12:TK12,"A"))*4)+((COUNTIF('Elève (4ème2)'!TH12:TK12,"B"))*3)+((COUNTIF('Elève (4ème2)'!TH12:TK12,"C"))*2)+((COUNTIF('Elève (4ème2)'!TH12:TK12,"D"))*1))/(COUNTA(TH12:TK12)),"")</f>
        <v/>
      </c>
      <c r="TM12" s="185" t="str">
        <f t="shared" si="105"/>
        <v/>
      </c>
      <c r="TN12" s="130"/>
      <c r="TO12" s="219"/>
      <c r="TP12" s="219" t="s">
        <v>30</v>
      </c>
      <c r="TQ12" s="131"/>
      <c r="TR12" s="136"/>
      <c r="TS12" s="184">
        <f>IFERROR((((COUNTIF('Elève (4ème2)'!TN12:TR12,"A"))*4)+((COUNTIF('Elève (4ème2)'!TN12:TR12,"B"))*3)+((COUNTIF('Elève (4ème2)'!TN12:TR12,"C"))*2)+((COUNTIF('Elève (4ème2)'!TN12:TR12,"D"))*1))/(COUNTA(TN12:TR12)),"")</f>
        <v>3</v>
      </c>
      <c r="TT12" s="185" t="str">
        <f t="shared" si="106"/>
        <v>B</v>
      </c>
      <c r="TU12" s="184">
        <f>IF(COUNT(TF12,TL12,TS12)=0,"",SUM(TF12,TL12,TS12)/COUNT(TF12,TL12,TS12))</f>
        <v>3</v>
      </c>
      <c r="TV12" s="207" t="str">
        <f t="shared" si="107"/>
        <v>B</v>
      </c>
      <c r="TW12" s="130"/>
      <c r="TX12" s="131"/>
      <c r="TY12" s="132"/>
      <c r="TZ12" s="133" t="str">
        <f>IFERROR((((COUNTIF('Elève (4ème2)'!TW12:TY12,"A"))*4)+((COUNTIF('Elève (4ème2)'!TW12:TY12,"B"))*3)+((COUNTIF('Elève (4ème2)'!TW12:TY12,"C"))*2)+((COUNTIF('Elève (4ème2)'!TW12:TY12,"D"))*1))/(COUNTA(TW12:TY12)),"")</f>
        <v/>
      </c>
      <c r="UA12" s="134" t="str">
        <f t="shared" si="108"/>
        <v/>
      </c>
      <c r="UB12" s="130"/>
      <c r="UC12" s="131"/>
      <c r="UD12" s="132"/>
      <c r="UE12" s="133" t="str">
        <f>IFERROR((((COUNTIF('Elève (4ème2)'!UB12:UD12,"A"))*4)+((COUNTIF('Elève (4ème2)'!UB12:UD12,"B"))*3)+((COUNTIF('Elève (4ème2)'!UB12:UD12,"C"))*2)+((COUNTIF('Elève (4ème2)'!UB12:UD12,"D"))*1))/(COUNTA(UB12:UD12)),"")</f>
        <v/>
      </c>
      <c r="UF12" s="134" t="str">
        <f t="shared" si="109"/>
        <v/>
      </c>
      <c r="UG12" s="130"/>
      <c r="UH12" s="131"/>
      <c r="UI12" s="136"/>
      <c r="UJ12" s="133" t="str">
        <f>IFERROR((((COUNTIF('Elève (4ème2)'!UG12:UI12,"A"))*4)+((COUNTIF('Elève (4ème2)'!UG12:UI12,"B"))*3)+((COUNTIF('Elève (4ème2)'!UG12:UI12,"C"))*2)+((COUNTIF('Elève (4ème2)'!UG12:UI12,"D"))*1))/(COUNTA(UG12:UI12)),"")</f>
        <v/>
      </c>
      <c r="UK12" s="134" t="str">
        <f t="shared" si="110"/>
        <v/>
      </c>
      <c r="UL12" s="133" t="str">
        <f>IF(COUNT(TZ12,UE12,UJ12)=0,"",SUM(TZ12,UE12,UJ12)/COUNT(TZ12,UE12,UJ12))</f>
        <v/>
      </c>
      <c r="UM12" s="135" t="str">
        <f t="shared" si="111"/>
        <v/>
      </c>
      <c r="UN12" s="130"/>
      <c r="UO12" s="131"/>
      <c r="UP12" s="132"/>
      <c r="UQ12" s="133" t="str">
        <f>IFERROR((((COUNTIF('Elève (4ème2)'!UN12:UP12,"A"))*4)+((COUNTIF('Elève (4ème2)'!UN12:UP12,"B"))*3)+((COUNTIF('Elève (4ème2)'!UN12:UP12,"C"))*2)+((COUNTIF('Elève (4ème2)'!UN12:UP12,"D"))*1))/(COUNTA(UN12:UP12)),"")</f>
        <v/>
      </c>
      <c r="UR12" s="134" t="str">
        <f t="shared" si="112"/>
        <v/>
      </c>
      <c r="US12" s="130"/>
      <c r="UT12" s="131"/>
      <c r="UU12" s="132"/>
      <c r="UV12" s="133" t="str">
        <f>IFERROR((((COUNTIF('Elève (4ème2)'!US12:UU12,"A"))*4)+((COUNTIF('Elève (4ème2)'!US12:UU12,"B"))*3)+((COUNTIF('Elève (4ème2)'!US12:UU12,"C"))*2)+((COUNTIF('Elève (4ème2)'!US12:UU12,"D"))*1))/(COUNTA(US12:UU12)),"")</f>
        <v/>
      </c>
      <c r="UW12" s="134" t="str">
        <f t="shared" si="113"/>
        <v/>
      </c>
      <c r="UX12" s="130"/>
      <c r="UY12" s="131"/>
      <c r="UZ12" s="136"/>
      <c r="VA12" s="133" t="str">
        <f>IFERROR((((COUNTIF('Elève (4ème2)'!UX12:UZ12,"A"))*4)+((COUNTIF('Elève (4ème2)'!UX12:UZ12,"B"))*3)+((COUNTIF('Elève (4ème2)'!UX12:UZ12,"C"))*2)+((COUNTIF('Elève (4ème2)'!UX12:UZ12,"D"))*1))/(COUNTA(UX12:UZ12)),"")</f>
        <v/>
      </c>
      <c r="VB12" s="134" t="str">
        <f t="shared" si="114"/>
        <v/>
      </c>
      <c r="VC12" s="133" t="str">
        <f>IF(COUNT(UQ12,UV12,VA12)=0,"",SUM(UQ12,UV12,VA12)/COUNT(UQ12,UV12,VA12))</f>
        <v/>
      </c>
      <c r="VD12" s="135" t="str">
        <f t="shared" si="115"/>
        <v/>
      </c>
      <c r="VE12" s="130"/>
      <c r="VF12" s="131"/>
      <c r="VG12" s="132"/>
      <c r="VH12" s="133" t="str">
        <f>IFERROR((((COUNTIF('Elève (4ème2)'!VE12:VG12,"A"))*4)+((COUNTIF('Elève (4ème2)'!VE12:VG12,"B"))*3)+((COUNTIF('Elève (4ème2)'!VE12:VG12,"C"))*2)+((COUNTIF('Elève (4ème2)'!VE12:VG12,"D"))*1))/(COUNTA(VE12:VG12)),"")</f>
        <v/>
      </c>
      <c r="VI12" s="134" t="str">
        <f t="shared" si="116"/>
        <v/>
      </c>
      <c r="VJ12" s="130"/>
      <c r="VK12" s="131"/>
      <c r="VL12" s="132"/>
      <c r="VM12" s="133" t="str">
        <f>IFERROR((((COUNTIF('Elève (4ème2)'!VJ12:VL12,"A"))*4)+((COUNTIF('Elève (4ème2)'!VJ12:VL12,"B"))*3)+((COUNTIF('Elève (4ème2)'!VJ12:VL12,"C"))*2)+((COUNTIF('Elève (4ème2)'!VJ12:VL12,"D"))*1))/(COUNTA(VJ12:VL12)),"")</f>
        <v/>
      </c>
      <c r="VN12" s="134" t="str">
        <f t="shared" si="117"/>
        <v/>
      </c>
      <c r="VO12" s="130"/>
      <c r="VP12" s="131"/>
      <c r="VQ12" s="136"/>
      <c r="VR12" s="133" t="str">
        <f>IFERROR((((COUNTIF('Elève (4ème2)'!VO12:VQ12,"A"))*4)+((COUNTIF('Elève (4ème2)'!VO12:VQ12,"B"))*3)+((COUNTIF('Elève (4ème2)'!VO12:VQ12,"C"))*2)+((COUNTIF('Elève (4ème2)'!VO12:VQ12,"D"))*1))/(COUNTA(VO12:VQ12)),"")</f>
        <v/>
      </c>
      <c r="VS12" s="134" t="str">
        <f t="shared" si="118"/>
        <v/>
      </c>
      <c r="VT12" s="133" t="str">
        <f>IF(COUNT(VH12,VM12,VR12)=0,"",SUM(VH12,VM12,VR12)/COUNT(VH12,VM12,VR12))</f>
        <v/>
      </c>
      <c r="VU12" s="135" t="str">
        <f t="shared" si="119"/>
        <v/>
      </c>
    </row>
    <row r="13" spans="1:593" s="115" customFormat="1" ht="16.5" customHeight="1" thickBot="1" x14ac:dyDescent="0.6">
      <c r="A13" s="165" t="s">
        <v>19</v>
      </c>
      <c r="B13" s="140">
        <v>1</v>
      </c>
      <c r="C13" s="226"/>
      <c r="D13" s="85"/>
      <c r="E13" s="105"/>
      <c r="F13" s="178">
        <f>IF(COUNT(F14:F15)=0,"",SUM(F14:F15)/COUNT(F14:F15))</f>
        <v>1</v>
      </c>
      <c r="G13" s="179" t="str">
        <f t="shared" si="0"/>
        <v>D</v>
      </c>
      <c r="H13" s="226"/>
      <c r="I13" s="85"/>
      <c r="J13" s="85"/>
      <c r="K13" s="105"/>
      <c r="L13" s="178" t="str">
        <f>IF(COUNT(L14,L15)=0,"",SUM(L14:L15)/COUNT(L14,L15))</f>
        <v/>
      </c>
      <c r="M13" s="194" t="str">
        <f t="shared" si="1"/>
        <v/>
      </c>
      <c r="N13" s="172"/>
      <c r="O13" s="85"/>
      <c r="P13" s="85"/>
      <c r="Q13" s="85"/>
      <c r="R13" s="111"/>
      <c r="S13" s="178">
        <f>IF(COUNT(S14,S15)=0,"",SUM(S14:S15)/COUNT(S14,S15))</f>
        <v>4</v>
      </c>
      <c r="T13" s="202" t="str">
        <f t="shared" si="2"/>
        <v>A</v>
      </c>
      <c r="U13" s="203">
        <f>IF(COUNT(U14:U15)=0,"",SUM(U14:U15)/COUNT(U14:U15))</f>
        <v>2.5</v>
      </c>
      <c r="V13" s="204" t="str">
        <f t="shared" si="3"/>
        <v>C</v>
      </c>
      <c r="W13" s="215"/>
      <c r="X13" s="85"/>
      <c r="Y13" s="105"/>
      <c r="Z13" s="178">
        <f>IF(COUNT(Z14:Z15)=0,"",SUM(Z14:Z15)/COUNT(Z14:Z15))</f>
        <v>2</v>
      </c>
      <c r="AA13" s="179" t="str">
        <f t="shared" si="4"/>
        <v>C</v>
      </c>
      <c r="AB13" s="226"/>
      <c r="AC13" s="85"/>
      <c r="AD13" s="85"/>
      <c r="AE13" s="105"/>
      <c r="AF13" s="178" t="str">
        <f>IF(COUNT(AF14,AF15)=0,"",SUM(AF14:AF15)/COUNT(AF14,AF15))</f>
        <v/>
      </c>
      <c r="AG13" s="194" t="str">
        <f t="shared" si="5"/>
        <v/>
      </c>
      <c r="AH13" s="172"/>
      <c r="AI13" s="110"/>
      <c r="AJ13" s="110"/>
      <c r="AK13" s="85"/>
      <c r="AL13" s="111"/>
      <c r="AM13" s="178">
        <f>IF(COUNT(AM14,AM15)=0,"",SUM(AM14:AM15)/COUNT(AM14,AM15))</f>
        <v>4</v>
      </c>
      <c r="AN13" s="202" t="str">
        <f t="shared" si="6"/>
        <v>A</v>
      </c>
      <c r="AO13" s="203">
        <f>IF(COUNT(AO14:AO15)=0,"",SUM(AO14:AO15)/COUNT(AO14:AO15))</f>
        <v>3</v>
      </c>
      <c r="AP13" s="204" t="str">
        <f t="shared" si="7"/>
        <v>B</v>
      </c>
      <c r="AQ13" s="215"/>
      <c r="AR13" s="85"/>
      <c r="AS13" s="105"/>
      <c r="AT13" s="178">
        <f>IF(COUNT(AT14:AT15)=0,"",SUM(AT14:AT15)/COUNT(AT14:AT15))</f>
        <v>2</v>
      </c>
      <c r="AU13" s="179" t="str">
        <f t="shared" si="8"/>
        <v>C</v>
      </c>
      <c r="AV13" s="226"/>
      <c r="AW13" s="85"/>
      <c r="AX13" s="85"/>
      <c r="AY13" s="105"/>
      <c r="AZ13" s="178" t="str">
        <f>IF(COUNT(AZ14,AZ15)=0,"",SUM(AZ14:AZ15)/COUNT(AZ14,AZ15))</f>
        <v/>
      </c>
      <c r="BA13" s="194" t="str">
        <f t="shared" si="9"/>
        <v/>
      </c>
      <c r="BB13" s="172"/>
      <c r="BC13" s="110"/>
      <c r="BD13" s="110"/>
      <c r="BE13" s="85"/>
      <c r="BF13" s="111"/>
      <c r="BG13" s="178">
        <f>IF(COUNT(BG14,BG15)=0,"",SUM(BG14:BG15)/COUNT(BG14,BG15))</f>
        <v>2.5</v>
      </c>
      <c r="BH13" s="202" t="str">
        <f t="shared" si="10"/>
        <v>C</v>
      </c>
      <c r="BI13" s="203">
        <f>IF(COUNT(BI14:BI15)=0,"",SUM(BI14:BI15)/COUNT(BI14:BI15))</f>
        <v>2.25</v>
      </c>
      <c r="BJ13" s="204" t="str">
        <f t="shared" si="11"/>
        <v>C</v>
      </c>
      <c r="BK13" s="215"/>
      <c r="BL13" s="85"/>
      <c r="BM13" s="105"/>
      <c r="BN13" s="178">
        <f>IF(COUNT(BN14:BN15)=0,"",SUM(BN14:BN15)/COUNT(BN14:BN15))</f>
        <v>1</v>
      </c>
      <c r="BO13" s="179" t="str">
        <f t="shared" si="12"/>
        <v>D</v>
      </c>
      <c r="BP13" s="226"/>
      <c r="BQ13" s="85"/>
      <c r="BR13" s="85"/>
      <c r="BS13" s="105"/>
      <c r="BT13" s="178" t="str">
        <f>IF(COUNT(BT14,BT15)=0,"",SUM(BT14:BT15)/COUNT(BT14,BT15))</f>
        <v/>
      </c>
      <c r="BU13" s="194" t="str">
        <f t="shared" si="13"/>
        <v/>
      </c>
      <c r="BV13" s="172"/>
      <c r="BW13" s="110"/>
      <c r="BX13" s="110"/>
      <c r="BY13" s="85"/>
      <c r="BZ13" s="111"/>
      <c r="CA13" s="178">
        <f>IF(COUNT(CA14,CA15)=0,"",SUM(CA14:CA15)/COUNT(CA14,CA15))</f>
        <v>4</v>
      </c>
      <c r="CB13" s="202" t="str">
        <f t="shared" si="14"/>
        <v>A</v>
      </c>
      <c r="CC13" s="203">
        <f>IF(COUNT(CC14:CC15)=0,"",SUM(CC14:CC15)/COUNT(CC14:CC15))</f>
        <v>2.5</v>
      </c>
      <c r="CD13" s="204" t="str">
        <f t="shared" si="15"/>
        <v>C</v>
      </c>
      <c r="CE13" s="215"/>
      <c r="CF13" s="85"/>
      <c r="CG13" s="105"/>
      <c r="CH13" s="178">
        <f>IF(COUNT(CH14:CH15)=0,"",SUM(CH14:CH15)/COUNT(CH14:CH15))</f>
        <v>3</v>
      </c>
      <c r="CI13" s="179" t="str">
        <f t="shared" si="16"/>
        <v>B</v>
      </c>
      <c r="CJ13" s="226"/>
      <c r="CK13" s="85"/>
      <c r="CL13" s="85"/>
      <c r="CM13" s="105"/>
      <c r="CN13" s="178" t="str">
        <f>IF(COUNT(CN14,CN15)=0,"",SUM(CN14:CN15)/COUNT(CN14,CN15))</f>
        <v/>
      </c>
      <c r="CO13" s="194" t="str">
        <f t="shared" si="17"/>
        <v/>
      </c>
      <c r="CP13" s="172"/>
      <c r="CQ13" s="110"/>
      <c r="CR13" s="110"/>
      <c r="CS13" s="85"/>
      <c r="CT13" s="111"/>
      <c r="CU13" s="178">
        <f>IF(COUNT(CU14,CU15)=0,"",SUM(CU14:CU15)/COUNT(CU14,CU15))</f>
        <v>4</v>
      </c>
      <c r="CV13" s="202" t="str">
        <f t="shared" si="18"/>
        <v>A</v>
      </c>
      <c r="CW13" s="203">
        <f>IF(COUNT(CW14:CW15)=0,"",SUM(CW14:CW15)/COUNT(CW14:CW15))</f>
        <v>3.5</v>
      </c>
      <c r="CX13" s="204" t="str">
        <f t="shared" si="19"/>
        <v>B</v>
      </c>
      <c r="CY13" s="215"/>
      <c r="CZ13" s="85"/>
      <c r="DA13" s="105"/>
      <c r="DB13" s="178">
        <f>IF(COUNT(DB14:DB15)=0,"",SUM(DB14:DB15)/COUNT(DB14:DB15))</f>
        <v>2</v>
      </c>
      <c r="DC13" s="179" t="str">
        <f t="shared" si="20"/>
        <v>C</v>
      </c>
      <c r="DD13" s="226"/>
      <c r="DE13" s="85"/>
      <c r="DF13" s="85"/>
      <c r="DG13" s="105"/>
      <c r="DH13" s="178" t="str">
        <f>IF(COUNT(DH14,DH15)=0,"",SUM(DH14:DH15)/COUNT(DH14,DH15))</f>
        <v/>
      </c>
      <c r="DI13" s="194" t="str">
        <f t="shared" si="21"/>
        <v/>
      </c>
      <c r="DJ13" s="172"/>
      <c r="DK13" s="110"/>
      <c r="DL13" s="110"/>
      <c r="DM13" s="85"/>
      <c r="DN13" s="111"/>
      <c r="DO13" s="178">
        <f>IF(COUNT(DO14,DO15)=0,"",SUM(DO14:DO15)/COUNT(DO14,DO15))</f>
        <v>4</v>
      </c>
      <c r="DP13" s="202" t="str">
        <f t="shared" si="22"/>
        <v>A</v>
      </c>
      <c r="DQ13" s="203">
        <f>IF(COUNT(DQ14:DQ15)=0,"",SUM(DQ14:DQ15)/COUNT(DQ14:DQ15))</f>
        <v>3</v>
      </c>
      <c r="DR13" s="204" t="str">
        <f t="shared" si="23"/>
        <v>B</v>
      </c>
      <c r="DS13" s="215"/>
      <c r="DT13" s="85"/>
      <c r="DU13" s="105"/>
      <c r="DV13" s="178">
        <f>IF(COUNT(DV14:DV15)=0,"",SUM(DV14:DV15)/COUNT(DV14:DV15))</f>
        <v>1</v>
      </c>
      <c r="DW13" s="179" t="str">
        <f t="shared" si="24"/>
        <v>D</v>
      </c>
      <c r="DX13" s="226"/>
      <c r="DY13" s="85"/>
      <c r="DZ13" s="85"/>
      <c r="EA13" s="105"/>
      <c r="EB13" s="178" t="str">
        <f>IF(COUNT(EB14,EB15)=0,"",SUM(EB14:EB15)/COUNT(EB14,EB15))</f>
        <v/>
      </c>
      <c r="EC13" s="194" t="str">
        <f t="shared" si="25"/>
        <v/>
      </c>
      <c r="ED13" s="172"/>
      <c r="EE13" s="110"/>
      <c r="EF13" s="110"/>
      <c r="EG13" s="85"/>
      <c r="EH13" s="111"/>
      <c r="EI13" s="178">
        <f>IF(COUNT(EI14,EI15)=0,"",SUM(EI14:EI15)/COUNT(EI14,EI15))</f>
        <v>4</v>
      </c>
      <c r="EJ13" s="202" t="str">
        <f t="shared" si="26"/>
        <v>A</v>
      </c>
      <c r="EK13" s="203">
        <f>IF(COUNT(EK14:EK15)=0,"",SUM(EK14:EK15)/COUNT(EK14:EK15))</f>
        <v>2.5</v>
      </c>
      <c r="EL13" s="204" t="str">
        <f t="shared" si="27"/>
        <v>C</v>
      </c>
      <c r="EM13" s="215"/>
      <c r="EN13" s="85"/>
      <c r="EO13" s="105"/>
      <c r="EP13" s="178">
        <f>IF(COUNT(EP14:EP15)=0,"",SUM(EP14:EP15)/COUNT(EP14:EP15))</f>
        <v>3</v>
      </c>
      <c r="EQ13" s="179" t="str">
        <f t="shared" si="28"/>
        <v>B</v>
      </c>
      <c r="ER13" s="226"/>
      <c r="ES13" s="85"/>
      <c r="ET13" s="85"/>
      <c r="EU13" s="105"/>
      <c r="EV13" s="178" t="str">
        <f>IF(COUNT(EV14,EV15)=0,"",SUM(EV14:EV15)/COUNT(EV14,EV15))</f>
        <v/>
      </c>
      <c r="EW13" s="194" t="str">
        <f t="shared" si="29"/>
        <v/>
      </c>
      <c r="EX13" s="172"/>
      <c r="EY13" s="110"/>
      <c r="EZ13" s="110"/>
      <c r="FA13" s="85"/>
      <c r="FB13" s="111"/>
      <c r="FC13" s="178">
        <f>IF(COUNT(FC14,FC15)=0,"",SUM(FC14:FC15)/COUNT(FC14,FC15))</f>
        <v>4</v>
      </c>
      <c r="FD13" s="202" t="str">
        <f t="shared" si="30"/>
        <v>A</v>
      </c>
      <c r="FE13" s="203">
        <f>IF(COUNT(FE14:FE15)=0,"",SUM(FE14:FE15)/COUNT(FE14:FE15))</f>
        <v>3.5</v>
      </c>
      <c r="FF13" s="204" t="str">
        <f t="shared" si="31"/>
        <v>B</v>
      </c>
      <c r="FG13" s="215"/>
      <c r="FH13" s="85"/>
      <c r="FI13" s="105"/>
      <c r="FJ13" s="178">
        <f>IF(COUNT(FJ14:FJ15)=0,"",SUM(FJ14:FJ15)/COUNT(FJ14:FJ15))</f>
        <v>1</v>
      </c>
      <c r="FK13" s="179" t="str">
        <f t="shared" si="32"/>
        <v>D</v>
      </c>
      <c r="FL13" s="226"/>
      <c r="FM13" s="85"/>
      <c r="FN13" s="85"/>
      <c r="FO13" s="105"/>
      <c r="FP13" s="178" t="str">
        <f>IF(COUNT(FP14,FP15)=0,"",SUM(FP14:FP15)/COUNT(FP14,FP15))</f>
        <v/>
      </c>
      <c r="FQ13" s="194" t="str">
        <f t="shared" si="33"/>
        <v/>
      </c>
      <c r="FR13" s="172"/>
      <c r="FS13" s="110"/>
      <c r="FT13" s="110"/>
      <c r="FU13" s="85"/>
      <c r="FV13" s="111"/>
      <c r="FW13" s="178">
        <f>IF(COUNT(FW14,FW15)=0,"",SUM(FW14:FW15)/COUNT(FW14,FW15))</f>
        <v>2.5</v>
      </c>
      <c r="FX13" s="202" t="str">
        <f t="shared" si="34"/>
        <v>C</v>
      </c>
      <c r="FY13" s="203">
        <f>IF(COUNT(FY14:FY15)=0,"",SUM(FY14:FY15)/COUNT(FY14:FY15))</f>
        <v>1.75</v>
      </c>
      <c r="FZ13" s="204" t="str">
        <f t="shared" si="35"/>
        <v>C</v>
      </c>
      <c r="GA13" s="215"/>
      <c r="GB13" s="85"/>
      <c r="GC13" s="105"/>
      <c r="GD13" s="178">
        <f>IF(COUNT(GD14:GD15)=0,"",SUM(GD14:GD15)/COUNT(GD14:GD15))</f>
        <v>1</v>
      </c>
      <c r="GE13" s="179" t="str">
        <f t="shared" si="36"/>
        <v>D</v>
      </c>
      <c r="GF13" s="226"/>
      <c r="GG13" s="85"/>
      <c r="GH13" s="85"/>
      <c r="GI13" s="105"/>
      <c r="GJ13" s="178" t="str">
        <f>IF(COUNT(GJ14,GJ15)=0,"",SUM(GJ14:GJ15)/COUNT(GJ14,GJ15))</f>
        <v/>
      </c>
      <c r="GK13" s="194" t="str">
        <f t="shared" si="37"/>
        <v/>
      </c>
      <c r="GL13" s="172"/>
      <c r="GM13" s="110"/>
      <c r="GN13" s="110"/>
      <c r="GO13" s="85"/>
      <c r="GP13" s="111"/>
      <c r="GQ13" s="178">
        <f>IF(COUNT(GQ14,GQ15)=0,"",SUM(GQ14:GQ15)/COUNT(GQ14,GQ15))</f>
        <v>3.5</v>
      </c>
      <c r="GR13" s="202" t="str">
        <f t="shared" si="38"/>
        <v>B</v>
      </c>
      <c r="GS13" s="203">
        <f>IF(COUNT(GS14:GS15)=0,"",SUM(GS14:GS15)/COUNT(GS14:GS15))</f>
        <v>2.25</v>
      </c>
      <c r="GT13" s="204" t="str">
        <f t="shared" si="39"/>
        <v>C</v>
      </c>
      <c r="GU13" s="215"/>
      <c r="GV13" s="85"/>
      <c r="GW13" s="105"/>
      <c r="GX13" s="178">
        <f>IF(COUNT(GX14:GX15)=0,"",SUM(GX14:GX15)/COUNT(GX14:GX15))</f>
        <v>2</v>
      </c>
      <c r="GY13" s="179" t="str">
        <f t="shared" si="40"/>
        <v>C</v>
      </c>
      <c r="GZ13" s="226"/>
      <c r="HA13" s="85"/>
      <c r="HB13" s="85"/>
      <c r="HC13" s="105"/>
      <c r="HD13" s="178" t="str">
        <f>IF(COUNT(HD14,HD15)=0,"",SUM(HD14:HD15)/COUNT(HD14,HD15))</f>
        <v/>
      </c>
      <c r="HE13" s="194" t="str">
        <f t="shared" si="41"/>
        <v/>
      </c>
      <c r="HF13" s="172"/>
      <c r="HG13" s="110"/>
      <c r="HH13" s="110"/>
      <c r="HI13" s="85"/>
      <c r="HJ13" s="111"/>
      <c r="HK13" s="178">
        <f>IF(COUNT(HK14,HK15)=0,"",SUM(HK14:HK15)/COUNT(HK14,HK15))</f>
        <v>3.5</v>
      </c>
      <c r="HL13" s="202" t="str">
        <f t="shared" si="42"/>
        <v>B</v>
      </c>
      <c r="HM13" s="203">
        <f>IF(COUNT(HM14:HM15)=0,"",SUM(HM14:HM15)/COUNT(HM14:HM15))</f>
        <v>2.75</v>
      </c>
      <c r="HN13" s="204" t="str">
        <f t="shared" si="43"/>
        <v>C</v>
      </c>
      <c r="HO13" s="215"/>
      <c r="HP13" s="85"/>
      <c r="HQ13" s="105"/>
      <c r="HR13" s="178">
        <f>IF(COUNT(HR14:HR15)=0,"",SUM(HR14:HR15)/COUNT(HR14:HR15))</f>
        <v>2</v>
      </c>
      <c r="HS13" s="179" t="str">
        <f t="shared" si="44"/>
        <v>C</v>
      </c>
      <c r="HT13" s="226"/>
      <c r="HU13" s="85"/>
      <c r="HV13" s="85"/>
      <c r="HW13" s="105"/>
      <c r="HX13" s="178" t="str">
        <f>IF(COUNT(HX14,HX15)=0,"",SUM(HX14:HX15)/COUNT(HX14,HX15))</f>
        <v/>
      </c>
      <c r="HY13" s="194" t="str">
        <f t="shared" si="45"/>
        <v/>
      </c>
      <c r="HZ13" s="172"/>
      <c r="IA13" s="110"/>
      <c r="IB13" s="110"/>
      <c r="IC13" s="85"/>
      <c r="ID13" s="111"/>
      <c r="IE13" s="178">
        <f>IF(COUNT(IE14,IE15)=0,"",SUM(IE14:IE15)/COUNT(IE14,IE15))</f>
        <v>4</v>
      </c>
      <c r="IF13" s="202" t="str">
        <f t="shared" si="46"/>
        <v>A</v>
      </c>
      <c r="IG13" s="203">
        <f>IF(COUNT(IG14:IG15)=0,"",SUM(IG14:IG15)/COUNT(IG14:IG15))</f>
        <v>3</v>
      </c>
      <c r="IH13" s="204" t="str">
        <f t="shared" si="47"/>
        <v>B</v>
      </c>
      <c r="II13" s="215"/>
      <c r="IJ13" s="85"/>
      <c r="IK13" s="105"/>
      <c r="IL13" s="178">
        <f>IF(COUNT(IL14:IL15)=0,"",SUM(IL14:IL15)/COUNT(IL14:IL15))</f>
        <v>3</v>
      </c>
      <c r="IM13" s="179" t="str">
        <f t="shared" si="48"/>
        <v>B</v>
      </c>
      <c r="IN13" s="226"/>
      <c r="IO13" s="85"/>
      <c r="IP13" s="85"/>
      <c r="IQ13" s="105"/>
      <c r="IR13" s="178" t="str">
        <f>IF(COUNT(IR14,IR15)=0,"",SUM(IR14:IR15)/COUNT(IR14,IR15))</f>
        <v/>
      </c>
      <c r="IS13" s="194" t="str">
        <f t="shared" si="49"/>
        <v/>
      </c>
      <c r="IT13" s="172"/>
      <c r="IU13" s="110"/>
      <c r="IV13" s="110"/>
      <c r="IW13" s="85"/>
      <c r="IX13" s="111"/>
      <c r="IY13" s="178">
        <f>IF(COUNT(IY14,IY15)=0,"",SUM(IY14:IY15)/COUNT(IY14,IY15))</f>
        <v>4</v>
      </c>
      <c r="IZ13" s="202" t="str">
        <f t="shared" si="50"/>
        <v>A</v>
      </c>
      <c r="JA13" s="203">
        <f>IF(COUNT(JA14:JA15)=0,"",SUM(JA14:JA15)/COUNT(JA14:JA15))</f>
        <v>3.5</v>
      </c>
      <c r="JB13" s="204" t="str">
        <f t="shared" si="51"/>
        <v>B</v>
      </c>
      <c r="JC13" s="215"/>
      <c r="JD13" s="85"/>
      <c r="JE13" s="105"/>
      <c r="JF13" s="178">
        <f>IF(COUNT(JF14:JF15)=0,"",SUM(JF14:JF15)/COUNT(JF14:JF15))</f>
        <v>3</v>
      </c>
      <c r="JG13" s="179" t="str">
        <f t="shared" si="52"/>
        <v>B</v>
      </c>
      <c r="JH13" s="226"/>
      <c r="JI13" s="85"/>
      <c r="JJ13" s="85"/>
      <c r="JK13" s="105"/>
      <c r="JL13" s="178" t="str">
        <f>IF(COUNT(JL14,JL15)=0,"",SUM(JL14:JL15)/COUNT(JL14,JL15))</f>
        <v/>
      </c>
      <c r="JM13" s="194" t="str">
        <f t="shared" si="53"/>
        <v/>
      </c>
      <c r="JN13" s="172"/>
      <c r="JO13" s="110"/>
      <c r="JP13" s="110"/>
      <c r="JQ13" s="85"/>
      <c r="JR13" s="111"/>
      <c r="JS13" s="178">
        <f>IF(COUNT(JS14,JS15)=0,"",SUM(JS14:JS15)/COUNT(JS14,JS15))</f>
        <v>4</v>
      </c>
      <c r="JT13" s="202" t="str">
        <f t="shared" si="54"/>
        <v>A</v>
      </c>
      <c r="JU13" s="203">
        <f>IF(COUNT(JU14:JU15)=0,"",SUM(JU14:JU15)/COUNT(JU14:JU15))</f>
        <v>3.5</v>
      </c>
      <c r="JV13" s="204" t="str">
        <f t="shared" si="55"/>
        <v>B</v>
      </c>
      <c r="JW13" s="215"/>
      <c r="JX13" s="85"/>
      <c r="JY13" s="105"/>
      <c r="JZ13" s="178">
        <f>IF(COUNT(JZ14:JZ15)=0,"",SUM(JZ14:JZ15)/COUNT(JZ14:JZ15))</f>
        <v>2</v>
      </c>
      <c r="KA13" s="179" t="str">
        <f t="shared" si="56"/>
        <v>C</v>
      </c>
      <c r="KB13" s="226"/>
      <c r="KC13" s="85"/>
      <c r="KD13" s="85"/>
      <c r="KE13" s="105"/>
      <c r="KF13" s="178" t="str">
        <f>IF(COUNT(KF14,KF15)=0,"",SUM(KF14:KF15)/COUNT(KF14,KF15))</f>
        <v/>
      </c>
      <c r="KG13" s="194" t="str">
        <f t="shared" si="57"/>
        <v/>
      </c>
      <c r="KH13" s="172"/>
      <c r="KI13" s="110"/>
      <c r="KJ13" s="110"/>
      <c r="KK13" s="85"/>
      <c r="KL13" s="111"/>
      <c r="KM13" s="178">
        <f>IF(COUNT(KM14,KM15)=0,"",SUM(KM14:KM15)/COUNT(KM14,KM15))</f>
        <v>3.5</v>
      </c>
      <c r="KN13" s="202" t="str">
        <f t="shared" si="58"/>
        <v>B</v>
      </c>
      <c r="KO13" s="203">
        <f>IF(COUNT(KO14:KO15)=0,"",SUM(KO14:KO15)/COUNT(KO14:KO15))</f>
        <v>2.75</v>
      </c>
      <c r="KP13" s="204" t="str">
        <f t="shared" si="59"/>
        <v>C</v>
      </c>
      <c r="KQ13" s="215"/>
      <c r="KR13" s="85"/>
      <c r="KS13" s="105"/>
      <c r="KT13" s="178">
        <f>IF(COUNT(KT14:KT15)=0,"",SUM(KT14:KT15)/COUNT(KT14:KT15))</f>
        <v>1</v>
      </c>
      <c r="KU13" s="179" t="str">
        <f t="shared" si="60"/>
        <v>D</v>
      </c>
      <c r="KV13" s="226"/>
      <c r="KW13" s="85"/>
      <c r="KX13" s="85"/>
      <c r="KY13" s="105"/>
      <c r="KZ13" s="178" t="str">
        <f>IF(COUNT(KZ14,KZ15)=0,"",SUM(KZ14:KZ15)/COUNT(KZ14,KZ15))</f>
        <v/>
      </c>
      <c r="LA13" s="194" t="str">
        <f t="shared" si="61"/>
        <v/>
      </c>
      <c r="LB13" s="172"/>
      <c r="LC13" s="110"/>
      <c r="LD13" s="110"/>
      <c r="LE13" s="85"/>
      <c r="LF13" s="111"/>
      <c r="LG13" s="178">
        <f>IF(COUNT(LG14,LG15)=0,"",SUM(LG14:LG15)/COUNT(LG14,LG15))</f>
        <v>4</v>
      </c>
      <c r="LH13" s="202" t="str">
        <f t="shared" si="62"/>
        <v>A</v>
      </c>
      <c r="LI13" s="203">
        <f>IF(COUNT(LI14:LI15)=0,"",SUM(LI14:LI15)/COUNT(LI14:LI15))</f>
        <v>2.5</v>
      </c>
      <c r="LJ13" s="204" t="str">
        <f t="shared" si="63"/>
        <v>C</v>
      </c>
      <c r="LK13" s="215"/>
      <c r="LL13" s="85"/>
      <c r="LM13" s="105"/>
      <c r="LN13" s="178">
        <f>IF(COUNT(LN14:LN15)=0,"",SUM(LN14:LN15)/COUNT(LN14:LN15))</f>
        <v>2</v>
      </c>
      <c r="LO13" s="179" t="str">
        <f t="shared" si="64"/>
        <v>C</v>
      </c>
      <c r="LP13" s="226"/>
      <c r="LQ13" s="85"/>
      <c r="LR13" s="85"/>
      <c r="LS13" s="105"/>
      <c r="LT13" s="178" t="str">
        <f>IF(COUNT(LT14,LT15)=0,"",SUM(LT14:LT15)/COUNT(LT14,LT15))</f>
        <v/>
      </c>
      <c r="LU13" s="194" t="str">
        <f t="shared" si="65"/>
        <v/>
      </c>
      <c r="LV13" s="172"/>
      <c r="LW13" s="110"/>
      <c r="LX13" s="110"/>
      <c r="LY13" s="85"/>
      <c r="LZ13" s="111"/>
      <c r="MA13" s="178">
        <f>IF(COUNT(MA14,MA15)=0,"",SUM(MA14:MA15)/COUNT(MA14,MA15))</f>
        <v>4</v>
      </c>
      <c r="MB13" s="202" t="str">
        <f t="shared" si="66"/>
        <v>A</v>
      </c>
      <c r="MC13" s="203">
        <f>IF(COUNT(MC14:MC15)=0,"",SUM(MC14:MC15)/COUNT(MC14:MC15))</f>
        <v>3</v>
      </c>
      <c r="MD13" s="204" t="str">
        <f t="shared" si="67"/>
        <v>B</v>
      </c>
      <c r="ME13" s="215"/>
      <c r="MF13" s="85"/>
      <c r="MG13" s="105"/>
      <c r="MH13" s="178">
        <f>IF(COUNT(MH14:MH15)=0,"",SUM(MH14:MH15)/COUNT(MH14:MH15))</f>
        <v>2</v>
      </c>
      <c r="MI13" s="179" t="str">
        <f t="shared" si="68"/>
        <v>C</v>
      </c>
      <c r="MJ13" s="226"/>
      <c r="MK13" s="85"/>
      <c r="ML13" s="85"/>
      <c r="MM13" s="105"/>
      <c r="MN13" s="178" t="str">
        <f>IF(COUNT(MN14,MN15)=0,"",SUM(MN14:MN15)/COUNT(MN14,MN15))</f>
        <v/>
      </c>
      <c r="MO13" s="194" t="str">
        <f t="shared" si="69"/>
        <v/>
      </c>
      <c r="MP13" s="172"/>
      <c r="MQ13" s="110"/>
      <c r="MR13" s="110"/>
      <c r="MS13" s="85"/>
      <c r="MT13" s="111"/>
      <c r="MU13" s="178">
        <f>IF(COUNT(MU14,MU15)=0,"",SUM(MU14:MU15)/COUNT(MU14,MU15))</f>
        <v>4</v>
      </c>
      <c r="MV13" s="202" t="str">
        <f t="shared" si="70"/>
        <v>A</v>
      </c>
      <c r="MW13" s="203">
        <f>IF(COUNT(MW14:MW15)=0,"",SUM(MW14:MW15)/COUNT(MW14:MW15))</f>
        <v>3</v>
      </c>
      <c r="MX13" s="204" t="str">
        <f t="shared" si="71"/>
        <v>B</v>
      </c>
      <c r="MY13" s="215"/>
      <c r="MZ13" s="85"/>
      <c r="NA13" s="105"/>
      <c r="NB13" s="178">
        <f>IF(COUNT(NB14:NB15)=0,"",SUM(NB14:NB15)/COUNT(NB14:NB15))</f>
        <v>3</v>
      </c>
      <c r="NC13" s="179" t="str">
        <f t="shared" si="72"/>
        <v>B</v>
      </c>
      <c r="ND13" s="226"/>
      <c r="NE13" s="85"/>
      <c r="NF13" s="85"/>
      <c r="NG13" s="105"/>
      <c r="NH13" s="178" t="str">
        <f>IF(COUNT(NH14,NH15)=0,"",SUM(NH14:NH15)/COUNT(NH14,NH15))</f>
        <v/>
      </c>
      <c r="NI13" s="194" t="str">
        <f t="shared" si="73"/>
        <v/>
      </c>
      <c r="NJ13" s="172"/>
      <c r="NK13" s="110"/>
      <c r="NL13" s="110"/>
      <c r="NM13" s="85"/>
      <c r="NN13" s="111"/>
      <c r="NO13" s="178">
        <f>IF(COUNT(NO14,NO15)=0,"",SUM(NO14:NO15)/COUNT(NO14,NO15))</f>
        <v>3.5</v>
      </c>
      <c r="NP13" s="202" t="str">
        <f t="shared" si="74"/>
        <v>B</v>
      </c>
      <c r="NQ13" s="203">
        <f>IF(COUNT(NQ14:NQ15)=0,"",SUM(NQ14:NQ15)/COUNT(NQ14:NQ15))</f>
        <v>3.25</v>
      </c>
      <c r="NR13" s="204" t="str">
        <f t="shared" si="75"/>
        <v>B</v>
      </c>
      <c r="NS13" s="215"/>
      <c r="NT13" s="85"/>
      <c r="NU13" s="105"/>
      <c r="NV13" s="178">
        <f>IF(COUNT(NV14:NV15)=0,"",SUM(NV14:NV15)/COUNT(NV14:NV15))</f>
        <v>3</v>
      </c>
      <c r="NW13" s="179" t="str">
        <f t="shared" si="76"/>
        <v>B</v>
      </c>
      <c r="NX13" s="226"/>
      <c r="NY13" s="85"/>
      <c r="NZ13" s="85"/>
      <c r="OA13" s="105"/>
      <c r="OB13" s="178" t="str">
        <f>IF(COUNT(OB14,OB15)=0,"",SUM(OB14:OB15)/COUNT(OB14,OB15))</f>
        <v/>
      </c>
      <c r="OC13" s="194" t="str">
        <f t="shared" si="77"/>
        <v/>
      </c>
      <c r="OD13" s="172"/>
      <c r="OE13" s="110"/>
      <c r="OF13" s="110"/>
      <c r="OG13" s="85"/>
      <c r="OH13" s="111"/>
      <c r="OI13" s="178">
        <f>IF(COUNT(OI14,OI15)=0,"",SUM(OI14:OI15)/COUNT(OI14,OI15))</f>
        <v>4</v>
      </c>
      <c r="OJ13" s="202" t="str">
        <f t="shared" si="78"/>
        <v>A</v>
      </c>
      <c r="OK13" s="203">
        <f>IF(COUNT(OK14:OK15)=0,"",SUM(OK14:OK15)/COUNT(OK14:OK15))</f>
        <v>3.5</v>
      </c>
      <c r="OL13" s="204" t="str">
        <f t="shared" si="79"/>
        <v>B</v>
      </c>
      <c r="OM13" s="215"/>
      <c r="ON13" s="85"/>
      <c r="OO13" s="105"/>
      <c r="OP13" s="178">
        <f>IF(COUNT(OP14:OP15)=0,"",SUM(OP14:OP15)/COUNT(OP14:OP15))</f>
        <v>1</v>
      </c>
      <c r="OQ13" s="179" t="str">
        <f t="shared" si="80"/>
        <v>D</v>
      </c>
      <c r="OR13" s="226"/>
      <c r="OS13" s="85"/>
      <c r="OT13" s="85"/>
      <c r="OU13" s="105"/>
      <c r="OV13" s="178" t="str">
        <f>IF(COUNT(OV14,OV15)=0,"",SUM(OV14:OV15)/COUNT(OV14,OV15))</f>
        <v/>
      </c>
      <c r="OW13" s="194" t="str">
        <f t="shared" si="81"/>
        <v/>
      </c>
      <c r="OX13" s="172"/>
      <c r="OY13" s="110"/>
      <c r="OZ13" s="110"/>
      <c r="PA13" s="85"/>
      <c r="PB13" s="111"/>
      <c r="PC13" s="178">
        <f>IF(COUNT(PC14,PC15)=0,"",SUM(PC14:PC15)/COUNT(PC14,PC15))</f>
        <v>4</v>
      </c>
      <c r="PD13" s="202" t="str">
        <f t="shared" si="82"/>
        <v>A</v>
      </c>
      <c r="PE13" s="203">
        <f>IF(COUNT(PE14:PE15)=0,"",SUM(PE14:PE15)/COUNT(PE14:PE15))</f>
        <v>2.5</v>
      </c>
      <c r="PF13" s="204" t="str">
        <f t="shared" si="83"/>
        <v>C</v>
      </c>
      <c r="PG13" s="215"/>
      <c r="PH13" s="85"/>
      <c r="PI13" s="105"/>
      <c r="PJ13" s="178">
        <f>IF(COUNT(PJ14:PJ15)=0,"",SUM(PJ14:PJ15)/COUNT(PJ14:PJ15))</f>
        <v>1</v>
      </c>
      <c r="PK13" s="179" t="str">
        <f t="shared" si="84"/>
        <v>D</v>
      </c>
      <c r="PL13" s="226"/>
      <c r="PM13" s="85"/>
      <c r="PN13" s="85"/>
      <c r="PO13" s="105"/>
      <c r="PP13" s="178" t="str">
        <f>IF(COUNT(PP14,PP15)=0,"",SUM(PP14:PP15)/COUNT(PP14,PP15))</f>
        <v/>
      </c>
      <c r="PQ13" s="194" t="str">
        <f t="shared" si="85"/>
        <v/>
      </c>
      <c r="PR13" s="172"/>
      <c r="PS13" s="110"/>
      <c r="PT13" s="110"/>
      <c r="PU13" s="85"/>
      <c r="PV13" s="111"/>
      <c r="PW13" s="178">
        <f>IF(COUNT(PW14,PW15)=0,"",SUM(PW14:PW15)/COUNT(PW14,PW15))</f>
        <v>3.5</v>
      </c>
      <c r="PX13" s="202" t="str">
        <f t="shared" si="86"/>
        <v>B</v>
      </c>
      <c r="PY13" s="203">
        <f>IF(COUNT(PY14:PY15)=0,"",SUM(PY14:PY15)/COUNT(PY14:PY15))</f>
        <v>2.25</v>
      </c>
      <c r="PZ13" s="204" t="str">
        <f t="shared" si="87"/>
        <v>C</v>
      </c>
      <c r="QA13" s="215"/>
      <c r="QB13" s="85"/>
      <c r="QC13" s="105"/>
      <c r="QD13" s="178">
        <f>IF(COUNT(QD14:QD15)=0,"",SUM(QD14:QD15)/COUNT(QD14:QD15))</f>
        <v>3</v>
      </c>
      <c r="QE13" s="179" t="str">
        <f t="shared" si="88"/>
        <v>B</v>
      </c>
      <c r="QF13" s="226"/>
      <c r="QG13" s="85"/>
      <c r="QH13" s="85"/>
      <c r="QI13" s="105"/>
      <c r="QJ13" s="178" t="str">
        <f>IF(COUNT(QJ14,QJ15)=0,"",SUM(QJ14:QJ15)/COUNT(QJ14,QJ15))</f>
        <v/>
      </c>
      <c r="QK13" s="194" t="str">
        <f t="shared" si="89"/>
        <v/>
      </c>
      <c r="QL13" s="172"/>
      <c r="QM13" s="110"/>
      <c r="QN13" s="110"/>
      <c r="QO13" s="85"/>
      <c r="QP13" s="111"/>
      <c r="QQ13" s="178">
        <f>IF(COUNT(QQ14,QQ15)=0,"",SUM(QQ14:QQ15)/COUNT(QQ14,QQ15))</f>
        <v>3.5</v>
      </c>
      <c r="QR13" s="202" t="str">
        <f t="shared" si="90"/>
        <v>B</v>
      </c>
      <c r="QS13" s="203">
        <f>IF(COUNT(QS14:QS15)=0,"",SUM(QS14:QS15)/COUNT(QS14:QS15))</f>
        <v>3.25</v>
      </c>
      <c r="QT13" s="204" t="str">
        <f t="shared" si="91"/>
        <v>B</v>
      </c>
      <c r="QU13" s="215"/>
      <c r="QV13" s="85"/>
      <c r="QW13" s="105"/>
      <c r="QX13" s="178">
        <f>IF(COUNT(QX14:QX15)=0,"",SUM(QX14:QX15)/COUNT(QX14:QX15))</f>
        <v>2</v>
      </c>
      <c r="QY13" s="179" t="str">
        <f t="shared" si="92"/>
        <v>C</v>
      </c>
      <c r="QZ13" s="226"/>
      <c r="RA13" s="85"/>
      <c r="RB13" s="85"/>
      <c r="RC13" s="105"/>
      <c r="RD13" s="178" t="str">
        <f>IF(COUNT(RD14,RD15)=0,"",SUM(RD14:RD15)/COUNT(RD14,RD15))</f>
        <v/>
      </c>
      <c r="RE13" s="194" t="str">
        <f t="shared" si="93"/>
        <v/>
      </c>
      <c r="RF13" s="172"/>
      <c r="RG13" s="110"/>
      <c r="RH13" s="110"/>
      <c r="RI13" s="85"/>
      <c r="RJ13" s="111"/>
      <c r="RK13" s="178">
        <f>IF(COUNT(RK14,RK15)=0,"",SUM(RK14:RK15)/COUNT(RK14,RK15))</f>
        <v>4</v>
      </c>
      <c r="RL13" s="202" t="str">
        <f t="shared" si="94"/>
        <v>A</v>
      </c>
      <c r="RM13" s="203">
        <f>IF(COUNT(RM14:RM15)=0,"",SUM(RM14:RM15)/COUNT(RM14:RM15))</f>
        <v>3</v>
      </c>
      <c r="RN13" s="204" t="str">
        <f t="shared" si="95"/>
        <v>B</v>
      </c>
      <c r="RO13" s="215"/>
      <c r="RP13" s="85"/>
      <c r="RQ13" s="105"/>
      <c r="RR13" s="178">
        <f>IF(COUNT(RR14:RR15)=0,"",SUM(RR14:RR15)/COUNT(RR14:RR15))</f>
        <v>1</v>
      </c>
      <c r="RS13" s="179" t="str">
        <f t="shared" si="96"/>
        <v>D</v>
      </c>
      <c r="RT13" s="226"/>
      <c r="RU13" s="85"/>
      <c r="RV13" s="85"/>
      <c r="RW13" s="105"/>
      <c r="RX13" s="178" t="str">
        <f>IF(COUNT(RX14,RX15)=0,"",SUM(RX14:RX15)/COUNT(RX14,RX15))</f>
        <v/>
      </c>
      <c r="RY13" s="194" t="str">
        <f t="shared" si="97"/>
        <v/>
      </c>
      <c r="RZ13" s="172"/>
      <c r="SA13" s="110"/>
      <c r="SB13" s="110"/>
      <c r="SC13" s="85"/>
      <c r="SD13" s="111"/>
      <c r="SE13" s="178">
        <f>IF(COUNT(SE14,SE15)=0,"",SUM(SE14:SE15)/COUNT(SE14,SE15))</f>
        <v>4</v>
      </c>
      <c r="SF13" s="202" t="str">
        <f t="shared" si="98"/>
        <v>A</v>
      </c>
      <c r="SG13" s="203">
        <f>IF(COUNT(SG14:SG15)=0,"",SUM(SG14:SG15)/COUNT(SG14:SG15))</f>
        <v>2.5</v>
      </c>
      <c r="SH13" s="204" t="str">
        <f t="shared" si="99"/>
        <v>C</v>
      </c>
      <c r="SI13" s="215"/>
      <c r="SJ13" s="85"/>
      <c r="SK13" s="105"/>
      <c r="SL13" s="178">
        <f>IF(COUNT(SL14:SL15)=0,"",SUM(SL14:SL15)/COUNT(SL14:SL15))</f>
        <v>3</v>
      </c>
      <c r="SM13" s="179" t="str">
        <f t="shared" si="100"/>
        <v>B</v>
      </c>
      <c r="SN13" s="226"/>
      <c r="SO13" s="85"/>
      <c r="SP13" s="85"/>
      <c r="SQ13" s="105"/>
      <c r="SR13" s="178" t="str">
        <f>IF(COUNT(SR14,SR15)=0,"",SUM(SR14:SR15)/COUNT(SR14,SR15))</f>
        <v/>
      </c>
      <c r="SS13" s="194" t="str">
        <f t="shared" si="101"/>
        <v/>
      </c>
      <c r="ST13" s="172"/>
      <c r="SU13" s="110"/>
      <c r="SV13" s="110"/>
      <c r="SW13" s="85"/>
      <c r="SX13" s="111"/>
      <c r="SY13" s="178">
        <f>IF(COUNT(SY14,SY15)=0,"",SUM(SY14:SY15)/COUNT(SY14,SY15))</f>
        <v>4</v>
      </c>
      <c r="SZ13" s="202" t="str">
        <f t="shared" si="102"/>
        <v>A</v>
      </c>
      <c r="TA13" s="203">
        <f>IF(COUNT(TA14:TA15)=0,"",SUM(TA14:TA15)/COUNT(TA14:TA15))</f>
        <v>3.5</v>
      </c>
      <c r="TB13" s="204" t="str">
        <f t="shared" si="103"/>
        <v>B</v>
      </c>
      <c r="TC13" s="215"/>
      <c r="TD13" s="85"/>
      <c r="TE13" s="105"/>
      <c r="TF13" s="178">
        <f>IF(COUNT(TF14:TF15)=0,"",SUM(TF14:TF15)/COUNT(TF14:TF15))</f>
        <v>3</v>
      </c>
      <c r="TG13" s="179" t="str">
        <f t="shared" si="104"/>
        <v>B</v>
      </c>
      <c r="TH13" s="226"/>
      <c r="TI13" s="85"/>
      <c r="TJ13" s="85"/>
      <c r="TK13" s="105"/>
      <c r="TL13" s="178" t="str">
        <f>IF(COUNT(TL14,TL15)=0,"",SUM(TL14:TL15)/COUNT(TL14,TL15))</f>
        <v/>
      </c>
      <c r="TM13" s="194" t="str">
        <f t="shared" si="105"/>
        <v/>
      </c>
      <c r="TN13" s="172"/>
      <c r="TO13" s="110"/>
      <c r="TP13" s="110"/>
      <c r="TQ13" s="85"/>
      <c r="TR13" s="111"/>
      <c r="TS13" s="178">
        <f>IF(COUNT(TS14,TS15)=0,"",SUM(TS14:TS15)/COUNT(TS14,TS15))</f>
        <v>4</v>
      </c>
      <c r="TT13" s="202" t="str">
        <f t="shared" si="106"/>
        <v>A</v>
      </c>
      <c r="TU13" s="203">
        <f>IF(COUNT(TU14:TU15)=0,"",SUM(TU14:TU15)/COUNT(TU14:TU15))</f>
        <v>3.5</v>
      </c>
      <c r="TV13" s="204" t="str">
        <f t="shared" si="107"/>
        <v>B</v>
      </c>
      <c r="TW13" s="141"/>
      <c r="TX13" s="85"/>
      <c r="TY13" s="105"/>
      <c r="TZ13" s="106" t="str">
        <f>IF(COUNT(TZ14:TZ15)=0,"",SUM(TZ14:TZ15)/COUNT(TZ14:TZ15))</f>
        <v/>
      </c>
      <c r="UA13" s="107" t="str">
        <f t="shared" si="108"/>
        <v/>
      </c>
      <c r="UB13" s="104"/>
      <c r="UC13" s="85"/>
      <c r="UD13" s="105"/>
      <c r="UE13" s="106" t="str">
        <f>IF(COUNT(UE14,UE15)=0,"",SUM(UE14:UE15)/COUNT(UE14,UE15))</f>
        <v/>
      </c>
      <c r="UF13" s="108" t="str">
        <f t="shared" si="109"/>
        <v/>
      </c>
      <c r="UG13" s="109"/>
      <c r="UH13" s="110"/>
      <c r="UI13" s="111"/>
      <c r="UJ13" s="106" t="str">
        <f>IF(COUNT(UJ14,UJ15)=0,"",SUM(UJ14:UJ15)/COUNT(UJ14,UJ15))</f>
        <v/>
      </c>
      <c r="UK13" s="112" t="str">
        <f t="shared" si="110"/>
        <v/>
      </c>
      <c r="UL13" s="113" t="str">
        <f>IF(COUNT(UL14:UL15)=0,"",SUM(UL14:UL15)/COUNT(UL14:UL15))</f>
        <v/>
      </c>
      <c r="UM13" s="114" t="str">
        <f t="shared" si="111"/>
        <v/>
      </c>
      <c r="UN13" s="141"/>
      <c r="UO13" s="85"/>
      <c r="UP13" s="105"/>
      <c r="UQ13" s="106" t="str">
        <f>IF(COUNT(UQ14:UQ15)=0,"",SUM(UQ14:UQ15)/COUNT(UQ14:UQ15))</f>
        <v/>
      </c>
      <c r="UR13" s="107" t="str">
        <f t="shared" si="112"/>
        <v/>
      </c>
      <c r="US13" s="104"/>
      <c r="UT13" s="85"/>
      <c r="UU13" s="105"/>
      <c r="UV13" s="106" t="str">
        <f>IF(COUNT(UV14,UV15)=0,"",SUM(UV14:UV15)/COUNT(UV14,UV15))</f>
        <v/>
      </c>
      <c r="UW13" s="108" t="str">
        <f t="shared" si="113"/>
        <v/>
      </c>
      <c r="UX13" s="109"/>
      <c r="UY13" s="110"/>
      <c r="UZ13" s="111"/>
      <c r="VA13" s="106" t="str">
        <f>IF(COUNT(VA14,VA15)=0,"",SUM(VA14:VA15)/COUNT(VA14,VA15))</f>
        <v/>
      </c>
      <c r="VB13" s="112" t="str">
        <f t="shared" si="114"/>
        <v/>
      </c>
      <c r="VC13" s="113" t="str">
        <f>IF(COUNT(VC14:VC15)=0,"",SUM(VC14:VC15)/COUNT(VC14:VC15))</f>
        <v/>
      </c>
      <c r="VD13" s="114" t="str">
        <f t="shared" si="115"/>
        <v/>
      </c>
      <c r="VE13" s="141"/>
      <c r="VF13" s="85"/>
      <c r="VG13" s="105"/>
      <c r="VH13" s="106" t="str">
        <f>IF(COUNT(VH14:VH15)=0,"",SUM(VH14:VH15)/COUNT(VH14:VH15))</f>
        <v/>
      </c>
      <c r="VI13" s="107" t="str">
        <f t="shared" si="116"/>
        <v/>
      </c>
      <c r="VJ13" s="104"/>
      <c r="VK13" s="85"/>
      <c r="VL13" s="105"/>
      <c r="VM13" s="106" t="str">
        <f>IF(COUNT(VM14,VM15)=0,"",SUM(VM14:VM15)/COUNT(VM14,VM15))</f>
        <v/>
      </c>
      <c r="VN13" s="108" t="str">
        <f t="shared" si="117"/>
        <v/>
      </c>
      <c r="VO13" s="109"/>
      <c r="VP13" s="110"/>
      <c r="VQ13" s="111"/>
      <c r="VR13" s="106" t="str">
        <f>IF(COUNT(VR14,VR15)=0,"",SUM(VR14:VR15)/COUNT(VR14,VR15))</f>
        <v/>
      </c>
      <c r="VS13" s="112" t="str">
        <f t="shared" si="118"/>
        <v/>
      </c>
      <c r="VT13" s="113" t="str">
        <f>IF(COUNT(VT14:VT15)=0,"",SUM(VT14:VT15)/COUNT(VT14:VT15))</f>
        <v/>
      </c>
      <c r="VU13" s="114" t="str">
        <f t="shared" si="119"/>
        <v/>
      </c>
    </row>
    <row r="14" spans="1:593" ht="18" customHeight="1" x14ac:dyDescent="0.55000000000000004">
      <c r="A14" s="246" t="s">
        <v>20</v>
      </c>
      <c r="B14" s="247"/>
      <c r="C14" s="123"/>
      <c r="D14" s="124"/>
      <c r="E14" s="125"/>
      <c r="F14" s="180" t="str">
        <f>IFERROR((((COUNTIF('Elève (4ème2)'!C14:E14,"A"))*4)+((COUNTIF('Elève (4ème2)'!C14:E14,"B"))*3)+((COUNTIF('Elève (4ème2)'!C14:E14,"C"))*2)+((COUNTIF('Elève (4ème2)'!C14:E14,"D"))*1))/(COUNTA(C14:E14)),"")</f>
        <v/>
      </c>
      <c r="G14" s="181" t="str">
        <f t="shared" si="0"/>
        <v/>
      </c>
      <c r="H14" s="123"/>
      <c r="I14" s="124"/>
      <c r="J14" s="125"/>
      <c r="K14" s="125"/>
      <c r="L14" s="180" t="str">
        <f>IFERROR((((COUNTIF('Elève (4ème2)'!H14:K14,"A"))*4)+((COUNTIF('Elève (4ème2)'!H14:K14,"B"))*3)+((COUNTIF('Elève (4ème2)'!H14:K14,"C"))*2)+((COUNTIF('Elève (4ème2)'!H14:K14,"D"))*1))/(COUNTA(H14:K14)),"")</f>
        <v/>
      </c>
      <c r="M14" s="181" t="str">
        <f t="shared" si="1"/>
        <v/>
      </c>
      <c r="N14" s="123"/>
      <c r="O14" s="124"/>
      <c r="P14" s="218"/>
      <c r="Q14" s="218"/>
      <c r="R14" s="125"/>
      <c r="S14" s="180" t="str">
        <f>IFERROR((((COUNTIF('Elève (4ème2)'!N14:R14,"A"))*4)+((COUNTIF('Elève (4ème2)'!N14:R14,"B"))*3)+((COUNTIF('Elève (4ème2)'!N14:R14,"C"))*2)+((COUNTIF('Elève (4ème2)'!N14:R14,"D"))*1))/(COUNTA(N14:R14)),"")</f>
        <v/>
      </c>
      <c r="T14" s="181" t="str">
        <f t="shared" si="2"/>
        <v/>
      </c>
      <c r="U14" s="180" t="str">
        <f>IF(COUNT(F14,L14,S14)=0,"",SUM(F14,L14,S14)/COUNT(F14,L14,S14))</f>
        <v/>
      </c>
      <c r="V14" s="205" t="str">
        <f t="shared" si="3"/>
        <v/>
      </c>
      <c r="W14" s="123"/>
      <c r="X14" s="124"/>
      <c r="Y14" s="125"/>
      <c r="Z14" s="180" t="str">
        <f>IFERROR((((COUNTIF('Elève (4ème2)'!W14:Y14,"A"))*4)+((COUNTIF('Elève (4ème2)'!W14:Y14,"B"))*3)+((COUNTIF('Elève (4ème2)'!W14:Y14,"C"))*2)+((COUNTIF('Elève (4ème2)'!W14:Y14,"D"))*1))/(COUNTA(W14:Y14)),"")</f>
        <v/>
      </c>
      <c r="AA14" s="181" t="str">
        <f t="shared" si="4"/>
        <v/>
      </c>
      <c r="AB14" s="123"/>
      <c r="AC14" s="124"/>
      <c r="AD14" s="125"/>
      <c r="AE14" s="125"/>
      <c r="AF14" s="180" t="str">
        <f>IFERROR((((COUNTIF('Elève (4ème2)'!AB14:AE14,"A"))*4)+((COUNTIF('Elève (4ème2)'!AB14:AE14,"B"))*3)+((COUNTIF('Elève (4ème2)'!AB14:AE14,"C"))*2)+((COUNTIF('Elève (4ème2)'!AB14:AE14,"D"))*1))/(COUNTA(AB14:AE14)),"")</f>
        <v/>
      </c>
      <c r="AG14" s="181" t="str">
        <f t="shared" si="5"/>
        <v/>
      </c>
      <c r="AH14" s="123"/>
      <c r="AI14" s="218"/>
      <c r="AJ14" s="218"/>
      <c r="AK14" s="124"/>
      <c r="AL14" s="129"/>
      <c r="AM14" s="180" t="str">
        <f>IFERROR((((COUNTIF('Elève (4ème2)'!AH14:AL14,"A"))*4)+((COUNTIF('Elève (4ème2)'!AH14:AL14,"B"))*3)+((COUNTIF('Elève (4ème2)'!AH14:AL14,"C"))*2)+((COUNTIF('Elève (4ème2)'!AH14:AL14,"D"))*1))/(COUNTA(AH14:AL14)),"")</f>
        <v/>
      </c>
      <c r="AN14" s="181" t="str">
        <f t="shared" si="6"/>
        <v/>
      </c>
      <c r="AO14" s="180" t="str">
        <f>IF(COUNT(Z14,AF14,AM14)=0,"",SUM(Z14,AF14,AM14)/COUNT(Z14,AF14,AM14))</f>
        <v/>
      </c>
      <c r="AP14" s="205" t="str">
        <f t="shared" si="7"/>
        <v/>
      </c>
      <c r="AQ14" s="123"/>
      <c r="AR14" s="124"/>
      <c r="AS14" s="125"/>
      <c r="AT14" s="180" t="str">
        <f>IFERROR((((COUNTIF('Elève (4ème2)'!AQ14:AS14,"A"))*4)+((COUNTIF('Elève (4ème2)'!AQ14:AS14,"B"))*3)+((COUNTIF('Elève (4ème2)'!AQ14:AS14,"C"))*2)+((COUNTIF('Elève (4ème2)'!AQ14:AS14,"D"))*1))/(COUNTA(AQ14:AS14)),"")</f>
        <v/>
      </c>
      <c r="AU14" s="181" t="str">
        <f t="shared" si="8"/>
        <v/>
      </c>
      <c r="AV14" s="123"/>
      <c r="AW14" s="124"/>
      <c r="AX14" s="125"/>
      <c r="AY14" s="125"/>
      <c r="AZ14" s="180" t="str">
        <f>IFERROR((((COUNTIF('Elève (4ème2)'!AV14:AY14,"A"))*4)+((COUNTIF('Elève (4ème2)'!AV14:AY14,"B"))*3)+((COUNTIF('Elève (4ème2)'!AV14:AY14,"C"))*2)+((COUNTIF('Elève (4ème2)'!AV14:AY14,"D"))*1))/(COUNTA(AV14:AY14)),"")</f>
        <v/>
      </c>
      <c r="BA14" s="181" t="str">
        <f t="shared" si="9"/>
        <v/>
      </c>
      <c r="BB14" s="123"/>
      <c r="BC14" s="218"/>
      <c r="BD14" s="218"/>
      <c r="BE14" s="124"/>
      <c r="BF14" s="129"/>
      <c r="BG14" s="180" t="str">
        <f>IFERROR((((COUNTIF('Elève (4ème2)'!BB14:BF14,"A"))*4)+((COUNTIF('Elève (4ème2)'!BB14:BF14,"B"))*3)+((COUNTIF('Elève (4ème2)'!BB14:BF14,"C"))*2)+((COUNTIF('Elève (4ème2)'!BB14:BF14,"D"))*1))/(COUNTA(BB14:BF14)),"")</f>
        <v/>
      </c>
      <c r="BH14" s="181" t="str">
        <f t="shared" si="10"/>
        <v/>
      </c>
      <c r="BI14" s="180" t="str">
        <f>IF(COUNT(AT14,AZ14,BG14)=0,"",SUM(AT14,AZ14,BG14)/COUNT(AT14,AZ14,BG14))</f>
        <v/>
      </c>
      <c r="BJ14" s="205" t="str">
        <f t="shared" si="11"/>
        <v/>
      </c>
      <c r="BK14" s="123"/>
      <c r="BL14" s="124"/>
      <c r="BM14" s="125"/>
      <c r="BN14" s="180" t="str">
        <f>IFERROR((((COUNTIF('Elève (4ème2)'!BK14:BM14,"A"))*4)+((COUNTIF('Elève (4ème2)'!BK14:BM14,"B"))*3)+((COUNTIF('Elève (4ème2)'!BK14:BM14,"C"))*2)+((COUNTIF('Elève (4ème2)'!BK14:BM14,"D"))*1))/(COUNTA(BK14:BM14)),"")</f>
        <v/>
      </c>
      <c r="BO14" s="181" t="str">
        <f t="shared" si="12"/>
        <v/>
      </c>
      <c r="BP14" s="123"/>
      <c r="BQ14" s="124"/>
      <c r="BR14" s="125"/>
      <c r="BS14" s="125"/>
      <c r="BT14" s="180" t="str">
        <f>IFERROR((((COUNTIF('Elève (4ème2)'!BP14:BS14,"A"))*4)+((COUNTIF('Elève (4ème2)'!BP14:BS14,"B"))*3)+((COUNTIF('Elève (4ème2)'!BP14:BS14,"C"))*2)+((COUNTIF('Elève (4ème2)'!BP14:BS14,"D"))*1))/(COUNTA(BP14:BS14)),"")</f>
        <v/>
      </c>
      <c r="BU14" s="181" t="str">
        <f t="shared" si="13"/>
        <v/>
      </c>
      <c r="BV14" s="123"/>
      <c r="BW14" s="218"/>
      <c r="BX14" s="218"/>
      <c r="BY14" s="124"/>
      <c r="BZ14" s="129"/>
      <c r="CA14" s="180" t="str">
        <f>IFERROR((((COUNTIF('Elève (4ème2)'!BV14:BZ14,"A"))*4)+((COUNTIF('Elève (4ème2)'!BV14:BZ14,"B"))*3)+((COUNTIF('Elève (4ème2)'!BV14:BZ14,"C"))*2)+((COUNTIF('Elève (4ème2)'!BV14:BZ14,"D"))*1))/(COUNTA(BV14:BZ14)),"")</f>
        <v/>
      </c>
      <c r="CB14" s="181" t="str">
        <f t="shared" si="14"/>
        <v/>
      </c>
      <c r="CC14" s="180" t="str">
        <f>IF(COUNT(BN14,BT14,CA14)=0,"",SUM(BN14,BT14,CA14)/COUNT(BN14,BT14,CA14))</f>
        <v/>
      </c>
      <c r="CD14" s="205" t="str">
        <f t="shared" si="15"/>
        <v/>
      </c>
      <c r="CE14" s="123"/>
      <c r="CF14" s="124"/>
      <c r="CG14" s="125"/>
      <c r="CH14" s="180" t="str">
        <f>IFERROR((((COUNTIF('Elève (4ème2)'!CE14:CG14,"A"))*4)+((COUNTIF('Elève (4ème2)'!CE14:CG14,"B"))*3)+((COUNTIF('Elève (4ème2)'!CE14:CG14,"C"))*2)+((COUNTIF('Elève (4ème2)'!CE14:CG14,"D"))*1))/(COUNTA(CE14:CG14)),"")</f>
        <v/>
      </c>
      <c r="CI14" s="181" t="str">
        <f t="shared" si="16"/>
        <v/>
      </c>
      <c r="CJ14" s="123"/>
      <c r="CK14" s="124"/>
      <c r="CL14" s="125"/>
      <c r="CM14" s="125"/>
      <c r="CN14" s="180" t="str">
        <f>IFERROR((((COUNTIF('Elève (4ème2)'!CJ14:CM14,"A"))*4)+((COUNTIF('Elève (4ème2)'!CJ14:CM14,"B"))*3)+((COUNTIF('Elève (4ème2)'!CJ14:CM14,"C"))*2)+((COUNTIF('Elève (4ème2)'!CJ14:CM14,"D"))*1))/(COUNTA(CJ14:CM14)),"")</f>
        <v/>
      </c>
      <c r="CO14" s="181" t="str">
        <f t="shared" si="17"/>
        <v/>
      </c>
      <c r="CP14" s="123"/>
      <c r="CQ14" s="218"/>
      <c r="CR14" s="218"/>
      <c r="CS14" s="124"/>
      <c r="CT14" s="129"/>
      <c r="CU14" s="180" t="str">
        <f>IFERROR((((COUNTIF('Elève (4ème2)'!CP14:CT14,"A"))*4)+((COUNTIF('Elève (4ème2)'!CP14:CT14,"B"))*3)+((COUNTIF('Elève (4ème2)'!CP14:CT14,"C"))*2)+((COUNTIF('Elève (4ème2)'!CP14:CT14,"D"))*1))/(COUNTA(CP14:CT14)),"")</f>
        <v/>
      </c>
      <c r="CV14" s="181" t="str">
        <f t="shared" si="18"/>
        <v/>
      </c>
      <c r="CW14" s="180" t="str">
        <f>IF(COUNT(CH14,CN14,CU14)=0,"",SUM(CH14,CN14,CU14)/COUNT(CH14,CN14,CU14))</f>
        <v/>
      </c>
      <c r="CX14" s="205" t="str">
        <f t="shared" si="19"/>
        <v/>
      </c>
      <c r="CY14" s="123"/>
      <c r="CZ14" s="124"/>
      <c r="DA14" s="125"/>
      <c r="DB14" s="180" t="str">
        <f>IFERROR((((COUNTIF('Elève (4ème2)'!CY14:DA14,"A"))*4)+((COUNTIF('Elève (4ème2)'!CY14:DA14,"B"))*3)+((COUNTIF('Elève (4ème2)'!CY14:DA14,"C"))*2)+((COUNTIF('Elève (4ème2)'!CY14:DA14,"D"))*1))/(COUNTA(CY14:DA14)),"")</f>
        <v/>
      </c>
      <c r="DC14" s="181" t="str">
        <f t="shared" si="20"/>
        <v/>
      </c>
      <c r="DD14" s="123"/>
      <c r="DE14" s="124"/>
      <c r="DF14" s="125"/>
      <c r="DG14" s="125"/>
      <c r="DH14" s="180" t="str">
        <f>IFERROR((((COUNTIF('Elève (4ème2)'!DD14:DG14,"A"))*4)+((COUNTIF('Elève (4ème2)'!DD14:DG14,"B"))*3)+((COUNTIF('Elève (4ème2)'!DD14:DG14,"C"))*2)+((COUNTIF('Elève (4ème2)'!DD14:DG14,"D"))*1))/(COUNTA(DD14:DG14)),"")</f>
        <v/>
      </c>
      <c r="DI14" s="181" t="str">
        <f t="shared" si="21"/>
        <v/>
      </c>
      <c r="DJ14" s="123"/>
      <c r="DK14" s="218"/>
      <c r="DL14" s="218"/>
      <c r="DM14" s="124"/>
      <c r="DN14" s="129"/>
      <c r="DO14" s="180" t="str">
        <f>IFERROR((((COUNTIF('Elève (4ème2)'!DJ14:DN14,"A"))*4)+((COUNTIF('Elève (4ème2)'!DJ14:DN14,"B"))*3)+((COUNTIF('Elève (4ème2)'!DJ14:DN14,"C"))*2)+((COUNTIF('Elève (4ème2)'!DJ14:DN14,"D"))*1))/(COUNTA(DJ14:DN14)),"")</f>
        <v/>
      </c>
      <c r="DP14" s="181" t="str">
        <f t="shared" si="22"/>
        <v/>
      </c>
      <c r="DQ14" s="180" t="str">
        <f>IF(COUNT(DB14,DH14,DO14)=0,"",SUM(DB14,DH14,DO14)/COUNT(DB14,DH14,DO14))</f>
        <v/>
      </c>
      <c r="DR14" s="205" t="str">
        <f t="shared" si="23"/>
        <v/>
      </c>
      <c r="DS14" s="123"/>
      <c r="DT14" s="124"/>
      <c r="DU14" s="125"/>
      <c r="DV14" s="180" t="str">
        <f>IFERROR((((COUNTIF('Elève (4ème2)'!DS14:DU14,"A"))*4)+((COUNTIF('Elève (4ème2)'!DS14:DU14,"B"))*3)+((COUNTIF('Elève (4ème2)'!DS14:DU14,"C"))*2)+((COUNTIF('Elève (4ème2)'!DS14:DU14,"D"))*1))/(COUNTA(DS14:DU14)),"")</f>
        <v/>
      </c>
      <c r="DW14" s="181" t="str">
        <f t="shared" si="24"/>
        <v/>
      </c>
      <c r="DX14" s="123"/>
      <c r="DY14" s="124"/>
      <c r="DZ14" s="125"/>
      <c r="EA14" s="125"/>
      <c r="EB14" s="180" t="str">
        <f>IFERROR((((COUNTIF('Elève (4ème2)'!DX14:EA14,"A"))*4)+((COUNTIF('Elève (4ème2)'!DX14:EA14,"B"))*3)+((COUNTIF('Elève (4ème2)'!DX14:EA14,"C"))*2)+((COUNTIF('Elève (4ème2)'!DX14:EA14,"D"))*1))/(COUNTA(DX14:EA14)),"")</f>
        <v/>
      </c>
      <c r="EC14" s="181" t="str">
        <f t="shared" si="25"/>
        <v/>
      </c>
      <c r="ED14" s="123"/>
      <c r="EE14" s="218"/>
      <c r="EF14" s="218"/>
      <c r="EG14" s="124"/>
      <c r="EH14" s="129"/>
      <c r="EI14" s="180" t="str">
        <f>IFERROR((((COUNTIF('Elève (4ème2)'!ED14:EH14,"A"))*4)+((COUNTIF('Elève (4ème2)'!ED14:EH14,"B"))*3)+((COUNTIF('Elève (4ème2)'!ED14:EH14,"C"))*2)+((COUNTIF('Elève (4ème2)'!ED14:EH14,"D"))*1))/(COUNTA(ED14:EH14)),"")</f>
        <v/>
      </c>
      <c r="EJ14" s="181" t="str">
        <f t="shared" si="26"/>
        <v/>
      </c>
      <c r="EK14" s="180" t="str">
        <f>IF(COUNT(DV14,EB14,EI14)=0,"",SUM(DV14,EB14,EI14)/COUNT(DV14,EB14,EI14))</f>
        <v/>
      </c>
      <c r="EL14" s="205" t="str">
        <f t="shared" si="27"/>
        <v/>
      </c>
      <c r="EM14" s="123"/>
      <c r="EN14" s="124"/>
      <c r="EO14" s="125"/>
      <c r="EP14" s="180" t="str">
        <f>IFERROR((((COUNTIF('Elève (4ème2)'!EM14:EO14,"A"))*4)+((COUNTIF('Elève (4ème2)'!EM14:EO14,"B"))*3)+((COUNTIF('Elève (4ème2)'!EM14:EO14,"C"))*2)+((COUNTIF('Elève (4ème2)'!EM14:EO14,"D"))*1))/(COUNTA(EM14:EO14)),"")</f>
        <v/>
      </c>
      <c r="EQ14" s="181" t="str">
        <f t="shared" si="28"/>
        <v/>
      </c>
      <c r="ER14" s="123"/>
      <c r="ES14" s="124"/>
      <c r="ET14" s="125"/>
      <c r="EU14" s="125"/>
      <c r="EV14" s="180" t="str">
        <f>IFERROR((((COUNTIF('Elève (4ème2)'!ER14:EU14,"A"))*4)+((COUNTIF('Elève (4ème2)'!ER14:EU14,"B"))*3)+((COUNTIF('Elève (4ème2)'!ER14:EU14,"C"))*2)+((COUNTIF('Elève (4ème2)'!ER14:EU14,"D"))*1))/(COUNTA(ER14:EU14)),"")</f>
        <v/>
      </c>
      <c r="EW14" s="181" t="str">
        <f t="shared" si="29"/>
        <v/>
      </c>
      <c r="EX14" s="123"/>
      <c r="EY14" s="218"/>
      <c r="EZ14" s="218"/>
      <c r="FA14" s="124"/>
      <c r="FB14" s="129"/>
      <c r="FC14" s="180" t="str">
        <f>IFERROR((((COUNTIF('Elève (4ème2)'!EX14:FB14,"A"))*4)+((COUNTIF('Elève (4ème2)'!EX14:FB14,"B"))*3)+((COUNTIF('Elève (4ème2)'!EX14:FB14,"C"))*2)+((COUNTIF('Elève (4ème2)'!EX14:FB14,"D"))*1))/(COUNTA(EX14:FB14)),"")</f>
        <v/>
      </c>
      <c r="FD14" s="181" t="str">
        <f t="shared" si="30"/>
        <v/>
      </c>
      <c r="FE14" s="180" t="str">
        <f>IF(COUNT(EP14,EV14,FC14)=0,"",SUM(EP14,EV14,FC14)/COUNT(EP14,EV14,FC14))</f>
        <v/>
      </c>
      <c r="FF14" s="205" t="str">
        <f t="shared" si="31"/>
        <v/>
      </c>
      <c r="FG14" s="123"/>
      <c r="FH14" s="124"/>
      <c r="FI14" s="125"/>
      <c r="FJ14" s="180" t="str">
        <f>IFERROR((((COUNTIF('Elève (4ème2)'!FG14:FI14,"A"))*4)+((COUNTIF('Elève (4ème2)'!FG14:FI14,"B"))*3)+((COUNTIF('Elève (4ème2)'!FG14:FI14,"C"))*2)+((COUNTIF('Elève (4ème2)'!FG14:FI14,"D"))*1))/(COUNTA(FG14:FI14)),"")</f>
        <v/>
      </c>
      <c r="FK14" s="181" t="str">
        <f t="shared" si="32"/>
        <v/>
      </c>
      <c r="FL14" s="123"/>
      <c r="FM14" s="124"/>
      <c r="FN14" s="125"/>
      <c r="FO14" s="125"/>
      <c r="FP14" s="180" t="str">
        <f>IFERROR((((COUNTIF('Elève (4ème2)'!FL14:FO14,"A"))*4)+((COUNTIF('Elève (4ème2)'!FL14:FO14,"B"))*3)+((COUNTIF('Elève (4ème2)'!FL14:FO14,"C"))*2)+((COUNTIF('Elève (4ème2)'!FL14:FO14,"D"))*1))/(COUNTA(FL14:FO14)),"")</f>
        <v/>
      </c>
      <c r="FQ14" s="181" t="str">
        <f t="shared" si="33"/>
        <v/>
      </c>
      <c r="FR14" s="123"/>
      <c r="FS14" s="218"/>
      <c r="FT14" s="218"/>
      <c r="FU14" s="124"/>
      <c r="FV14" s="129"/>
      <c r="FW14" s="180" t="str">
        <f>IFERROR((((COUNTIF('Elève (4ème2)'!FR14:FV14,"A"))*4)+((COUNTIF('Elève (4ème2)'!FR14:FV14,"B"))*3)+((COUNTIF('Elève (4ème2)'!FR14:FV14,"C"))*2)+((COUNTIF('Elève (4ème2)'!FR14:FV14,"D"))*1))/(COUNTA(FR14:FV14)),"")</f>
        <v/>
      </c>
      <c r="FX14" s="181" t="str">
        <f t="shared" si="34"/>
        <v/>
      </c>
      <c r="FY14" s="180" t="str">
        <f>IF(COUNT(FJ14,FP14,FW14)=0,"",SUM(FJ14,FP14,FW14)/COUNT(FJ14,FP14,FW14))</f>
        <v/>
      </c>
      <c r="FZ14" s="205" t="str">
        <f t="shared" si="35"/>
        <v/>
      </c>
      <c r="GA14" s="123"/>
      <c r="GB14" s="124"/>
      <c r="GC14" s="125"/>
      <c r="GD14" s="180" t="str">
        <f>IFERROR((((COUNTIF('Elève (4ème2)'!GA14:GC14,"A"))*4)+((COUNTIF('Elève (4ème2)'!GA14:GC14,"B"))*3)+((COUNTIF('Elève (4ème2)'!GA14:GC14,"C"))*2)+((COUNTIF('Elève (4ème2)'!GA14:GC14,"D"))*1))/(COUNTA(GA14:GC14)),"")</f>
        <v/>
      </c>
      <c r="GE14" s="181" t="str">
        <f t="shared" si="36"/>
        <v/>
      </c>
      <c r="GF14" s="123"/>
      <c r="GG14" s="124"/>
      <c r="GH14" s="125"/>
      <c r="GI14" s="125"/>
      <c r="GJ14" s="180" t="str">
        <f>IFERROR((((COUNTIF('Elève (4ème2)'!GF14:GI14,"A"))*4)+((COUNTIF('Elève (4ème2)'!GF14:GI14,"B"))*3)+((COUNTIF('Elève (4ème2)'!GF14:GI14,"C"))*2)+((COUNTIF('Elève (4ème2)'!GF14:GI14,"D"))*1))/(COUNTA(GF14:GI14)),"")</f>
        <v/>
      </c>
      <c r="GK14" s="181" t="str">
        <f t="shared" si="37"/>
        <v/>
      </c>
      <c r="GL14" s="123"/>
      <c r="GM14" s="218"/>
      <c r="GN14" s="218"/>
      <c r="GO14" s="124"/>
      <c r="GP14" s="129"/>
      <c r="GQ14" s="180" t="str">
        <f>IFERROR((((COUNTIF('Elève (4ème2)'!GL14:GP14,"A"))*4)+((COUNTIF('Elève (4ème2)'!GL14:GP14,"B"))*3)+((COUNTIF('Elève (4ème2)'!GL14:GP14,"C"))*2)+((COUNTIF('Elève (4ème2)'!GL14:GP14,"D"))*1))/(COUNTA(GL14:GP14)),"")</f>
        <v/>
      </c>
      <c r="GR14" s="181" t="str">
        <f t="shared" si="38"/>
        <v/>
      </c>
      <c r="GS14" s="180" t="str">
        <f>IF(COUNT(GD14,GJ14,GQ14)=0,"",SUM(GD14,GJ14,GQ14)/COUNT(GD14,GJ14,GQ14))</f>
        <v/>
      </c>
      <c r="GT14" s="205" t="str">
        <f t="shared" si="39"/>
        <v/>
      </c>
      <c r="GU14" s="123"/>
      <c r="GV14" s="124"/>
      <c r="GW14" s="125"/>
      <c r="GX14" s="180" t="str">
        <f>IFERROR((((COUNTIF('Elève (4ème2)'!GU14:GW14,"A"))*4)+((COUNTIF('Elève (4ème2)'!GU14:GW14,"B"))*3)+((COUNTIF('Elève (4ème2)'!GU14:GW14,"C"))*2)+((COUNTIF('Elève (4ème2)'!GU14:GW14,"D"))*1))/(COUNTA(GU14:GW14)),"")</f>
        <v/>
      </c>
      <c r="GY14" s="181" t="str">
        <f t="shared" si="40"/>
        <v/>
      </c>
      <c r="GZ14" s="123"/>
      <c r="HA14" s="124"/>
      <c r="HB14" s="125"/>
      <c r="HC14" s="125"/>
      <c r="HD14" s="180" t="str">
        <f>IFERROR((((COUNTIF('Elève (4ème2)'!GZ14:HC14,"A"))*4)+((COUNTIF('Elève (4ème2)'!GZ14:HC14,"B"))*3)+((COUNTIF('Elève (4ème2)'!GZ14:HC14,"C"))*2)+((COUNTIF('Elève (4ème2)'!GZ14:HC14,"D"))*1))/(COUNTA(GZ14:HC14)),"")</f>
        <v/>
      </c>
      <c r="HE14" s="181" t="str">
        <f t="shared" si="41"/>
        <v/>
      </c>
      <c r="HF14" s="123"/>
      <c r="HG14" s="218"/>
      <c r="HH14" s="218"/>
      <c r="HI14" s="124"/>
      <c r="HJ14" s="129"/>
      <c r="HK14" s="180" t="str">
        <f>IFERROR((((COUNTIF('Elève (4ème2)'!HF14:HJ14,"A"))*4)+((COUNTIF('Elève (4ème2)'!HF14:HJ14,"B"))*3)+((COUNTIF('Elève (4ème2)'!HF14:HJ14,"C"))*2)+((COUNTIF('Elève (4ème2)'!HF14:HJ14,"D"))*1))/(COUNTA(HF14:HJ14)),"")</f>
        <v/>
      </c>
      <c r="HL14" s="181" t="str">
        <f t="shared" si="42"/>
        <v/>
      </c>
      <c r="HM14" s="180" t="str">
        <f>IF(COUNT(GX14,HD14,HK14)=0,"",SUM(GX14,HD14,HK14)/COUNT(GX14,HD14,HK14))</f>
        <v/>
      </c>
      <c r="HN14" s="205" t="str">
        <f t="shared" si="43"/>
        <v/>
      </c>
      <c r="HO14" s="123"/>
      <c r="HP14" s="124"/>
      <c r="HQ14" s="125"/>
      <c r="HR14" s="180" t="str">
        <f>IFERROR((((COUNTIF('Elève (4ème2)'!HO14:HQ14,"A"))*4)+((COUNTIF('Elève (4ème2)'!HO14:HQ14,"B"))*3)+((COUNTIF('Elève (4ème2)'!HO14:HQ14,"C"))*2)+((COUNTIF('Elève (4ème2)'!HO14:HQ14,"D"))*1))/(COUNTA(HO14:HQ14)),"")</f>
        <v/>
      </c>
      <c r="HS14" s="181" t="str">
        <f t="shared" si="44"/>
        <v/>
      </c>
      <c r="HT14" s="123"/>
      <c r="HU14" s="124"/>
      <c r="HV14" s="125"/>
      <c r="HW14" s="125"/>
      <c r="HX14" s="180" t="str">
        <f>IFERROR((((COUNTIF('Elève (4ème2)'!HT14:HW14,"A"))*4)+((COUNTIF('Elève (4ème2)'!HT14:HW14,"B"))*3)+((COUNTIF('Elève (4ème2)'!HT14:HW14,"C"))*2)+((COUNTIF('Elève (4ème2)'!HT14:HW14,"D"))*1))/(COUNTA(HT14:HW14)),"")</f>
        <v/>
      </c>
      <c r="HY14" s="181" t="str">
        <f t="shared" si="45"/>
        <v/>
      </c>
      <c r="HZ14" s="123"/>
      <c r="IA14" s="218"/>
      <c r="IB14" s="218"/>
      <c r="IC14" s="124"/>
      <c r="ID14" s="129"/>
      <c r="IE14" s="180" t="str">
        <f>IFERROR((((COUNTIF('Elève (4ème2)'!HZ14:ID14,"A"))*4)+((COUNTIF('Elève (4ème2)'!HZ14:ID14,"B"))*3)+((COUNTIF('Elève (4ème2)'!HZ14:ID14,"C"))*2)+((COUNTIF('Elève (4ème2)'!HZ14:ID14,"D"))*1))/(COUNTA(HZ14:ID14)),"")</f>
        <v/>
      </c>
      <c r="IF14" s="181" t="str">
        <f t="shared" si="46"/>
        <v/>
      </c>
      <c r="IG14" s="180" t="str">
        <f>IF(COUNT(HR14,HX14,IE14)=0,"",SUM(HR14,HX14,IE14)/COUNT(HR14,HX14,IE14))</f>
        <v/>
      </c>
      <c r="IH14" s="205" t="str">
        <f t="shared" si="47"/>
        <v/>
      </c>
      <c r="II14" s="123"/>
      <c r="IJ14" s="124"/>
      <c r="IK14" s="125"/>
      <c r="IL14" s="180" t="str">
        <f>IFERROR((((COUNTIF('Elève (4ème2)'!II14:IK14,"A"))*4)+((COUNTIF('Elève (4ème2)'!II14:IK14,"B"))*3)+((COUNTIF('Elève (4ème2)'!II14:IK14,"C"))*2)+((COUNTIF('Elève (4ème2)'!II14:IK14,"D"))*1))/(COUNTA(II14:IK14)),"")</f>
        <v/>
      </c>
      <c r="IM14" s="181" t="str">
        <f t="shared" si="48"/>
        <v/>
      </c>
      <c r="IN14" s="123"/>
      <c r="IO14" s="124"/>
      <c r="IP14" s="125"/>
      <c r="IQ14" s="125"/>
      <c r="IR14" s="180" t="str">
        <f>IFERROR((((COUNTIF('Elève (4ème2)'!IN14:IQ14,"A"))*4)+((COUNTIF('Elève (4ème2)'!IN14:IQ14,"B"))*3)+((COUNTIF('Elève (4ème2)'!IN14:IQ14,"C"))*2)+((COUNTIF('Elève (4ème2)'!IN14:IQ14,"D"))*1))/(COUNTA(IN14:IQ14)),"")</f>
        <v/>
      </c>
      <c r="IS14" s="181" t="str">
        <f t="shared" si="49"/>
        <v/>
      </c>
      <c r="IT14" s="123"/>
      <c r="IU14" s="218"/>
      <c r="IV14" s="218"/>
      <c r="IW14" s="124"/>
      <c r="IX14" s="129"/>
      <c r="IY14" s="180" t="str">
        <f>IFERROR((((COUNTIF('Elève (4ème2)'!IT14:IX14,"A"))*4)+((COUNTIF('Elève (4ème2)'!IT14:IX14,"B"))*3)+((COUNTIF('Elève (4ème2)'!IT14:IX14,"C"))*2)+((COUNTIF('Elève (4ème2)'!IT14:IX14,"D"))*1))/(COUNTA(IT14:IX14)),"")</f>
        <v/>
      </c>
      <c r="IZ14" s="181" t="str">
        <f t="shared" si="50"/>
        <v/>
      </c>
      <c r="JA14" s="180" t="str">
        <f>IF(COUNT(IL14,IR14,IY14)=0,"",SUM(IL14,IR14,IY14)/COUNT(IL14,IR14,IY14))</f>
        <v/>
      </c>
      <c r="JB14" s="205" t="str">
        <f t="shared" si="51"/>
        <v/>
      </c>
      <c r="JC14" s="123"/>
      <c r="JD14" s="124"/>
      <c r="JE14" s="125"/>
      <c r="JF14" s="180" t="str">
        <f>IFERROR((((COUNTIF('Elève (4ème2)'!JC14:JE14,"A"))*4)+((COUNTIF('Elève (4ème2)'!JC14:JE14,"B"))*3)+((COUNTIF('Elève (4ème2)'!JC14:JE14,"C"))*2)+((COUNTIF('Elève (4ème2)'!JC14:JE14,"D"))*1))/(COUNTA(JC14:JE14)),"")</f>
        <v/>
      </c>
      <c r="JG14" s="181" t="str">
        <f t="shared" si="52"/>
        <v/>
      </c>
      <c r="JH14" s="123"/>
      <c r="JI14" s="124"/>
      <c r="JJ14" s="125"/>
      <c r="JK14" s="125"/>
      <c r="JL14" s="180" t="str">
        <f>IFERROR((((COUNTIF('Elève (4ème2)'!JH14:JK14,"A"))*4)+((COUNTIF('Elève (4ème2)'!JH14:JK14,"B"))*3)+((COUNTIF('Elève (4ème2)'!JH14:JK14,"C"))*2)+((COUNTIF('Elève (4ème2)'!JH14:JK14,"D"))*1))/(COUNTA(JH14:JK14)),"")</f>
        <v/>
      </c>
      <c r="JM14" s="181" t="str">
        <f t="shared" si="53"/>
        <v/>
      </c>
      <c r="JN14" s="123"/>
      <c r="JO14" s="218"/>
      <c r="JP14" s="218"/>
      <c r="JQ14" s="124"/>
      <c r="JR14" s="129"/>
      <c r="JS14" s="180" t="str">
        <f>IFERROR((((COUNTIF('Elève (4ème2)'!JN14:JR14,"A"))*4)+((COUNTIF('Elève (4ème2)'!JN14:JR14,"B"))*3)+((COUNTIF('Elève (4ème2)'!JN14:JR14,"C"))*2)+((COUNTIF('Elève (4ème2)'!JN14:JR14,"D"))*1))/(COUNTA(JN14:JR14)),"")</f>
        <v/>
      </c>
      <c r="JT14" s="181" t="str">
        <f t="shared" si="54"/>
        <v/>
      </c>
      <c r="JU14" s="180" t="str">
        <f>IF(COUNT(JF14,JL14,JS14)=0,"",SUM(JF14,JL14,JS14)/COUNT(JF14,JL14,JS14))</f>
        <v/>
      </c>
      <c r="JV14" s="205" t="str">
        <f t="shared" si="55"/>
        <v/>
      </c>
      <c r="JW14" s="123"/>
      <c r="JX14" s="124"/>
      <c r="JY14" s="125"/>
      <c r="JZ14" s="180" t="str">
        <f>IFERROR((((COUNTIF('Elève (4ème2)'!JW14:JY14,"A"))*4)+((COUNTIF('Elève (4ème2)'!JW14:JY14,"B"))*3)+((COUNTIF('Elève (4ème2)'!JW14:JY14,"C"))*2)+((COUNTIF('Elève (4ème2)'!JW14:JY14,"D"))*1))/(COUNTA(JW14:JY14)),"")</f>
        <v/>
      </c>
      <c r="KA14" s="181" t="str">
        <f t="shared" si="56"/>
        <v/>
      </c>
      <c r="KB14" s="123"/>
      <c r="KC14" s="124"/>
      <c r="KD14" s="125"/>
      <c r="KE14" s="125"/>
      <c r="KF14" s="180" t="str">
        <f>IFERROR((((COUNTIF('Elève (4ème2)'!KB14:KE14,"A"))*4)+((COUNTIF('Elève (4ème2)'!KB14:KE14,"B"))*3)+((COUNTIF('Elève (4ème2)'!KB14:KE14,"C"))*2)+((COUNTIF('Elève (4ème2)'!KB14:KE14,"D"))*1))/(COUNTA(KB14:KE14)),"")</f>
        <v/>
      </c>
      <c r="KG14" s="181" t="str">
        <f t="shared" si="57"/>
        <v/>
      </c>
      <c r="KH14" s="123"/>
      <c r="KI14" s="218"/>
      <c r="KJ14" s="218"/>
      <c r="KK14" s="124"/>
      <c r="KL14" s="129"/>
      <c r="KM14" s="180" t="str">
        <f>IFERROR((((COUNTIF('Elève (4ème2)'!KH14:KL14,"A"))*4)+((COUNTIF('Elève (4ème2)'!KH14:KL14,"B"))*3)+((COUNTIF('Elève (4ème2)'!KH14:KL14,"C"))*2)+((COUNTIF('Elève (4ème2)'!KH14:KL14,"D"))*1))/(COUNTA(KH14:KL14)),"")</f>
        <v/>
      </c>
      <c r="KN14" s="181" t="str">
        <f t="shared" si="58"/>
        <v/>
      </c>
      <c r="KO14" s="180" t="str">
        <f>IF(COUNT(JZ14,KF14,KM14)=0,"",SUM(JZ14,KF14,KM14)/COUNT(JZ14,KF14,KM14))</f>
        <v/>
      </c>
      <c r="KP14" s="205" t="str">
        <f t="shared" si="59"/>
        <v/>
      </c>
      <c r="KQ14" s="123"/>
      <c r="KR14" s="124"/>
      <c r="KS14" s="125"/>
      <c r="KT14" s="180" t="str">
        <f>IFERROR((((COUNTIF('Elève (4ème2)'!KQ14:KS14,"A"))*4)+((COUNTIF('Elève (4ème2)'!KQ14:KS14,"B"))*3)+((COUNTIF('Elève (4ème2)'!KQ14:KS14,"C"))*2)+((COUNTIF('Elève (4ème2)'!KQ14:KS14,"D"))*1))/(COUNTA(KQ14:KS14)),"")</f>
        <v/>
      </c>
      <c r="KU14" s="181" t="str">
        <f t="shared" si="60"/>
        <v/>
      </c>
      <c r="KV14" s="123"/>
      <c r="KW14" s="124"/>
      <c r="KX14" s="125"/>
      <c r="KY14" s="125"/>
      <c r="KZ14" s="180" t="str">
        <f>IFERROR((((COUNTIF('Elève (4ème2)'!KV14:KY14,"A"))*4)+((COUNTIF('Elève (4ème2)'!KV14:KY14,"B"))*3)+((COUNTIF('Elève (4ème2)'!KV14:KY14,"C"))*2)+((COUNTIF('Elève (4ème2)'!KV14:KY14,"D"))*1))/(COUNTA(KV14:KY14)),"")</f>
        <v/>
      </c>
      <c r="LA14" s="181" t="str">
        <f t="shared" si="61"/>
        <v/>
      </c>
      <c r="LB14" s="123"/>
      <c r="LC14" s="218"/>
      <c r="LD14" s="218"/>
      <c r="LE14" s="124"/>
      <c r="LF14" s="129"/>
      <c r="LG14" s="180" t="str">
        <f>IFERROR((((COUNTIF('Elève (4ème2)'!LB14:LF14,"A"))*4)+((COUNTIF('Elève (4ème2)'!LB14:LF14,"B"))*3)+((COUNTIF('Elève (4ème2)'!LB14:LF14,"C"))*2)+((COUNTIF('Elève (4ème2)'!LB14:LF14,"D"))*1))/(COUNTA(LB14:LF14)),"")</f>
        <v/>
      </c>
      <c r="LH14" s="181" t="str">
        <f t="shared" si="62"/>
        <v/>
      </c>
      <c r="LI14" s="180" t="str">
        <f>IF(COUNT(KT14,KZ14,LG14)=0,"",SUM(KT14,KZ14,LG14)/COUNT(KT14,KZ14,LG14))</f>
        <v/>
      </c>
      <c r="LJ14" s="205" t="str">
        <f t="shared" si="63"/>
        <v/>
      </c>
      <c r="LK14" s="123"/>
      <c r="LL14" s="124"/>
      <c r="LM14" s="125"/>
      <c r="LN14" s="180" t="str">
        <f>IFERROR((((COUNTIF('Elève (4ème2)'!LK14:LM14,"A"))*4)+((COUNTIF('Elève (4ème2)'!LK14:LM14,"B"))*3)+((COUNTIF('Elève (4ème2)'!LK14:LM14,"C"))*2)+((COUNTIF('Elève (4ème2)'!LK14:LM14,"D"))*1))/(COUNTA(LK14:LM14)),"")</f>
        <v/>
      </c>
      <c r="LO14" s="181" t="str">
        <f t="shared" si="64"/>
        <v/>
      </c>
      <c r="LP14" s="123"/>
      <c r="LQ14" s="124"/>
      <c r="LR14" s="125"/>
      <c r="LS14" s="125"/>
      <c r="LT14" s="180" t="str">
        <f>IFERROR((((COUNTIF('Elève (4ème2)'!LP14:LS14,"A"))*4)+((COUNTIF('Elève (4ème2)'!LP14:LS14,"B"))*3)+((COUNTIF('Elève (4ème2)'!LP14:LS14,"C"))*2)+((COUNTIF('Elève (4ème2)'!LP14:LS14,"D"))*1))/(COUNTA(LP14:LS14)),"")</f>
        <v/>
      </c>
      <c r="LU14" s="181" t="str">
        <f t="shared" si="65"/>
        <v/>
      </c>
      <c r="LV14" s="123"/>
      <c r="LW14" s="218"/>
      <c r="LX14" s="218"/>
      <c r="LY14" s="124"/>
      <c r="LZ14" s="129"/>
      <c r="MA14" s="180" t="str">
        <f>IFERROR((((COUNTIF('Elève (4ème2)'!LV14:LZ14,"A"))*4)+((COUNTIF('Elève (4ème2)'!LV14:LZ14,"B"))*3)+((COUNTIF('Elève (4ème2)'!LV14:LZ14,"C"))*2)+((COUNTIF('Elève (4ème2)'!LV14:LZ14,"D"))*1))/(COUNTA(LV14:LZ14)),"")</f>
        <v/>
      </c>
      <c r="MB14" s="181" t="str">
        <f t="shared" si="66"/>
        <v/>
      </c>
      <c r="MC14" s="180" t="str">
        <f>IF(COUNT(LN14,LT14,MA14)=0,"",SUM(LN14,LT14,MA14)/COUNT(LN14,LT14,MA14))</f>
        <v/>
      </c>
      <c r="MD14" s="205" t="str">
        <f t="shared" si="67"/>
        <v/>
      </c>
      <c r="ME14" s="123"/>
      <c r="MF14" s="124"/>
      <c r="MG14" s="125"/>
      <c r="MH14" s="180" t="str">
        <f>IFERROR((((COUNTIF('Elève (4ème2)'!ME14:MG14,"A"))*4)+((COUNTIF('Elève (4ème2)'!ME14:MG14,"B"))*3)+((COUNTIF('Elève (4ème2)'!ME14:MG14,"C"))*2)+((COUNTIF('Elève (4ème2)'!ME14:MG14,"D"))*1))/(COUNTA(ME14:MG14)),"")</f>
        <v/>
      </c>
      <c r="MI14" s="181" t="str">
        <f t="shared" si="68"/>
        <v/>
      </c>
      <c r="MJ14" s="123"/>
      <c r="MK14" s="124"/>
      <c r="ML14" s="125"/>
      <c r="MM14" s="125"/>
      <c r="MN14" s="180" t="str">
        <f>IFERROR((((COUNTIF('Elève (4ème2)'!MJ14:MM14,"A"))*4)+((COUNTIF('Elève (4ème2)'!MJ14:MM14,"B"))*3)+((COUNTIF('Elève (4ème2)'!MJ14:MM14,"C"))*2)+((COUNTIF('Elève (4ème2)'!MJ14:MM14,"D"))*1))/(COUNTA(MJ14:MM14)),"")</f>
        <v/>
      </c>
      <c r="MO14" s="181" t="str">
        <f t="shared" si="69"/>
        <v/>
      </c>
      <c r="MP14" s="123"/>
      <c r="MQ14" s="218"/>
      <c r="MR14" s="218"/>
      <c r="MS14" s="124"/>
      <c r="MT14" s="129"/>
      <c r="MU14" s="180" t="str">
        <f>IFERROR((((COUNTIF('Elève (4ème2)'!MP14:MT14,"A"))*4)+((COUNTIF('Elève (4ème2)'!MP14:MT14,"B"))*3)+((COUNTIF('Elève (4ème2)'!MP14:MT14,"C"))*2)+((COUNTIF('Elève (4ème2)'!MP14:MT14,"D"))*1))/(COUNTA(MP14:MT14)),"")</f>
        <v/>
      </c>
      <c r="MV14" s="181" t="str">
        <f t="shared" si="70"/>
        <v/>
      </c>
      <c r="MW14" s="180" t="str">
        <f>IF(COUNT(MH14,MN14,MU14)=0,"",SUM(MH14,MN14,MU14)/COUNT(MH14,MN14,MU14))</f>
        <v/>
      </c>
      <c r="MX14" s="205" t="str">
        <f t="shared" si="71"/>
        <v/>
      </c>
      <c r="MY14" s="123"/>
      <c r="MZ14" s="124"/>
      <c r="NA14" s="125"/>
      <c r="NB14" s="180" t="str">
        <f>IFERROR((((COUNTIF('Elève (4ème2)'!MY14:NA14,"A"))*4)+((COUNTIF('Elève (4ème2)'!MY14:NA14,"B"))*3)+((COUNTIF('Elève (4ème2)'!MY14:NA14,"C"))*2)+((COUNTIF('Elève (4ème2)'!MY14:NA14,"D"))*1))/(COUNTA(MY14:NA14)),"")</f>
        <v/>
      </c>
      <c r="NC14" s="181" t="str">
        <f t="shared" si="72"/>
        <v/>
      </c>
      <c r="ND14" s="123"/>
      <c r="NE14" s="124"/>
      <c r="NF14" s="125"/>
      <c r="NG14" s="125"/>
      <c r="NH14" s="180" t="str">
        <f>IFERROR((((COUNTIF('Elève (4ème2)'!ND14:NG14,"A"))*4)+((COUNTIF('Elève (4ème2)'!ND14:NG14,"B"))*3)+((COUNTIF('Elève (4ème2)'!ND14:NG14,"C"))*2)+((COUNTIF('Elève (4ème2)'!ND14:NG14,"D"))*1))/(COUNTA(ND14:NG14)),"")</f>
        <v/>
      </c>
      <c r="NI14" s="181" t="str">
        <f t="shared" si="73"/>
        <v/>
      </c>
      <c r="NJ14" s="123"/>
      <c r="NK14" s="218"/>
      <c r="NL14" s="218"/>
      <c r="NM14" s="124"/>
      <c r="NN14" s="129"/>
      <c r="NO14" s="180" t="str">
        <f>IFERROR((((COUNTIF('Elève (4ème2)'!NJ14:NN14,"A"))*4)+((COUNTIF('Elève (4ème2)'!NJ14:NN14,"B"))*3)+((COUNTIF('Elève (4ème2)'!NJ14:NN14,"C"))*2)+((COUNTIF('Elève (4ème2)'!NJ14:NN14,"D"))*1))/(COUNTA(NJ14:NN14)),"")</f>
        <v/>
      </c>
      <c r="NP14" s="181" t="str">
        <f t="shared" si="74"/>
        <v/>
      </c>
      <c r="NQ14" s="180" t="str">
        <f>IF(COUNT(NB14,NH14,NO14)=0,"",SUM(NB14,NH14,NO14)/COUNT(NB14,NH14,NO14))</f>
        <v/>
      </c>
      <c r="NR14" s="205" t="str">
        <f t="shared" si="75"/>
        <v/>
      </c>
      <c r="NS14" s="123"/>
      <c r="NT14" s="124"/>
      <c r="NU14" s="125"/>
      <c r="NV14" s="180" t="str">
        <f>IFERROR((((COUNTIF('Elève (4ème2)'!NS14:NU14,"A"))*4)+((COUNTIF('Elève (4ème2)'!NS14:NU14,"B"))*3)+((COUNTIF('Elève (4ème2)'!NS14:NU14,"C"))*2)+((COUNTIF('Elève (4ème2)'!NS14:NU14,"D"))*1))/(COUNTA(NS14:NU14)),"")</f>
        <v/>
      </c>
      <c r="NW14" s="181" t="str">
        <f t="shared" si="76"/>
        <v/>
      </c>
      <c r="NX14" s="123"/>
      <c r="NY14" s="124"/>
      <c r="NZ14" s="125"/>
      <c r="OA14" s="125"/>
      <c r="OB14" s="180" t="str">
        <f>IFERROR((((COUNTIF('Elève (4ème2)'!NX14:OA14,"A"))*4)+((COUNTIF('Elève (4ème2)'!NX14:OA14,"B"))*3)+((COUNTIF('Elève (4ème2)'!NX14:OA14,"C"))*2)+((COUNTIF('Elève (4ème2)'!NX14:OA14,"D"))*1))/(COUNTA(NX14:OA14)),"")</f>
        <v/>
      </c>
      <c r="OC14" s="181" t="str">
        <f t="shared" si="77"/>
        <v/>
      </c>
      <c r="OD14" s="123"/>
      <c r="OE14" s="218"/>
      <c r="OF14" s="218"/>
      <c r="OG14" s="124"/>
      <c r="OH14" s="129"/>
      <c r="OI14" s="180" t="str">
        <f>IFERROR((((COUNTIF('Elève (4ème2)'!OD14:OH14,"A"))*4)+((COUNTIF('Elève (4ème2)'!OD14:OH14,"B"))*3)+((COUNTIF('Elève (4ème2)'!OD14:OH14,"C"))*2)+((COUNTIF('Elève (4ème2)'!OD14:OH14,"D"))*1))/(COUNTA(OD14:OH14)),"")</f>
        <v/>
      </c>
      <c r="OJ14" s="181" t="str">
        <f t="shared" si="78"/>
        <v/>
      </c>
      <c r="OK14" s="180" t="str">
        <f>IF(COUNT(NV14,OB14,OI14)=0,"",SUM(NV14,OB14,OI14)/COUNT(NV14,OB14,OI14))</f>
        <v/>
      </c>
      <c r="OL14" s="205" t="str">
        <f t="shared" si="79"/>
        <v/>
      </c>
      <c r="OM14" s="123"/>
      <c r="ON14" s="124"/>
      <c r="OO14" s="125"/>
      <c r="OP14" s="180" t="str">
        <f>IFERROR((((COUNTIF('Elève (4ème2)'!OM14:OO14,"A"))*4)+((COUNTIF('Elève (4ème2)'!OM14:OO14,"B"))*3)+((COUNTIF('Elève (4ème2)'!OM14:OO14,"C"))*2)+((COUNTIF('Elève (4ème2)'!OM14:OO14,"D"))*1))/(COUNTA(OM14:OO14)),"")</f>
        <v/>
      </c>
      <c r="OQ14" s="181" t="str">
        <f t="shared" si="80"/>
        <v/>
      </c>
      <c r="OR14" s="123"/>
      <c r="OS14" s="124"/>
      <c r="OT14" s="125"/>
      <c r="OU14" s="125"/>
      <c r="OV14" s="180" t="str">
        <f>IFERROR((((COUNTIF('Elève (4ème2)'!OR14:OU14,"A"))*4)+((COUNTIF('Elève (4ème2)'!OR14:OU14,"B"))*3)+((COUNTIF('Elève (4ème2)'!OR14:OU14,"C"))*2)+((COUNTIF('Elève (4ème2)'!OR14:OU14,"D"))*1))/(COUNTA(OR14:OU14)),"")</f>
        <v/>
      </c>
      <c r="OW14" s="181" t="str">
        <f t="shared" si="81"/>
        <v/>
      </c>
      <c r="OX14" s="123"/>
      <c r="OY14" s="218"/>
      <c r="OZ14" s="218"/>
      <c r="PA14" s="124"/>
      <c r="PB14" s="129"/>
      <c r="PC14" s="180" t="str">
        <f>IFERROR((((COUNTIF('Elève (4ème2)'!OX14:PB14,"A"))*4)+((COUNTIF('Elève (4ème2)'!OX14:PB14,"B"))*3)+((COUNTIF('Elève (4ème2)'!OX14:PB14,"C"))*2)+((COUNTIF('Elève (4ème2)'!OX14:PB14,"D"))*1))/(COUNTA(OX14:PB14)),"")</f>
        <v/>
      </c>
      <c r="PD14" s="181" t="str">
        <f t="shared" si="82"/>
        <v/>
      </c>
      <c r="PE14" s="180" t="str">
        <f>IF(COUNT(OP14,OV14,PC14)=0,"",SUM(OP14,OV14,PC14)/COUNT(OP14,OV14,PC14))</f>
        <v/>
      </c>
      <c r="PF14" s="205" t="str">
        <f t="shared" si="83"/>
        <v/>
      </c>
      <c r="PG14" s="123"/>
      <c r="PH14" s="124"/>
      <c r="PI14" s="125"/>
      <c r="PJ14" s="180" t="str">
        <f>IFERROR((((COUNTIF('Elève (4ème2)'!PG14:PI14,"A"))*4)+((COUNTIF('Elève (4ème2)'!PG14:PI14,"B"))*3)+((COUNTIF('Elève (4ème2)'!PG14:PI14,"C"))*2)+((COUNTIF('Elève (4ème2)'!PG14:PI14,"D"))*1))/(COUNTA(PG14:PI14)),"")</f>
        <v/>
      </c>
      <c r="PK14" s="181" t="str">
        <f t="shared" si="84"/>
        <v/>
      </c>
      <c r="PL14" s="123"/>
      <c r="PM14" s="124"/>
      <c r="PN14" s="125"/>
      <c r="PO14" s="125"/>
      <c r="PP14" s="180" t="str">
        <f>IFERROR((((COUNTIF('Elève (4ème2)'!PL14:PO14,"A"))*4)+((COUNTIF('Elève (4ème2)'!PL14:PO14,"B"))*3)+((COUNTIF('Elève (4ème2)'!PL14:PO14,"C"))*2)+((COUNTIF('Elève (4ème2)'!PL14:PO14,"D"))*1))/(COUNTA(PL14:PO14)),"")</f>
        <v/>
      </c>
      <c r="PQ14" s="181" t="str">
        <f t="shared" si="85"/>
        <v/>
      </c>
      <c r="PR14" s="123"/>
      <c r="PS14" s="218"/>
      <c r="PT14" s="218"/>
      <c r="PU14" s="124"/>
      <c r="PV14" s="129"/>
      <c r="PW14" s="180" t="str">
        <f>IFERROR((((COUNTIF('Elève (4ème2)'!PR14:PV14,"A"))*4)+((COUNTIF('Elève (4ème2)'!PR14:PV14,"B"))*3)+((COUNTIF('Elève (4ème2)'!PR14:PV14,"C"))*2)+((COUNTIF('Elève (4ème2)'!PR14:PV14,"D"))*1))/(COUNTA(PR14:PV14)),"")</f>
        <v/>
      </c>
      <c r="PX14" s="181" t="str">
        <f t="shared" si="86"/>
        <v/>
      </c>
      <c r="PY14" s="180" t="str">
        <f>IF(COUNT(PJ14,PP14,PW14)=0,"",SUM(PJ14,PP14,PW14)/COUNT(PJ14,PP14,PW14))</f>
        <v/>
      </c>
      <c r="PZ14" s="205" t="str">
        <f t="shared" si="87"/>
        <v/>
      </c>
      <c r="QA14" s="123"/>
      <c r="QB14" s="124"/>
      <c r="QC14" s="125"/>
      <c r="QD14" s="180" t="str">
        <f>IFERROR((((COUNTIF('Elève (4ème2)'!QA14:QC14,"A"))*4)+((COUNTIF('Elève (4ème2)'!QA14:QC14,"B"))*3)+((COUNTIF('Elève (4ème2)'!QA14:QC14,"C"))*2)+((COUNTIF('Elève (4ème2)'!QA14:QC14,"D"))*1))/(COUNTA(QA14:QC14)),"")</f>
        <v/>
      </c>
      <c r="QE14" s="181" t="str">
        <f t="shared" si="88"/>
        <v/>
      </c>
      <c r="QF14" s="123"/>
      <c r="QG14" s="124"/>
      <c r="QH14" s="125"/>
      <c r="QI14" s="125"/>
      <c r="QJ14" s="180" t="str">
        <f>IFERROR((((COUNTIF('Elève (4ème2)'!QF14:QI14,"A"))*4)+((COUNTIF('Elève (4ème2)'!QF14:QI14,"B"))*3)+((COUNTIF('Elève (4ème2)'!QF14:QI14,"C"))*2)+((COUNTIF('Elève (4ème2)'!QF14:QI14,"D"))*1))/(COUNTA(QF14:QI14)),"")</f>
        <v/>
      </c>
      <c r="QK14" s="181" t="str">
        <f t="shared" si="89"/>
        <v/>
      </c>
      <c r="QL14" s="123"/>
      <c r="QM14" s="218"/>
      <c r="QN14" s="218"/>
      <c r="QO14" s="124"/>
      <c r="QP14" s="129"/>
      <c r="QQ14" s="180" t="str">
        <f>IFERROR((((COUNTIF('Elève (4ème2)'!QL14:QP14,"A"))*4)+((COUNTIF('Elève (4ème2)'!QL14:QP14,"B"))*3)+((COUNTIF('Elève (4ème2)'!QL14:QP14,"C"))*2)+((COUNTIF('Elève (4ème2)'!QL14:QP14,"D"))*1))/(COUNTA(QL14:QP14)),"")</f>
        <v/>
      </c>
      <c r="QR14" s="181" t="str">
        <f t="shared" si="90"/>
        <v/>
      </c>
      <c r="QS14" s="180" t="str">
        <f>IF(COUNT(QD14,QJ14,QQ14)=0,"",SUM(QD14,QJ14,QQ14)/COUNT(QD14,QJ14,QQ14))</f>
        <v/>
      </c>
      <c r="QT14" s="205" t="str">
        <f t="shared" si="91"/>
        <v/>
      </c>
      <c r="QU14" s="123"/>
      <c r="QV14" s="124"/>
      <c r="QW14" s="125"/>
      <c r="QX14" s="180" t="str">
        <f>IFERROR((((COUNTIF('Elève (4ème2)'!QU14:QW14,"A"))*4)+((COUNTIF('Elève (4ème2)'!QU14:QW14,"B"))*3)+((COUNTIF('Elève (4ème2)'!QU14:QW14,"C"))*2)+((COUNTIF('Elève (4ème2)'!QU14:QW14,"D"))*1))/(COUNTA(QU14:QW14)),"")</f>
        <v/>
      </c>
      <c r="QY14" s="181" t="str">
        <f t="shared" si="92"/>
        <v/>
      </c>
      <c r="QZ14" s="123"/>
      <c r="RA14" s="124"/>
      <c r="RB14" s="125"/>
      <c r="RC14" s="125"/>
      <c r="RD14" s="180" t="str">
        <f>IFERROR((((COUNTIF('Elève (4ème2)'!QZ14:RC14,"A"))*4)+((COUNTIF('Elève (4ème2)'!QZ14:RC14,"B"))*3)+((COUNTIF('Elève (4ème2)'!QZ14:RC14,"C"))*2)+((COUNTIF('Elève (4ème2)'!QZ14:RC14,"D"))*1))/(COUNTA(QZ14:RC14)),"")</f>
        <v/>
      </c>
      <c r="RE14" s="181" t="str">
        <f t="shared" si="93"/>
        <v/>
      </c>
      <c r="RF14" s="123"/>
      <c r="RG14" s="218"/>
      <c r="RH14" s="218"/>
      <c r="RI14" s="124"/>
      <c r="RJ14" s="129"/>
      <c r="RK14" s="180" t="str">
        <f>IFERROR((((COUNTIF('Elève (4ème2)'!RF14:RJ14,"A"))*4)+((COUNTIF('Elève (4ème2)'!RF14:RJ14,"B"))*3)+((COUNTIF('Elève (4ème2)'!RF14:RJ14,"C"))*2)+((COUNTIF('Elève (4ème2)'!RF14:RJ14,"D"))*1))/(COUNTA(RF14:RJ14)),"")</f>
        <v/>
      </c>
      <c r="RL14" s="181" t="str">
        <f t="shared" si="94"/>
        <v/>
      </c>
      <c r="RM14" s="180" t="str">
        <f>IF(COUNT(QX14,RD14,RK14)=0,"",SUM(QX14,RD14,RK14)/COUNT(QX14,RD14,RK14))</f>
        <v/>
      </c>
      <c r="RN14" s="205" t="str">
        <f t="shared" si="95"/>
        <v/>
      </c>
      <c r="RO14" s="123"/>
      <c r="RP14" s="124"/>
      <c r="RQ14" s="125"/>
      <c r="RR14" s="180" t="str">
        <f>IFERROR((((COUNTIF('Elève (4ème2)'!RO14:RQ14,"A"))*4)+((COUNTIF('Elève (4ème2)'!RO14:RQ14,"B"))*3)+((COUNTIF('Elève (4ème2)'!RO14:RQ14,"C"))*2)+((COUNTIF('Elève (4ème2)'!RO14:RQ14,"D"))*1))/(COUNTA(RO14:RQ14)),"")</f>
        <v/>
      </c>
      <c r="RS14" s="181" t="str">
        <f t="shared" si="96"/>
        <v/>
      </c>
      <c r="RT14" s="123"/>
      <c r="RU14" s="124"/>
      <c r="RV14" s="125"/>
      <c r="RW14" s="125"/>
      <c r="RX14" s="180" t="str">
        <f>IFERROR((((COUNTIF('Elève (4ème2)'!RT14:RW14,"A"))*4)+((COUNTIF('Elève (4ème2)'!RT14:RW14,"B"))*3)+((COUNTIF('Elève (4ème2)'!RT14:RW14,"C"))*2)+((COUNTIF('Elève (4ème2)'!RT14:RW14,"D"))*1))/(COUNTA(RT14:RW14)),"")</f>
        <v/>
      </c>
      <c r="RY14" s="181" t="str">
        <f t="shared" si="97"/>
        <v/>
      </c>
      <c r="RZ14" s="123"/>
      <c r="SA14" s="218"/>
      <c r="SB14" s="218"/>
      <c r="SC14" s="124"/>
      <c r="SD14" s="129"/>
      <c r="SE14" s="180" t="str">
        <f>IFERROR((((COUNTIF('Elève (4ème2)'!RZ14:SD14,"A"))*4)+((COUNTIF('Elève (4ème2)'!RZ14:SD14,"B"))*3)+((COUNTIF('Elève (4ème2)'!RZ14:SD14,"C"))*2)+((COUNTIF('Elève (4ème2)'!RZ14:SD14,"D"))*1))/(COUNTA(RZ14:SD14)),"")</f>
        <v/>
      </c>
      <c r="SF14" s="181" t="str">
        <f t="shared" si="98"/>
        <v/>
      </c>
      <c r="SG14" s="180" t="str">
        <f>IF(COUNT(RR14,RX14,SE14)=0,"",SUM(RR14,RX14,SE14)/COUNT(RR14,RX14,SE14))</f>
        <v/>
      </c>
      <c r="SH14" s="205" t="str">
        <f t="shared" si="99"/>
        <v/>
      </c>
      <c r="SI14" s="123"/>
      <c r="SJ14" s="124"/>
      <c r="SK14" s="125"/>
      <c r="SL14" s="180" t="str">
        <f>IFERROR((((COUNTIF('Elève (4ème2)'!SI14:SK14,"A"))*4)+((COUNTIF('Elève (4ème2)'!SI14:SK14,"B"))*3)+((COUNTIF('Elève (4ème2)'!SI14:SK14,"C"))*2)+((COUNTIF('Elève (4ème2)'!SI14:SK14,"D"))*1))/(COUNTA(SI14:SK14)),"")</f>
        <v/>
      </c>
      <c r="SM14" s="181" t="str">
        <f t="shared" si="100"/>
        <v/>
      </c>
      <c r="SN14" s="123"/>
      <c r="SO14" s="124"/>
      <c r="SP14" s="125"/>
      <c r="SQ14" s="125"/>
      <c r="SR14" s="180" t="str">
        <f>IFERROR((((COUNTIF('Elève (4ème2)'!SN14:SQ14,"A"))*4)+((COUNTIF('Elève (4ème2)'!SN14:SQ14,"B"))*3)+((COUNTIF('Elève (4ème2)'!SN14:SQ14,"C"))*2)+((COUNTIF('Elève (4ème2)'!SN14:SQ14,"D"))*1))/(COUNTA(SN14:SQ14)),"")</f>
        <v/>
      </c>
      <c r="SS14" s="181" t="str">
        <f t="shared" si="101"/>
        <v/>
      </c>
      <c r="ST14" s="123"/>
      <c r="SU14" s="218"/>
      <c r="SV14" s="218"/>
      <c r="SW14" s="124"/>
      <c r="SX14" s="129"/>
      <c r="SY14" s="180" t="str">
        <f>IFERROR((((COUNTIF('Elève (4ème2)'!ST14:SX14,"A"))*4)+((COUNTIF('Elève (4ème2)'!ST14:SX14,"B"))*3)+((COUNTIF('Elève (4ème2)'!ST14:SX14,"C"))*2)+((COUNTIF('Elève (4ème2)'!ST14:SX14,"D"))*1))/(COUNTA(ST14:SX14)),"")</f>
        <v/>
      </c>
      <c r="SZ14" s="181" t="str">
        <f t="shared" si="102"/>
        <v/>
      </c>
      <c r="TA14" s="180" t="str">
        <f>IF(COUNT(SL14,SR14,SY14)=0,"",SUM(SL14,SR14,SY14)/COUNT(SL14,SR14,SY14))</f>
        <v/>
      </c>
      <c r="TB14" s="205" t="str">
        <f t="shared" si="103"/>
        <v/>
      </c>
      <c r="TC14" s="123"/>
      <c r="TD14" s="124"/>
      <c r="TE14" s="125"/>
      <c r="TF14" s="180" t="str">
        <f>IFERROR((((COUNTIF('Elève (4ème2)'!TC14:TE14,"A"))*4)+((COUNTIF('Elève (4ème2)'!TC14:TE14,"B"))*3)+((COUNTIF('Elève (4ème2)'!TC14:TE14,"C"))*2)+((COUNTIF('Elève (4ème2)'!TC14:TE14,"D"))*1))/(COUNTA(TC14:TE14)),"")</f>
        <v/>
      </c>
      <c r="TG14" s="181" t="str">
        <f t="shared" si="104"/>
        <v/>
      </c>
      <c r="TH14" s="123"/>
      <c r="TI14" s="124"/>
      <c r="TJ14" s="125"/>
      <c r="TK14" s="125"/>
      <c r="TL14" s="180" t="str">
        <f>IFERROR((((COUNTIF('Elève (4ème2)'!TH14:TK14,"A"))*4)+((COUNTIF('Elève (4ème2)'!TH14:TK14,"B"))*3)+((COUNTIF('Elève (4ème2)'!TH14:TK14,"C"))*2)+((COUNTIF('Elève (4ème2)'!TH14:TK14,"D"))*1))/(COUNTA(TH14:TK14)),"")</f>
        <v/>
      </c>
      <c r="TM14" s="181" t="str">
        <f t="shared" si="105"/>
        <v/>
      </c>
      <c r="TN14" s="123"/>
      <c r="TO14" s="218"/>
      <c r="TP14" s="218"/>
      <c r="TQ14" s="124"/>
      <c r="TR14" s="129"/>
      <c r="TS14" s="180" t="str">
        <f>IFERROR((((COUNTIF('Elève (4ème2)'!TN14:TR14,"A"))*4)+((COUNTIF('Elève (4ème2)'!TN14:TR14,"B"))*3)+((COUNTIF('Elève (4ème2)'!TN14:TR14,"C"))*2)+((COUNTIF('Elève (4ème2)'!TN14:TR14,"D"))*1))/(COUNTA(TN14:TR14)),"")</f>
        <v/>
      </c>
      <c r="TT14" s="181" t="str">
        <f t="shared" si="106"/>
        <v/>
      </c>
      <c r="TU14" s="180" t="str">
        <f>IF(COUNT(TF14,TL14,TS14)=0,"",SUM(TF14,TL14,TS14)/COUNT(TF14,TL14,TS14))</f>
        <v/>
      </c>
      <c r="TV14" s="205" t="str">
        <f t="shared" si="107"/>
        <v/>
      </c>
      <c r="TW14" s="123"/>
      <c r="TX14" s="124"/>
      <c r="TY14" s="125"/>
      <c r="TZ14" s="119" t="str">
        <f>IFERROR((((COUNTIF('Elève (4ème2)'!TW14:TY14,"A"))*4)+((COUNTIF('Elève (4ème2)'!TW14:TY14,"B"))*3)+((COUNTIF('Elève (4ème2)'!TW14:TY14,"C"))*2)+((COUNTIF('Elève (4ème2)'!TW14:TY14,"D"))*1))/(COUNTA(TW14:TY14)),"")</f>
        <v/>
      </c>
      <c r="UA14" s="120" t="str">
        <f t="shared" si="108"/>
        <v/>
      </c>
      <c r="UB14" s="123"/>
      <c r="UC14" s="124"/>
      <c r="UD14" s="125"/>
      <c r="UE14" s="119" t="str">
        <f>IFERROR((((COUNTIF('Elève (4ème2)'!UB14:UD14,"A"))*4)+((COUNTIF('Elève (4ème2)'!UB14:UD14,"B"))*3)+((COUNTIF('Elève (4ème2)'!UB14:UD14,"C"))*2)+((COUNTIF('Elève (4ème2)'!UB14:UD14,"D"))*1))/(COUNTA(UB14:UD14)),"")</f>
        <v/>
      </c>
      <c r="UF14" s="120" t="str">
        <f t="shared" si="109"/>
        <v/>
      </c>
      <c r="UG14" s="123"/>
      <c r="UH14" s="124"/>
      <c r="UI14" s="129"/>
      <c r="UJ14" s="119" t="str">
        <f>IFERROR((((COUNTIF('Elève (4ème2)'!UG14:UI14,"A"))*4)+((COUNTIF('Elève (4ème2)'!UG14:UI14,"B"))*3)+((COUNTIF('Elève (4ème2)'!UG14:UI14,"C"))*2)+((COUNTIF('Elève (4ème2)'!UG14:UI14,"D"))*1))/(COUNTA(UG14:UI14)),"")</f>
        <v/>
      </c>
      <c r="UK14" s="120" t="str">
        <f t="shared" si="110"/>
        <v/>
      </c>
      <c r="UL14" s="119" t="str">
        <f>IF(COUNT(TZ14,UE14,UJ14)=0,"",SUM(TZ14,UE14,UJ14)/COUNT(TZ14,UE14,UJ14))</f>
        <v/>
      </c>
      <c r="UM14" s="121" t="str">
        <f t="shared" si="111"/>
        <v/>
      </c>
      <c r="UN14" s="123"/>
      <c r="UO14" s="124"/>
      <c r="UP14" s="125"/>
      <c r="UQ14" s="119" t="str">
        <f>IFERROR((((COUNTIF('Elève (4ème2)'!UN14:UP14,"A"))*4)+((COUNTIF('Elève (4ème2)'!UN14:UP14,"B"))*3)+((COUNTIF('Elève (4ème2)'!UN14:UP14,"C"))*2)+((COUNTIF('Elève (4ème2)'!UN14:UP14,"D"))*1))/(COUNTA(UN14:UP14)),"")</f>
        <v/>
      </c>
      <c r="UR14" s="120" t="str">
        <f t="shared" si="112"/>
        <v/>
      </c>
      <c r="US14" s="123"/>
      <c r="UT14" s="124"/>
      <c r="UU14" s="125"/>
      <c r="UV14" s="119" t="str">
        <f>IFERROR((((COUNTIF('Elève (4ème2)'!US14:UU14,"A"))*4)+((COUNTIF('Elève (4ème2)'!US14:UU14,"B"))*3)+((COUNTIF('Elève (4ème2)'!US14:UU14,"C"))*2)+((COUNTIF('Elève (4ème2)'!US14:UU14,"D"))*1))/(COUNTA(US14:UU14)),"")</f>
        <v/>
      </c>
      <c r="UW14" s="120" t="str">
        <f t="shared" si="113"/>
        <v/>
      </c>
      <c r="UX14" s="123"/>
      <c r="UY14" s="124"/>
      <c r="UZ14" s="129"/>
      <c r="VA14" s="119" t="str">
        <f>IFERROR((((COUNTIF('Elève (4ème2)'!UX14:UZ14,"A"))*4)+((COUNTIF('Elève (4ème2)'!UX14:UZ14,"B"))*3)+((COUNTIF('Elève (4ème2)'!UX14:UZ14,"C"))*2)+((COUNTIF('Elève (4ème2)'!UX14:UZ14,"D"))*1))/(COUNTA(UX14:UZ14)),"")</f>
        <v/>
      </c>
      <c r="VB14" s="120" t="str">
        <f t="shared" si="114"/>
        <v/>
      </c>
      <c r="VC14" s="119" t="str">
        <f>IF(COUNT(UQ14,UV14,VA14)=0,"",SUM(UQ14,UV14,VA14)/COUNT(UQ14,UV14,VA14))</f>
        <v/>
      </c>
      <c r="VD14" s="121" t="str">
        <f t="shared" si="115"/>
        <v/>
      </c>
      <c r="VE14" s="123"/>
      <c r="VF14" s="124"/>
      <c r="VG14" s="125"/>
      <c r="VH14" s="119" t="str">
        <f>IFERROR((((COUNTIF('Elève (4ème2)'!VE14:VG14,"A"))*4)+((COUNTIF('Elève (4ème2)'!VE14:VG14,"B"))*3)+((COUNTIF('Elève (4ème2)'!VE14:VG14,"C"))*2)+((COUNTIF('Elève (4ème2)'!VE14:VG14,"D"))*1))/(COUNTA(VE14:VG14)),"")</f>
        <v/>
      </c>
      <c r="VI14" s="120" t="str">
        <f t="shared" si="116"/>
        <v/>
      </c>
      <c r="VJ14" s="123"/>
      <c r="VK14" s="124"/>
      <c r="VL14" s="125"/>
      <c r="VM14" s="119" t="str">
        <f>IFERROR((((COUNTIF('Elève (4ème2)'!VJ14:VL14,"A"))*4)+((COUNTIF('Elève (4ème2)'!VJ14:VL14,"B"))*3)+((COUNTIF('Elève (4ème2)'!VJ14:VL14,"C"))*2)+((COUNTIF('Elève (4ème2)'!VJ14:VL14,"D"))*1))/(COUNTA(VJ14:VL14)),"")</f>
        <v/>
      </c>
      <c r="VN14" s="120" t="str">
        <f t="shared" si="117"/>
        <v/>
      </c>
      <c r="VO14" s="123"/>
      <c r="VP14" s="124"/>
      <c r="VQ14" s="129"/>
      <c r="VR14" s="119" t="str">
        <f>IFERROR((((COUNTIF('Elève (4ème2)'!VO14:VQ14,"A"))*4)+((COUNTIF('Elève (4ème2)'!VO14:VQ14,"B"))*3)+((COUNTIF('Elève (4ème2)'!VO14:VQ14,"C"))*2)+((COUNTIF('Elève (4ème2)'!VO14:VQ14,"D"))*1))/(COUNTA(VO14:VQ14)),"")</f>
        <v/>
      </c>
      <c r="VS14" s="120" t="str">
        <f t="shared" si="118"/>
        <v/>
      </c>
      <c r="VT14" s="119" t="str">
        <f>IF(COUNT(VH14,VM14,VR14)=0,"",SUM(VH14,VM14,VR14)/COUNT(VH14,VM14,VR14))</f>
        <v/>
      </c>
      <c r="VU14" s="121" t="str">
        <f t="shared" si="119"/>
        <v/>
      </c>
    </row>
    <row r="15" spans="1:593" ht="18" customHeight="1" thickBot="1" x14ac:dyDescent="0.6">
      <c r="A15" s="250" t="s">
        <v>21</v>
      </c>
      <c r="B15" s="251"/>
      <c r="C15" s="130" t="s">
        <v>32</v>
      </c>
      <c r="D15" s="131"/>
      <c r="E15" s="132"/>
      <c r="F15" s="184">
        <f>IFERROR((((COUNTIF('Elève (4ème2)'!C15:E15,"A"))*4)+((COUNTIF('Elève (4ème2)'!C15:E15,"B"))*3)+((COUNTIF('Elève (4ème2)'!C15:E15,"C"))*2)+((COUNTIF('Elève (4ème2)'!C15:E15,"D"))*1))/(COUNTA(C15:E15)),"")</f>
        <v>1</v>
      </c>
      <c r="G15" s="185" t="str">
        <f t="shared" si="0"/>
        <v>D</v>
      </c>
      <c r="H15" s="130"/>
      <c r="I15" s="131"/>
      <c r="J15" s="132"/>
      <c r="K15" s="132"/>
      <c r="L15" s="184" t="str">
        <f>IFERROR((((COUNTIF('Elève (4ème2)'!H15:K15,"A"))*4)+((COUNTIF('Elève (4ème2)'!H15:K15,"B"))*3)+((COUNTIF('Elève (4ème2)'!H15:K15,"C"))*2)+((COUNTIF('Elève (4ème2)'!H15:K15,"D"))*1))/(COUNTA(H15:K15)),"")</f>
        <v/>
      </c>
      <c r="M15" s="185" t="str">
        <f t="shared" si="1"/>
        <v/>
      </c>
      <c r="N15" s="130" t="s">
        <v>29</v>
      </c>
      <c r="O15" s="131"/>
      <c r="P15" s="219"/>
      <c r="Q15" s="219" t="s">
        <v>29</v>
      </c>
      <c r="R15" s="132"/>
      <c r="S15" s="184">
        <f>IFERROR((((COUNTIF('Elève (4ème2)'!N15:R15,"A"))*4)+((COUNTIF('Elève (4ème2)'!N15:R15,"B"))*3)+((COUNTIF('Elève (4ème2)'!N15:R15,"C"))*2)+((COUNTIF('Elève (4ème2)'!N15:R15,"D"))*1))/(COUNTA(N15:R15)),"")</f>
        <v>4</v>
      </c>
      <c r="T15" s="185" t="str">
        <f t="shared" si="2"/>
        <v>A</v>
      </c>
      <c r="U15" s="209">
        <f>IF(COUNT(F15,L15,S15)=0,"",SUM(F15,L15,S15)/COUNT(F15,L15,S15))</f>
        <v>2.5</v>
      </c>
      <c r="V15" s="207" t="str">
        <f t="shared" si="3"/>
        <v>C</v>
      </c>
      <c r="W15" s="130" t="s">
        <v>31</v>
      </c>
      <c r="X15" s="131"/>
      <c r="Y15" s="132"/>
      <c r="Z15" s="184">
        <f>IFERROR((((COUNTIF('Elève (4ème2)'!W15:Y15,"A"))*4)+((COUNTIF('Elève (4ème2)'!W15:Y15,"B"))*3)+((COUNTIF('Elève (4ème2)'!W15:Y15,"C"))*2)+((COUNTIF('Elève (4ème2)'!W15:Y15,"D"))*1))/(COUNTA(W15:Y15)),"")</f>
        <v>2</v>
      </c>
      <c r="AA15" s="185" t="str">
        <f t="shared" si="4"/>
        <v>C</v>
      </c>
      <c r="AB15" s="130"/>
      <c r="AC15" s="131"/>
      <c r="AD15" s="132"/>
      <c r="AE15" s="132"/>
      <c r="AF15" s="184" t="str">
        <f>IFERROR((((COUNTIF('Elève (4ème2)'!AB15:AE15,"A"))*4)+((COUNTIF('Elève (4ème2)'!AB15:AE15,"B"))*3)+((COUNTIF('Elève (4ème2)'!AB15:AE15,"C"))*2)+((COUNTIF('Elève (4ème2)'!AB15:AE15,"D"))*1))/(COUNTA(AB15:AE15)),"")</f>
        <v/>
      </c>
      <c r="AG15" s="185" t="str">
        <f t="shared" si="5"/>
        <v/>
      </c>
      <c r="AH15" s="130" t="s">
        <v>29</v>
      </c>
      <c r="AI15" s="219"/>
      <c r="AJ15" s="219"/>
      <c r="AK15" s="131" t="s">
        <v>29</v>
      </c>
      <c r="AL15" s="136"/>
      <c r="AM15" s="184">
        <f>IFERROR((((COUNTIF('Elève (4ème2)'!AH15:AL15,"A"))*4)+((COUNTIF('Elève (4ème2)'!AH15:AL15,"B"))*3)+((COUNTIF('Elève (4ème2)'!AH15:AL15,"C"))*2)+((COUNTIF('Elève (4ème2)'!AH15:AL15,"D"))*1))/(COUNTA(AH15:AL15)),"")</f>
        <v>4</v>
      </c>
      <c r="AN15" s="185" t="str">
        <f t="shared" si="6"/>
        <v>A</v>
      </c>
      <c r="AO15" s="209">
        <f>IF(COUNT(Z15,AF15,AM15)=0,"",SUM(Z15,AF15,AM15)/COUNT(Z15,AF15,AM15))</f>
        <v>3</v>
      </c>
      <c r="AP15" s="207" t="str">
        <f t="shared" si="7"/>
        <v>B</v>
      </c>
      <c r="AQ15" s="130" t="s">
        <v>31</v>
      </c>
      <c r="AR15" s="131"/>
      <c r="AS15" s="132"/>
      <c r="AT15" s="184">
        <f>IFERROR((((COUNTIF('Elève (4ème2)'!AQ15:AS15,"A"))*4)+((COUNTIF('Elève (4ème2)'!AQ15:AS15,"B"))*3)+((COUNTIF('Elève (4ème2)'!AQ15:AS15,"C"))*2)+((COUNTIF('Elève (4ème2)'!AQ15:AS15,"D"))*1))/(COUNTA(AQ15:AS15)),"")</f>
        <v>2</v>
      </c>
      <c r="AU15" s="185" t="str">
        <f t="shared" si="8"/>
        <v>C</v>
      </c>
      <c r="AV15" s="130"/>
      <c r="AW15" s="131"/>
      <c r="AX15" s="132"/>
      <c r="AY15" s="132"/>
      <c r="AZ15" s="184" t="str">
        <f>IFERROR((((COUNTIF('Elève (4ème2)'!AV15:AY15,"A"))*4)+((COUNTIF('Elève (4ème2)'!AV15:AY15,"B"))*3)+((COUNTIF('Elève (4ème2)'!AV15:AY15,"C"))*2)+((COUNTIF('Elève (4ème2)'!AV15:AY15,"D"))*1))/(COUNTA(AV15:AY15)),"")</f>
        <v/>
      </c>
      <c r="BA15" s="185" t="str">
        <f t="shared" si="9"/>
        <v/>
      </c>
      <c r="BB15" s="130" t="s">
        <v>32</v>
      </c>
      <c r="BC15" s="219"/>
      <c r="BD15" s="219"/>
      <c r="BE15" s="131" t="s">
        <v>29</v>
      </c>
      <c r="BF15" s="136"/>
      <c r="BG15" s="184">
        <f>IFERROR((((COUNTIF('Elève (4ème2)'!BB15:BF15,"A"))*4)+((COUNTIF('Elève (4ème2)'!BB15:BF15,"B"))*3)+((COUNTIF('Elève (4ème2)'!BB15:BF15,"C"))*2)+((COUNTIF('Elève (4ème2)'!BB15:BF15,"D"))*1))/(COUNTA(BB15:BF15)),"")</f>
        <v>2.5</v>
      </c>
      <c r="BH15" s="185" t="str">
        <f t="shared" si="10"/>
        <v>C</v>
      </c>
      <c r="BI15" s="209">
        <f>IF(COUNT(AT15,AZ15,BG15)=0,"",SUM(AT15,AZ15,BG15)/COUNT(AT15,AZ15,BG15))</f>
        <v>2.25</v>
      </c>
      <c r="BJ15" s="207" t="str">
        <f t="shared" si="11"/>
        <v>C</v>
      </c>
      <c r="BK15" s="130" t="s">
        <v>32</v>
      </c>
      <c r="BL15" s="131"/>
      <c r="BM15" s="132"/>
      <c r="BN15" s="184">
        <f>IFERROR((((COUNTIF('Elève (4ème2)'!BK15:BM15,"A"))*4)+((COUNTIF('Elève (4ème2)'!BK15:BM15,"B"))*3)+((COUNTIF('Elève (4ème2)'!BK15:BM15,"C"))*2)+((COUNTIF('Elève (4ème2)'!BK15:BM15,"D"))*1))/(COUNTA(BK15:BM15)),"")</f>
        <v>1</v>
      </c>
      <c r="BO15" s="185" t="str">
        <f t="shared" si="12"/>
        <v>D</v>
      </c>
      <c r="BP15" s="130"/>
      <c r="BQ15" s="131"/>
      <c r="BR15" s="132"/>
      <c r="BS15" s="132"/>
      <c r="BT15" s="184" t="str">
        <f>IFERROR((((COUNTIF('Elève (4ème2)'!BP15:BS15,"A"))*4)+((COUNTIF('Elève (4ème2)'!BP15:BS15,"B"))*3)+((COUNTIF('Elève (4ème2)'!BP15:BS15,"C"))*2)+((COUNTIF('Elève (4ème2)'!BP15:BS15,"D"))*1))/(COUNTA(BP15:BS15)),"")</f>
        <v/>
      </c>
      <c r="BU15" s="185" t="str">
        <f t="shared" si="13"/>
        <v/>
      </c>
      <c r="BV15" s="130" t="s">
        <v>29</v>
      </c>
      <c r="BW15" s="219"/>
      <c r="BX15" s="219"/>
      <c r="BY15" s="131" t="s">
        <v>29</v>
      </c>
      <c r="BZ15" s="136"/>
      <c r="CA15" s="184">
        <f>IFERROR((((COUNTIF('Elève (4ème2)'!BV15:BZ15,"A"))*4)+((COUNTIF('Elève (4ème2)'!BV15:BZ15,"B"))*3)+((COUNTIF('Elève (4ème2)'!BV15:BZ15,"C"))*2)+((COUNTIF('Elève (4ème2)'!BV15:BZ15,"D"))*1))/(COUNTA(BV15:BZ15)),"")</f>
        <v>4</v>
      </c>
      <c r="CB15" s="185" t="str">
        <f t="shared" si="14"/>
        <v>A</v>
      </c>
      <c r="CC15" s="209">
        <f>IF(COUNT(BN15,BT15,CA15)=0,"",SUM(BN15,BT15,CA15)/COUNT(BN15,BT15,CA15))</f>
        <v>2.5</v>
      </c>
      <c r="CD15" s="207" t="str">
        <f t="shared" si="15"/>
        <v>C</v>
      </c>
      <c r="CE15" s="130" t="s">
        <v>30</v>
      </c>
      <c r="CF15" s="131"/>
      <c r="CG15" s="132"/>
      <c r="CH15" s="184">
        <f>IFERROR((((COUNTIF('Elève (4ème2)'!CE15:CG15,"A"))*4)+((COUNTIF('Elève (4ème2)'!CE15:CG15,"B"))*3)+((COUNTIF('Elève (4ème2)'!CE15:CG15,"C"))*2)+((COUNTIF('Elève (4ème2)'!CE15:CG15,"D"))*1))/(COUNTA(CE15:CG15)),"")</f>
        <v>3</v>
      </c>
      <c r="CI15" s="185" t="str">
        <f t="shared" si="16"/>
        <v>B</v>
      </c>
      <c r="CJ15" s="130"/>
      <c r="CK15" s="131"/>
      <c r="CL15" s="132"/>
      <c r="CM15" s="132"/>
      <c r="CN15" s="184" t="str">
        <f>IFERROR((((COUNTIF('Elève (4ème2)'!CJ15:CM15,"A"))*4)+((COUNTIF('Elève (4ème2)'!CJ15:CM15,"B"))*3)+((COUNTIF('Elève (4ème2)'!CJ15:CM15,"C"))*2)+((COUNTIF('Elève (4ème2)'!CJ15:CM15,"D"))*1))/(COUNTA(CJ15:CM15)),"")</f>
        <v/>
      </c>
      <c r="CO15" s="185" t="str">
        <f t="shared" si="17"/>
        <v/>
      </c>
      <c r="CP15" s="130" t="s">
        <v>29</v>
      </c>
      <c r="CQ15" s="219"/>
      <c r="CR15" s="219"/>
      <c r="CS15" s="131" t="s">
        <v>29</v>
      </c>
      <c r="CT15" s="136"/>
      <c r="CU15" s="184">
        <f>IFERROR((((COUNTIF('Elève (4ème2)'!CP15:CT15,"A"))*4)+((COUNTIF('Elève (4ème2)'!CP15:CT15,"B"))*3)+((COUNTIF('Elève (4ème2)'!CP15:CT15,"C"))*2)+((COUNTIF('Elève (4ème2)'!CP15:CT15,"D"))*1))/(COUNTA(CP15:CT15)),"")</f>
        <v>4</v>
      </c>
      <c r="CV15" s="185" t="str">
        <f t="shared" si="18"/>
        <v>A</v>
      </c>
      <c r="CW15" s="209">
        <f>IF(COUNT(CH15,CN15,CU15)=0,"",SUM(CH15,CN15,CU15)/COUNT(CH15,CN15,CU15))</f>
        <v>3.5</v>
      </c>
      <c r="CX15" s="207" t="str">
        <f t="shared" si="19"/>
        <v>B</v>
      </c>
      <c r="CY15" s="130" t="s">
        <v>31</v>
      </c>
      <c r="CZ15" s="131"/>
      <c r="DA15" s="132"/>
      <c r="DB15" s="184">
        <f>IFERROR((((COUNTIF('Elève (4ème2)'!CY15:DA15,"A"))*4)+((COUNTIF('Elève (4ème2)'!CY15:DA15,"B"))*3)+((COUNTIF('Elève (4ème2)'!CY15:DA15,"C"))*2)+((COUNTIF('Elève (4ème2)'!CY15:DA15,"D"))*1))/(COUNTA(CY15:DA15)),"")</f>
        <v>2</v>
      </c>
      <c r="DC15" s="185" t="str">
        <f t="shared" si="20"/>
        <v>C</v>
      </c>
      <c r="DD15" s="130"/>
      <c r="DE15" s="131"/>
      <c r="DF15" s="132"/>
      <c r="DG15" s="132"/>
      <c r="DH15" s="184" t="str">
        <f>IFERROR((((COUNTIF('Elève (4ème2)'!DD15:DG15,"A"))*4)+((COUNTIF('Elève (4ème2)'!DD15:DG15,"B"))*3)+((COUNTIF('Elève (4ème2)'!DD15:DG15,"C"))*2)+((COUNTIF('Elève (4ème2)'!DD15:DG15,"D"))*1))/(COUNTA(DD15:DG15)),"")</f>
        <v/>
      </c>
      <c r="DI15" s="185" t="str">
        <f t="shared" si="21"/>
        <v/>
      </c>
      <c r="DJ15" s="130"/>
      <c r="DK15" s="219"/>
      <c r="DL15" s="219"/>
      <c r="DM15" s="131" t="s">
        <v>29</v>
      </c>
      <c r="DN15" s="136"/>
      <c r="DO15" s="184">
        <f>IFERROR((((COUNTIF('Elève (4ème2)'!DJ15:DN15,"A"))*4)+((COUNTIF('Elève (4ème2)'!DJ15:DN15,"B"))*3)+((COUNTIF('Elève (4ème2)'!DJ15:DN15,"C"))*2)+((COUNTIF('Elève (4ème2)'!DJ15:DN15,"D"))*1))/(COUNTA(DJ15:DN15)),"")</f>
        <v>4</v>
      </c>
      <c r="DP15" s="185" t="str">
        <f t="shared" si="22"/>
        <v>A</v>
      </c>
      <c r="DQ15" s="209">
        <f>IF(COUNT(DB15,DH15,DO15)=0,"",SUM(DB15,DH15,DO15)/COUNT(DB15,DH15,DO15))</f>
        <v>3</v>
      </c>
      <c r="DR15" s="207" t="str">
        <f t="shared" si="23"/>
        <v>B</v>
      </c>
      <c r="DS15" s="130" t="s">
        <v>32</v>
      </c>
      <c r="DT15" s="131"/>
      <c r="DU15" s="132"/>
      <c r="DV15" s="184">
        <f>IFERROR((((COUNTIF('Elève (4ème2)'!DS15:DU15,"A"))*4)+((COUNTIF('Elève (4ème2)'!DS15:DU15,"B"))*3)+((COUNTIF('Elève (4ème2)'!DS15:DU15,"C"))*2)+((COUNTIF('Elève (4ème2)'!DS15:DU15,"D"))*1))/(COUNTA(DS15:DU15)),"")</f>
        <v>1</v>
      </c>
      <c r="DW15" s="185" t="str">
        <f t="shared" si="24"/>
        <v>D</v>
      </c>
      <c r="DX15" s="130"/>
      <c r="DY15" s="131"/>
      <c r="DZ15" s="132"/>
      <c r="EA15" s="132"/>
      <c r="EB15" s="184" t="str">
        <f>IFERROR((((COUNTIF('Elève (4ème2)'!DX15:EA15,"A"))*4)+((COUNTIF('Elève (4ème2)'!DX15:EA15,"B"))*3)+((COUNTIF('Elève (4ème2)'!DX15:EA15,"C"))*2)+((COUNTIF('Elève (4ème2)'!DX15:EA15,"D"))*1))/(COUNTA(DX15:EA15)),"")</f>
        <v/>
      </c>
      <c r="EC15" s="185" t="str">
        <f t="shared" si="25"/>
        <v/>
      </c>
      <c r="ED15" s="130" t="s">
        <v>29</v>
      </c>
      <c r="EE15" s="219"/>
      <c r="EF15" s="219"/>
      <c r="EG15" s="131" t="s">
        <v>29</v>
      </c>
      <c r="EH15" s="136"/>
      <c r="EI15" s="184">
        <f>IFERROR((((COUNTIF('Elève (4ème2)'!ED15:EH15,"A"))*4)+((COUNTIF('Elève (4ème2)'!ED15:EH15,"B"))*3)+((COUNTIF('Elève (4ème2)'!ED15:EH15,"C"))*2)+((COUNTIF('Elève (4ème2)'!ED15:EH15,"D"))*1))/(COUNTA(ED15:EH15)),"")</f>
        <v>4</v>
      </c>
      <c r="EJ15" s="185" t="str">
        <f t="shared" si="26"/>
        <v>A</v>
      </c>
      <c r="EK15" s="209">
        <f>IF(COUNT(DV15,EB15,EI15)=0,"",SUM(DV15,EB15,EI15)/COUNT(DV15,EB15,EI15))</f>
        <v>2.5</v>
      </c>
      <c r="EL15" s="207" t="str">
        <f t="shared" si="27"/>
        <v>C</v>
      </c>
      <c r="EM15" s="130" t="s">
        <v>30</v>
      </c>
      <c r="EN15" s="131"/>
      <c r="EO15" s="132"/>
      <c r="EP15" s="184">
        <f>IFERROR((((COUNTIF('Elève (4ème2)'!EM15:EO15,"A"))*4)+((COUNTIF('Elève (4ème2)'!EM15:EO15,"B"))*3)+((COUNTIF('Elève (4ème2)'!EM15:EO15,"C"))*2)+((COUNTIF('Elève (4ème2)'!EM15:EO15,"D"))*1))/(COUNTA(EM15:EO15)),"")</f>
        <v>3</v>
      </c>
      <c r="EQ15" s="185" t="str">
        <f t="shared" si="28"/>
        <v>B</v>
      </c>
      <c r="ER15" s="130"/>
      <c r="ES15" s="131"/>
      <c r="ET15" s="132"/>
      <c r="EU15" s="132"/>
      <c r="EV15" s="184" t="str">
        <f>IFERROR((((COUNTIF('Elève (4ème2)'!ER15:EU15,"A"))*4)+((COUNTIF('Elève (4ème2)'!ER15:EU15,"B"))*3)+((COUNTIF('Elève (4ème2)'!ER15:EU15,"C"))*2)+((COUNTIF('Elève (4ème2)'!ER15:EU15,"D"))*1))/(COUNTA(ER15:EU15)),"")</f>
        <v/>
      </c>
      <c r="EW15" s="185" t="str">
        <f t="shared" si="29"/>
        <v/>
      </c>
      <c r="EX15" s="130" t="s">
        <v>29</v>
      </c>
      <c r="EY15" s="219"/>
      <c r="EZ15" s="219"/>
      <c r="FA15" s="131" t="s">
        <v>29</v>
      </c>
      <c r="FB15" s="136"/>
      <c r="FC15" s="184">
        <f>IFERROR((((COUNTIF('Elève (4ème2)'!EX15:FB15,"A"))*4)+((COUNTIF('Elève (4ème2)'!EX15:FB15,"B"))*3)+((COUNTIF('Elève (4ème2)'!EX15:FB15,"C"))*2)+((COUNTIF('Elève (4ème2)'!EX15:FB15,"D"))*1))/(COUNTA(EX15:FB15)),"")</f>
        <v>4</v>
      </c>
      <c r="FD15" s="185" t="str">
        <f t="shared" si="30"/>
        <v>A</v>
      </c>
      <c r="FE15" s="209">
        <f>IF(COUNT(EP15,EV15,FC15)=0,"",SUM(EP15,EV15,FC15)/COUNT(EP15,EV15,FC15))</f>
        <v>3.5</v>
      </c>
      <c r="FF15" s="207" t="str">
        <f t="shared" si="31"/>
        <v>B</v>
      </c>
      <c r="FG15" s="130" t="s">
        <v>32</v>
      </c>
      <c r="FH15" s="131"/>
      <c r="FI15" s="132"/>
      <c r="FJ15" s="184">
        <f>IFERROR((((COUNTIF('Elève (4ème2)'!FG15:FI15,"A"))*4)+((COUNTIF('Elève (4ème2)'!FG15:FI15,"B"))*3)+((COUNTIF('Elève (4ème2)'!FG15:FI15,"C"))*2)+((COUNTIF('Elève (4ème2)'!FG15:FI15,"D"))*1))/(COUNTA(FG15:FI15)),"")</f>
        <v>1</v>
      </c>
      <c r="FK15" s="185" t="str">
        <f t="shared" si="32"/>
        <v>D</v>
      </c>
      <c r="FL15" s="130"/>
      <c r="FM15" s="131"/>
      <c r="FN15" s="132"/>
      <c r="FO15" s="132"/>
      <c r="FP15" s="184" t="str">
        <f>IFERROR((((COUNTIF('Elève (4ème2)'!FL15:FO15,"A"))*4)+((COUNTIF('Elève (4ème2)'!FL15:FO15,"B"))*3)+((COUNTIF('Elève (4ème2)'!FL15:FO15,"C"))*2)+((COUNTIF('Elève (4ème2)'!FL15:FO15,"D"))*1))/(COUNTA(FL15:FO15)),"")</f>
        <v/>
      </c>
      <c r="FQ15" s="185" t="str">
        <f t="shared" si="33"/>
        <v/>
      </c>
      <c r="FR15" s="130" t="s">
        <v>32</v>
      </c>
      <c r="FS15" s="219"/>
      <c r="FT15" s="219"/>
      <c r="FU15" s="131" t="s">
        <v>29</v>
      </c>
      <c r="FV15" s="136"/>
      <c r="FW15" s="184">
        <f>IFERROR((((COUNTIF('Elève (4ème2)'!FR15:FV15,"A"))*4)+((COUNTIF('Elève (4ème2)'!FR15:FV15,"B"))*3)+((COUNTIF('Elève (4ème2)'!FR15:FV15,"C"))*2)+((COUNTIF('Elève (4ème2)'!FR15:FV15,"D"))*1))/(COUNTA(FR15:FV15)),"")</f>
        <v>2.5</v>
      </c>
      <c r="FX15" s="185" t="str">
        <f t="shared" si="34"/>
        <v>C</v>
      </c>
      <c r="FY15" s="209">
        <f>IF(COUNT(FJ15,FP15,FW15)=0,"",SUM(FJ15,FP15,FW15)/COUNT(FJ15,FP15,FW15))</f>
        <v>1.75</v>
      </c>
      <c r="FZ15" s="207" t="str">
        <f t="shared" si="35"/>
        <v>C</v>
      </c>
      <c r="GA15" s="130" t="s">
        <v>32</v>
      </c>
      <c r="GB15" s="131"/>
      <c r="GC15" s="132"/>
      <c r="GD15" s="184">
        <f>IFERROR((((COUNTIF('Elève (4ème2)'!GA15:GC15,"A"))*4)+((COUNTIF('Elève (4ème2)'!GA15:GC15,"B"))*3)+((COUNTIF('Elève (4ème2)'!GA15:GC15,"C"))*2)+((COUNTIF('Elève (4ème2)'!GA15:GC15,"D"))*1))/(COUNTA(GA15:GC15)),"")</f>
        <v>1</v>
      </c>
      <c r="GE15" s="185" t="str">
        <f t="shared" si="36"/>
        <v>D</v>
      </c>
      <c r="GF15" s="130"/>
      <c r="GG15" s="131"/>
      <c r="GH15" s="132"/>
      <c r="GI15" s="132"/>
      <c r="GJ15" s="184" t="str">
        <f>IFERROR((((COUNTIF('Elève (4ème2)'!GF15:GI15,"A"))*4)+((COUNTIF('Elève (4ème2)'!GF15:GI15,"B"))*3)+((COUNTIF('Elève (4ème2)'!GF15:GI15,"C"))*2)+((COUNTIF('Elève (4ème2)'!GF15:GI15,"D"))*1))/(COUNTA(GF15:GI15)),"")</f>
        <v/>
      </c>
      <c r="GK15" s="185" t="str">
        <f t="shared" si="37"/>
        <v/>
      </c>
      <c r="GL15" s="130" t="s">
        <v>30</v>
      </c>
      <c r="GM15" s="219"/>
      <c r="GN15" s="219"/>
      <c r="GO15" s="131" t="s">
        <v>29</v>
      </c>
      <c r="GP15" s="136"/>
      <c r="GQ15" s="184">
        <f>IFERROR((((COUNTIF('Elève (4ème2)'!GL15:GP15,"A"))*4)+((COUNTIF('Elève (4ème2)'!GL15:GP15,"B"))*3)+((COUNTIF('Elève (4ème2)'!GL15:GP15,"C"))*2)+((COUNTIF('Elève (4ème2)'!GL15:GP15,"D"))*1))/(COUNTA(GL15:GP15)),"")</f>
        <v>3.5</v>
      </c>
      <c r="GR15" s="185" t="str">
        <f t="shared" si="38"/>
        <v>B</v>
      </c>
      <c r="GS15" s="209">
        <f>IF(COUNT(GD15,GJ15,GQ15)=0,"",SUM(GD15,GJ15,GQ15)/COUNT(GD15,GJ15,GQ15))</f>
        <v>2.25</v>
      </c>
      <c r="GT15" s="207" t="str">
        <f t="shared" si="39"/>
        <v>C</v>
      </c>
      <c r="GU15" s="130" t="s">
        <v>31</v>
      </c>
      <c r="GV15" s="131"/>
      <c r="GW15" s="132"/>
      <c r="GX15" s="184">
        <f>IFERROR((((COUNTIF('Elève (4ème2)'!GU15:GW15,"A"))*4)+((COUNTIF('Elève (4ème2)'!GU15:GW15,"B"))*3)+((COUNTIF('Elève (4ème2)'!GU15:GW15,"C"))*2)+((COUNTIF('Elève (4ème2)'!GU15:GW15,"D"))*1))/(COUNTA(GU15:GW15)),"")</f>
        <v>2</v>
      </c>
      <c r="GY15" s="185" t="str">
        <f t="shared" si="40"/>
        <v>C</v>
      </c>
      <c r="GZ15" s="130"/>
      <c r="HA15" s="131"/>
      <c r="HB15" s="132"/>
      <c r="HC15" s="132"/>
      <c r="HD15" s="184" t="str">
        <f>IFERROR((((COUNTIF('Elève (4ème2)'!GZ15:HC15,"A"))*4)+((COUNTIF('Elève (4ème2)'!GZ15:HC15,"B"))*3)+((COUNTIF('Elève (4ème2)'!GZ15:HC15,"C"))*2)+((COUNTIF('Elève (4ème2)'!GZ15:HC15,"D"))*1))/(COUNTA(GZ15:HC15)),"")</f>
        <v/>
      </c>
      <c r="HE15" s="185" t="str">
        <f t="shared" si="41"/>
        <v/>
      </c>
      <c r="HF15" s="130" t="s">
        <v>30</v>
      </c>
      <c r="HG15" s="219"/>
      <c r="HH15" s="219"/>
      <c r="HI15" s="131" t="s">
        <v>29</v>
      </c>
      <c r="HJ15" s="136"/>
      <c r="HK15" s="184">
        <f>IFERROR((((COUNTIF('Elève (4ème2)'!HF15:HJ15,"A"))*4)+((COUNTIF('Elève (4ème2)'!HF15:HJ15,"B"))*3)+((COUNTIF('Elève (4ème2)'!HF15:HJ15,"C"))*2)+((COUNTIF('Elève (4ème2)'!HF15:HJ15,"D"))*1))/(COUNTA(HF15:HJ15)),"")</f>
        <v>3.5</v>
      </c>
      <c r="HL15" s="185" t="str">
        <f t="shared" si="42"/>
        <v>B</v>
      </c>
      <c r="HM15" s="209">
        <f>IF(COUNT(GX15,HD15,HK15)=0,"",SUM(GX15,HD15,HK15)/COUNT(GX15,HD15,HK15))</f>
        <v>2.75</v>
      </c>
      <c r="HN15" s="207" t="str">
        <f t="shared" si="43"/>
        <v>C</v>
      </c>
      <c r="HO15" s="130" t="s">
        <v>31</v>
      </c>
      <c r="HP15" s="131"/>
      <c r="HQ15" s="132"/>
      <c r="HR15" s="184">
        <f>IFERROR((((COUNTIF('Elève (4ème2)'!HO15:HQ15,"A"))*4)+((COUNTIF('Elève (4ème2)'!HO15:HQ15,"B"))*3)+((COUNTIF('Elève (4ème2)'!HO15:HQ15,"C"))*2)+((COUNTIF('Elève (4ème2)'!HO15:HQ15,"D"))*1))/(COUNTA(HO15:HQ15)),"")</f>
        <v>2</v>
      </c>
      <c r="HS15" s="185" t="str">
        <f t="shared" si="44"/>
        <v>C</v>
      </c>
      <c r="HT15" s="130"/>
      <c r="HU15" s="131"/>
      <c r="HV15" s="132"/>
      <c r="HW15" s="132"/>
      <c r="HX15" s="184" t="str">
        <f>IFERROR((((COUNTIF('Elève (4ème2)'!HT15:HW15,"A"))*4)+((COUNTIF('Elève (4ème2)'!HT15:HW15,"B"))*3)+((COUNTIF('Elève (4ème2)'!HT15:HW15,"C"))*2)+((COUNTIF('Elève (4ème2)'!HT15:HW15,"D"))*1))/(COUNTA(HT15:HW15)),"")</f>
        <v/>
      </c>
      <c r="HY15" s="185" t="str">
        <f t="shared" si="45"/>
        <v/>
      </c>
      <c r="HZ15" s="130" t="s">
        <v>29</v>
      </c>
      <c r="IA15" s="219"/>
      <c r="IB15" s="219"/>
      <c r="IC15" s="131" t="s">
        <v>29</v>
      </c>
      <c r="ID15" s="136"/>
      <c r="IE15" s="184">
        <f>IFERROR((((COUNTIF('Elève (4ème2)'!HZ15:ID15,"A"))*4)+((COUNTIF('Elève (4ème2)'!HZ15:ID15,"B"))*3)+((COUNTIF('Elève (4ème2)'!HZ15:ID15,"C"))*2)+((COUNTIF('Elève (4ème2)'!HZ15:ID15,"D"))*1))/(COUNTA(HZ15:ID15)),"")</f>
        <v>4</v>
      </c>
      <c r="IF15" s="185" t="str">
        <f t="shared" si="46"/>
        <v>A</v>
      </c>
      <c r="IG15" s="209">
        <f>IF(COUNT(HR15,HX15,IE15)=0,"",SUM(HR15,HX15,IE15)/COUNT(HR15,HX15,IE15))</f>
        <v>3</v>
      </c>
      <c r="IH15" s="207" t="str">
        <f t="shared" si="47"/>
        <v>B</v>
      </c>
      <c r="II15" s="130" t="s">
        <v>30</v>
      </c>
      <c r="IJ15" s="131"/>
      <c r="IK15" s="132"/>
      <c r="IL15" s="184">
        <f>IFERROR((((COUNTIF('Elève (4ème2)'!II15:IK15,"A"))*4)+((COUNTIF('Elève (4ème2)'!II15:IK15,"B"))*3)+((COUNTIF('Elève (4ème2)'!II15:IK15,"C"))*2)+((COUNTIF('Elève (4ème2)'!II15:IK15,"D"))*1))/(COUNTA(II15:IK15)),"")</f>
        <v>3</v>
      </c>
      <c r="IM15" s="185" t="str">
        <f t="shared" si="48"/>
        <v>B</v>
      </c>
      <c r="IN15" s="130"/>
      <c r="IO15" s="131"/>
      <c r="IP15" s="132"/>
      <c r="IQ15" s="132"/>
      <c r="IR15" s="184" t="str">
        <f>IFERROR((((COUNTIF('Elève (4ème2)'!IN15:IQ15,"A"))*4)+((COUNTIF('Elève (4ème2)'!IN15:IQ15,"B"))*3)+((COUNTIF('Elève (4ème2)'!IN15:IQ15,"C"))*2)+((COUNTIF('Elève (4ème2)'!IN15:IQ15,"D"))*1))/(COUNTA(IN15:IQ15)),"")</f>
        <v/>
      </c>
      <c r="IS15" s="185" t="str">
        <f t="shared" si="49"/>
        <v/>
      </c>
      <c r="IT15" s="130" t="s">
        <v>29</v>
      </c>
      <c r="IU15" s="219"/>
      <c r="IV15" s="219"/>
      <c r="IW15" s="131" t="s">
        <v>29</v>
      </c>
      <c r="IX15" s="136"/>
      <c r="IY15" s="184">
        <f>IFERROR((((COUNTIF('Elève (4ème2)'!IT15:IX15,"A"))*4)+((COUNTIF('Elève (4ème2)'!IT15:IX15,"B"))*3)+((COUNTIF('Elève (4ème2)'!IT15:IX15,"C"))*2)+((COUNTIF('Elève (4ème2)'!IT15:IX15,"D"))*1))/(COUNTA(IT15:IX15)),"")</f>
        <v>4</v>
      </c>
      <c r="IZ15" s="185" t="str">
        <f t="shared" si="50"/>
        <v>A</v>
      </c>
      <c r="JA15" s="209">
        <f>IF(COUNT(IL15,IR15,IY15)=0,"",SUM(IL15,IR15,IY15)/COUNT(IL15,IR15,IY15))</f>
        <v>3.5</v>
      </c>
      <c r="JB15" s="207" t="str">
        <f t="shared" si="51"/>
        <v>B</v>
      </c>
      <c r="JC15" s="130" t="s">
        <v>30</v>
      </c>
      <c r="JD15" s="131"/>
      <c r="JE15" s="132"/>
      <c r="JF15" s="184">
        <f>IFERROR((((COUNTIF('Elève (4ème2)'!JC15:JE15,"A"))*4)+((COUNTIF('Elève (4ème2)'!JC15:JE15,"B"))*3)+((COUNTIF('Elève (4ème2)'!JC15:JE15,"C"))*2)+((COUNTIF('Elève (4ème2)'!JC15:JE15,"D"))*1))/(COUNTA(JC15:JE15)),"")</f>
        <v>3</v>
      </c>
      <c r="JG15" s="185" t="str">
        <f t="shared" si="52"/>
        <v>B</v>
      </c>
      <c r="JH15" s="130"/>
      <c r="JI15" s="131"/>
      <c r="JJ15" s="132"/>
      <c r="JK15" s="132"/>
      <c r="JL15" s="184" t="str">
        <f>IFERROR((((COUNTIF('Elève (4ème2)'!JH15:JK15,"A"))*4)+((COUNTIF('Elève (4ème2)'!JH15:JK15,"B"))*3)+((COUNTIF('Elève (4ème2)'!JH15:JK15,"C"))*2)+((COUNTIF('Elève (4ème2)'!JH15:JK15,"D"))*1))/(COUNTA(JH15:JK15)),"")</f>
        <v/>
      </c>
      <c r="JM15" s="185" t="str">
        <f t="shared" si="53"/>
        <v/>
      </c>
      <c r="JN15" s="130" t="s">
        <v>29</v>
      </c>
      <c r="JO15" s="219"/>
      <c r="JP15" s="219"/>
      <c r="JQ15" s="131" t="s">
        <v>29</v>
      </c>
      <c r="JR15" s="136"/>
      <c r="JS15" s="184">
        <f>IFERROR((((COUNTIF('Elève (4ème2)'!JN15:JR15,"A"))*4)+((COUNTIF('Elève (4ème2)'!JN15:JR15,"B"))*3)+((COUNTIF('Elève (4ème2)'!JN15:JR15,"C"))*2)+((COUNTIF('Elève (4ème2)'!JN15:JR15,"D"))*1))/(COUNTA(JN15:JR15)),"")</f>
        <v>4</v>
      </c>
      <c r="JT15" s="185" t="str">
        <f t="shared" si="54"/>
        <v>A</v>
      </c>
      <c r="JU15" s="209">
        <f>IF(COUNT(JF15,JL15,JS15)=0,"",SUM(JF15,JL15,JS15)/COUNT(JF15,JL15,JS15))</f>
        <v>3.5</v>
      </c>
      <c r="JV15" s="207" t="str">
        <f t="shared" si="55"/>
        <v>B</v>
      </c>
      <c r="JW15" s="130" t="s">
        <v>31</v>
      </c>
      <c r="JX15" s="131"/>
      <c r="JY15" s="132"/>
      <c r="JZ15" s="184">
        <f>IFERROR((((COUNTIF('Elève (4ème2)'!JW15:JY15,"A"))*4)+((COUNTIF('Elève (4ème2)'!JW15:JY15,"B"))*3)+((COUNTIF('Elève (4ème2)'!JW15:JY15,"C"))*2)+((COUNTIF('Elève (4ème2)'!JW15:JY15,"D"))*1))/(COUNTA(JW15:JY15)),"")</f>
        <v>2</v>
      </c>
      <c r="KA15" s="185" t="str">
        <f t="shared" si="56"/>
        <v>C</v>
      </c>
      <c r="KB15" s="130"/>
      <c r="KC15" s="131"/>
      <c r="KD15" s="132"/>
      <c r="KE15" s="132"/>
      <c r="KF15" s="184" t="str">
        <f>IFERROR((((COUNTIF('Elève (4ème2)'!KB15:KE15,"A"))*4)+((COUNTIF('Elève (4ème2)'!KB15:KE15,"B"))*3)+((COUNTIF('Elève (4ème2)'!KB15:KE15,"C"))*2)+((COUNTIF('Elève (4ème2)'!KB15:KE15,"D"))*1))/(COUNTA(KB15:KE15)),"")</f>
        <v/>
      </c>
      <c r="KG15" s="185" t="str">
        <f t="shared" si="57"/>
        <v/>
      </c>
      <c r="KH15" s="130" t="s">
        <v>30</v>
      </c>
      <c r="KI15" s="219"/>
      <c r="KJ15" s="219"/>
      <c r="KK15" s="131" t="s">
        <v>29</v>
      </c>
      <c r="KL15" s="136"/>
      <c r="KM15" s="184">
        <f>IFERROR((((COUNTIF('Elève (4ème2)'!KH15:KL15,"A"))*4)+((COUNTIF('Elève (4ème2)'!KH15:KL15,"B"))*3)+((COUNTIF('Elève (4ème2)'!KH15:KL15,"C"))*2)+((COUNTIF('Elève (4ème2)'!KH15:KL15,"D"))*1))/(COUNTA(KH15:KL15)),"")</f>
        <v>3.5</v>
      </c>
      <c r="KN15" s="185" t="str">
        <f t="shared" si="58"/>
        <v>B</v>
      </c>
      <c r="KO15" s="209">
        <f>IF(COUNT(JZ15,KF15,KM15)=0,"",SUM(JZ15,KF15,KM15)/COUNT(JZ15,KF15,KM15))</f>
        <v>2.75</v>
      </c>
      <c r="KP15" s="207" t="str">
        <f t="shared" si="59"/>
        <v>C</v>
      </c>
      <c r="KQ15" s="130" t="s">
        <v>32</v>
      </c>
      <c r="KR15" s="131"/>
      <c r="KS15" s="132"/>
      <c r="KT15" s="184">
        <f>IFERROR((((COUNTIF('Elève (4ème2)'!KQ15:KS15,"A"))*4)+((COUNTIF('Elève (4ème2)'!KQ15:KS15,"B"))*3)+((COUNTIF('Elève (4ème2)'!KQ15:KS15,"C"))*2)+((COUNTIF('Elève (4ème2)'!KQ15:KS15,"D"))*1))/(COUNTA(KQ15:KS15)),"")</f>
        <v>1</v>
      </c>
      <c r="KU15" s="185" t="str">
        <f t="shared" si="60"/>
        <v>D</v>
      </c>
      <c r="KV15" s="130"/>
      <c r="KW15" s="131"/>
      <c r="KX15" s="132"/>
      <c r="KY15" s="132"/>
      <c r="KZ15" s="184" t="str">
        <f>IFERROR((((COUNTIF('Elève (4ème2)'!KV15:KY15,"A"))*4)+((COUNTIF('Elève (4ème2)'!KV15:KY15,"B"))*3)+((COUNTIF('Elève (4ème2)'!KV15:KY15,"C"))*2)+((COUNTIF('Elève (4ème2)'!KV15:KY15,"D"))*1))/(COUNTA(KV15:KY15)),"")</f>
        <v/>
      </c>
      <c r="LA15" s="185" t="str">
        <f t="shared" si="61"/>
        <v/>
      </c>
      <c r="LB15" s="130" t="s">
        <v>29</v>
      </c>
      <c r="LC15" s="219"/>
      <c r="LD15" s="219"/>
      <c r="LE15" s="131" t="s">
        <v>29</v>
      </c>
      <c r="LF15" s="136"/>
      <c r="LG15" s="184">
        <f>IFERROR((((COUNTIF('Elève (4ème2)'!LB15:LF15,"A"))*4)+((COUNTIF('Elève (4ème2)'!LB15:LF15,"B"))*3)+((COUNTIF('Elève (4ème2)'!LB15:LF15,"C"))*2)+((COUNTIF('Elève (4ème2)'!LB15:LF15,"D"))*1))/(COUNTA(LB15:LF15)),"")</f>
        <v>4</v>
      </c>
      <c r="LH15" s="185" t="str">
        <f t="shared" si="62"/>
        <v>A</v>
      </c>
      <c r="LI15" s="209">
        <f>IF(COUNT(KT15,KZ15,LG15)=0,"",SUM(KT15,KZ15,LG15)/COUNT(KT15,KZ15,LG15))</f>
        <v>2.5</v>
      </c>
      <c r="LJ15" s="207" t="str">
        <f t="shared" si="63"/>
        <v>C</v>
      </c>
      <c r="LK15" s="130" t="s">
        <v>31</v>
      </c>
      <c r="LL15" s="131"/>
      <c r="LM15" s="132"/>
      <c r="LN15" s="184">
        <f>IFERROR((((COUNTIF('Elève (4ème2)'!LK15:LM15,"A"))*4)+((COUNTIF('Elève (4ème2)'!LK15:LM15,"B"))*3)+((COUNTIF('Elève (4ème2)'!LK15:LM15,"C"))*2)+((COUNTIF('Elève (4ème2)'!LK15:LM15,"D"))*1))/(COUNTA(LK15:LM15)),"")</f>
        <v>2</v>
      </c>
      <c r="LO15" s="185" t="str">
        <f t="shared" si="64"/>
        <v>C</v>
      </c>
      <c r="LP15" s="130"/>
      <c r="LQ15" s="131"/>
      <c r="LR15" s="132"/>
      <c r="LS15" s="132"/>
      <c r="LT15" s="184" t="str">
        <f>IFERROR((((COUNTIF('Elève (4ème2)'!LP15:LS15,"A"))*4)+((COUNTIF('Elève (4ème2)'!LP15:LS15,"B"))*3)+((COUNTIF('Elève (4ème2)'!LP15:LS15,"C"))*2)+((COUNTIF('Elève (4ème2)'!LP15:LS15,"D"))*1))/(COUNTA(LP15:LS15)),"")</f>
        <v/>
      </c>
      <c r="LU15" s="185" t="str">
        <f t="shared" si="65"/>
        <v/>
      </c>
      <c r="LV15" s="130" t="s">
        <v>29</v>
      </c>
      <c r="LW15" s="219"/>
      <c r="LX15" s="219"/>
      <c r="LY15" s="131" t="s">
        <v>29</v>
      </c>
      <c r="LZ15" s="136"/>
      <c r="MA15" s="184">
        <f>IFERROR((((COUNTIF('Elève (4ème2)'!LV15:LZ15,"A"))*4)+((COUNTIF('Elève (4ème2)'!LV15:LZ15,"B"))*3)+((COUNTIF('Elève (4ème2)'!LV15:LZ15,"C"))*2)+((COUNTIF('Elève (4ème2)'!LV15:LZ15,"D"))*1))/(COUNTA(LV15:LZ15)),"")</f>
        <v>4</v>
      </c>
      <c r="MB15" s="185" t="str">
        <f t="shared" si="66"/>
        <v>A</v>
      </c>
      <c r="MC15" s="209">
        <f>IF(COUNT(LN15,LT15,MA15)=0,"",SUM(LN15,LT15,MA15)/COUNT(LN15,LT15,MA15))</f>
        <v>3</v>
      </c>
      <c r="MD15" s="207" t="str">
        <f t="shared" si="67"/>
        <v>B</v>
      </c>
      <c r="ME15" s="130" t="s">
        <v>31</v>
      </c>
      <c r="MF15" s="131"/>
      <c r="MG15" s="132"/>
      <c r="MH15" s="184">
        <f>IFERROR((((COUNTIF('Elève (4ème2)'!ME15:MG15,"A"))*4)+((COUNTIF('Elève (4ème2)'!ME15:MG15,"B"))*3)+((COUNTIF('Elève (4ème2)'!ME15:MG15,"C"))*2)+((COUNTIF('Elève (4ème2)'!ME15:MG15,"D"))*1))/(COUNTA(ME15:MG15)),"")</f>
        <v>2</v>
      </c>
      <c r="MI15" s="185" t="str">
        <f t="shared" si="68"/>
        <v>C</v>
      </c>
      <c r="MJ15" s="130"/>
      <c r="MK15" s="131"/>
      <c r="ML15" s="132"/>
      <c r="MM15" s="132"/>
      <c r="MN15" s="184" t="str">
        <f>IFERROR((((COUNTIF('Elève (4ème2)'!MJ15:MM15,"A"))*4)+((COUNTIF('Elève (4ème2)'!MJ15:MM15,"B"))*3)+((COUNTIF('Elève (4ème2)'!MJ15:MM15,"C"))*2)+((COUNTIF('Elève (4ème2)'!MJ15:MM15,"D"))*1))/(COUNTA(MJ15:MM15)),"")</f>
        <v/>
      </c>
      <c r="MO15" s="185" t="str">
        <f t="shared" si="69"/>
        <v/>
      </c>
      <c r="MP15" s="130" t="s">
        <v>29</v>
      </c>
      <c r="MQ15" s="219"/>
      <c r="MR15" s="219"/>
      <c r="MS15" s="131" t="s">
        <v>29</v>
      </c>
      <c r="MT15" s="136"/>
      <c r="MU15" s="184">
        <f>IFERROR((((COUNTIF('Elève (4ème2)'!MP15:MT15,"A"))*4)+((COUNTIF('Elève (4ème2)'!MP15:MT15,"B"))*3)+((COUNTIF('Elève (4ème2)'!MP15:MT15,"C"))*2)+((COUNTIF('Elève (4ème2)'!MP15:MT15,"D"))*1))/(COUNTA(MP15:MT15)),"")</f>
        <v>4</v>
      </c>
      <c r="MV15" s="185" t="str">
        <f t="shared" si="70"/>
        <v>A</v>
      </c>
      <c r="MW15" s="209">
        <f>IF(COUNT(MH15,MN15,MU15)=0,"",SUM(MH15,MN15,MU15)/COUNT(MH15,MN15,MU15))</f>
        <v>3</v>
      </c>
      <c r="MX15" s="207" t="str">
        <f t="shared" si="71"/>
        <v>B</v>
      </c>
      <c r="MY15" s="130" t="s">
        <v>30</v>
      </c>
      <c r="MZ15" s="131"/>
      <c r="NA15" s="132"/>
      <c r="NB15" s="184">
        <f>IFERROR((((COUNTIF('Elève (4ème2)'!MY15:NA15,"A"))*4)+((COUNTIF('Elève (4ème2)'!MY15:NA15,"B"))*3)+((COUNTIF('Elève (4ème2)'!MY15:NA15,"C"))*2)+((COUNTIF('Elève (4ème2)'!MY15:NA15,"D"))*1))/(COUNTA(MY15:NA15)),"")</f>
        <v>3</v>
      </c>
      <c r="NC15" s="185" t="str">
        <f t="shared" si="72"/>
        <v>B</v>
      </c>
      <c r="ND15" s="130"/>
      <c r="NE15" s="131"/>
      <c r="NF15" s="132"/>
      <c r="NG15" s="132"/>
      <c r="NH15" s="184" t="str">
        <f>IFERROR((((COUNTIF('Elève (4ème2)'!ND15:NG15,"A"))*4)+((COUNTIF('Elève (4ème2)'!ND15:NG15,"B"))*3)+((COUNTIF('Elève (4ème2)'!ND15:NG15,"C"))*2)+((COUNTIF('Elève (4ème2)'!ND15:NG15,"D"))*1))/(COUNTA(ND15:NG15)),"")</f>
        <v/>
      </c>
      <c r="NI15" s="185" t="str">
        <f t="shared" si="73"/>
        <v/>
      </c>
      <c r="NJ15" s="130" t="s">
        <v>30</v>
      </c>
      <c r="NK15" s="219"/>
      <c r="NL15" s="219"/>
      <c r="NM15" s="131" t="s">
        <v>29</v>
      </c>
      <c r="NN15" s="136"/>
      <c r="NO15" s="184">
        <f>IFERROR((((COUNTIF('Elève (4ème2)'!NJ15:NN15,"A"))*4)+((COUNTIF('Elève (4ème2)'!NJ15:NN15,"B"))*3)+((COUNTIF('Elève (4ème2)'!NJ15:NN15,"C"))*2)+((COUNTIF('Elève (4ème2)'!NJ15:NN15,"D"))*1))/(COUNTA(NJ15:NN15)),"")</f>
        <v>3.5</v>
      </c>
      <c r="NP15" s="185" t="str">
        <f t="shared" si="74"/>
        <v>B</v>
      </c>
      <c r="NQ15" s="209">
        <f>IF(COUNT(NB15,NH15,NO15)=0,"",SUM(NB15,NH15,NO15)/COUNT(NB15,NH15,NO15))</f>
        <v>3.25</v>
      </c>
      <c r="NR15" s="207" t="str">
        <f t="shared" si="75"/>
        <v>B</v>
      </c>
      <c r="NS15" s="130" t="s">
        <v>30</v>
      </c>
      <c r="NT15" s="131"/>
      <c r="NU15" s="132"/>
      <c r="NV15" s="184">
        <f>IFERROR((((COUNTIF('Elève (4ème2)'!NS15:NU15,"A"))*4)+((COUNTIF('Elève (4ème2)'!NS15:NU15,"B"))*3)+((COUNTIF('Elève (4ème2)'!NS15:NU15,"C"))*2)+((COUNTIF('Elève (4ème2)'!NS15:NU15,"D"))*1))/(COUNTA(NS15:NU15)),"")</f>
        <v>3</v>
      </c>
      <c r="NW15" s="185" t="str">
        <f t="shared" si="76"/>
        <v>B</v>
      </c>
      <c r="NX15" s="130"/>
      <c r="NY15" s="131"/>
      <c r="NZ15" s="132"/>
      <c r="OA15" s="132"/>
      <c r="OB15" s="184" t="str">
        <f>IFERROR((((COUNTIF('Elève (4ème2)'!NX15:OA15,"A"))*4)+((COUNTIF('Elève (4ème2)'!NX15:OA15,"B"))*3)+((COUNTIF('Elève (4ème2)'!NX15:OA15,"C"))*2)+((COUNTIF('Elève (4ème2)'!NX15:OA15,"D"))*1))/(COUNTA(NX15:OA15)),"")</f>
        <v/>
      </c>
      <c r="OC15" s="185" t="str">
        <f t="shared" si="77"/>
        <v/>
      </c>
      <c r="OD15" s="130" t="s">
        <v>29</v>
      </c>
      <c r="OE15" s="219"/>
      <c r="OF15" s="219"/>
      <c r="OG15" s="131" t="s">
        <v>29</v>
      </c>
      <c r="OH15" s="136"/>
      <c r="OI15" s="184">
        <f>IFERROR((((COUNTIF('Elève (4ème2)'!OD15:OH15,"A"))*4)+((COUNTIF('Elève (4ème2)'!OD15:OH15,"B"))*3)+((COUNTIF('Elève (4ème2)'!OD15:OH15,"C"))*2)+((COUNTIF('Elève (4ème2)'!OD15:OH15,"D"))*1))/(COUNTA(OD15:OH15)),"")</f>
        <v>4</v>
      </c>
      <c r="OJ15" s="185" t="str">
        <f t="shared" si="78"/>
        <v>A</v>
      </c>
      <c r="OK15" s="209">
        <f>IF(COUNT(NV15,OB15,OI15)=0,"",SUM(NV15,OB15,OI15)/COUNT(NV15,OB15,OI15))</f>
        <v>3.5</v>
      </c>
      <c r="OL15" s="207" t="str">
        <f t="shared" si="79"/>
        <v>B</v>
      </c>
      <c r="OM15" s="130" t="s">
        <v>32</v>
      </c>
      <c r="ON15" s="131"/>
      <c r="OO15" s="132"/>
      <c r="OP15" s="184">
        <f>IFERROR((((COUNTIF('Elève (4ème2)'!OM15:OO15,"A"))*4)+((COUNTIF('Elève (4ème2)'!OM15:OO15,"B"))*3)+((COUNTIF('Elève (4ème2)'!OM15:OO15,"C"))*2)+((COUNTIF('Elève (4ème2)'!OM15:OO15,"D"))*1))/(COUNTA(OM15:OO15)),"")</f>
        <v>1</v>
      </c>
      <c r="OQ15" s="185" t="str">
        <f t="shared" si="80"/>
        <v>D</v>
      </c>
      <c r="OR15" s="130"/>
      <c r="OS15" s="131"/>
      <c r="OT15" s="132"/>
      <c r="OU15" s="132"/>
      <c r="OV15" s="184" t="str">
        <f>IFERROR((((COUNTIF('Elève (4ème2)'!OR15:OU15,"A"))*4)+((COUNTIF('Elève (4ème2)'!OR15:OU15,"B"))*3)+((COUNTIF('Elève (4ème2)'!OR15:OU15,"C"))*2)+((COUNTIF('Elève (4ème2)'!OR15:OU15,"D"))*1))/(COUNTA(OR15:OU15)),"")</f>
        <v/>
      </c>
      <c r="OW15" s="185" t="str">
        <f t="shared" si="81"/>
        <v/>
      </c>
      <c r="OX15" s="130" t="s">
        <v>29</v>
      </c>
      <c r="OY15" s="219"/>
      <c r="OZ15" s="219"/>
      <c r="PA15" s="131" t="s">
        <v>29</v>
      </c>
      <c r="PB15" s="136"/>
      <c r="PC15" s="184">
        <f>IFERROR((((COUNTIF('Elève (4ème2)'!OX15:PB15,"A"))*4)+((COUNTIF('Elève (4ème2)'!OX15:PB15,"B"))*3)+((COUNTIF('Elève (4ème2)'!OX15:PB15,"C"))*2)+((COUNTIF('Elève (4ème2)'!OX15:PB15,"D"))*1))/(COUNTA(OX15:PB15)),"")</f>
        <v>4</v>
      </c>
      <c r="PD15" s="185" t="str">
        <f t="shared" si="82"/>
        <v>A</v>
      </c>
      <c r="PE15" s="209">
        <f>IF(COUNT(OP15,OV15,PC15)=0,"",SUM(OP15,OV15,PC15)/COUNT(OP15,OV15,PC15))</f>
        <v>2.5</v>
      </c>
      <c r="PF15" s="207" t="str">
        <f t="shared" si="83"/>
        <v>C</v>
      </c>
      <c r="PG15" s="130" t="s">
        <v>32</v>
      </c>
      <c r="PH15" s="131"/>
      <c r="PI15" s="132"/>
      <c r="PJ15" s="184">
        <f>IFERROR((((COUNTIF('Elève (4ème2)'!PG15:PI15,"A"))*4)+((COUNTIF('Elève (4ème2)'!PG15:PI15,"B"))*3)+((COUNTIF('Elève (4ème2)'!PG15:PI15,"C"))*2)+((COUNTIF('Elève (4ème2)'!PG15:PI15,"D"))*1))/(COUNTA(PG15:PI15)),"")</f>
        <v>1</v>
      </c>
      <c r="PK15" s="185" t="str">
        <f t="shared" si="84"/>
        <v>D</v>
      </c>
      <c r="PL15" s="130"/>
      <c r="PM15" s="131"/>
      <c r="PN15" s="132"/>
      <c r="PO15" s="132"/>
      <c r="PP15" s="184" t="str">
        <f>IFERROR((((COUNTIF('Elève (4ème2)'!PL15:PO15,"A"))*4)+((COUNTIF('Elève (4ème2)'!PL15:PO15,"B"))*3)+((COUNTIF('Elève (4ème2)'!PL15:PO15,"C"))*2)+((COUNTIF('Elève (4ème2)'!PL15:PO15,"D"))*1))/(COUNTA(PL15:PO15)),"")</f>
        <v/>
      </c>
      <c r="PQ15" s="185" t="str">
        <f t="shared" si="85"/>
        <v/>
      </c>
      <c r="PR15" s="130" t="s">
        <v>30</v>
      </c>
      <c r="PS15" s="219"/>
      <c r="PT15" s="219"/>
      <c r="PU15" s="131" t="s">
        <v>29</v>
      </c>
      <c r="PV15" s="136"/>
      <c r="PW15" s="184">
        <f>IFERROR((((COUNTIF('Elève (4ème2)'!PR15:PV15,"A"))*4)+((COUNTIF('Elève (4ème2)'!PR15:PV15,"B"))*3)+((COUNTIF('Elève (4ème2)'!PR15:PV15,"C"))*2)+((COUNTIF('Elève (4ème2)'!PR15:PV15,"D"))*1))/(COUNTA(PR15:PV15)),"")</f>
        <v>3.5</v>
      </c>
      <c r="PX15" s="185" t="str">
        <f t="shared" si="86"/>
        <v>B</v>
      </c>
      <c r="PY15" s="209">
        <f>IF(COUNT(PJ15,PP15,PW15)=0,"",SUM(PJ15,PP15,PW15)/COUNT(PJ15,PP15,PW15))</f>
        <v>2.25</v>
      </c>
      <c r="PZ15" s="207" t="str">
        <f t="shared" si="87"/>
        <v>C</v>
      </c>
      <c r="QA15" s="130" t="s">
        <v>30</v>
      </c>
      <c r="QB15" s="131"/>
      <c r="QC15" s="132"/>
      <c r="QD15" s="184">
        <f>IFERROR((((COUNTIF('Elève (4ème2)'!QA15:QC15,"A"))*4)+((COUNTIF('Elève (4ème2)'!QA15:QC15,"B"))*3)+((COUNTIF('Elève (4ème2)'!QA15:QC15,"C"))*2)+((COUNTIF('Elève (4ème2)'!QA15:QC15,"D"))*1))/(COUNTA(QA15:QC15)),"")</f>
        <v>3</v>
      </c>
      <c r="QE15" s="185" t="str">
        <f t="shared" si="88"/>
        <v>B</v>
      </c>
      <c r="QF15" s="130"/>
      <c r="QG15" s="131"/>
      <c r="QH15" s="132"/>
      <c r="QI15" s="132"/>
      <c r="QJ15" s="184" t="str">
        <f>IFERROR((((COUNTIF('Elève (4ème2)'!QF15:QI15,"A"))*4)+((COUNTIF('Elève (4ème2)'!QF15:QI15,"B"))*3)+((COUNTIF('Elève (4ème2)'!QF15:QI15,"C"))*2)+((COUNTIF('Elève (4ème2)'!QF15:QI15,"D"))*1))/(COUNTA(QF15:QI15)),"")</f>
        <v/>
      </c>
      <c r="QK15" s="185" t="str">
        <f t="shared" si="89"/>
        <v/>
      </c>
      <c r="QL15" s="130" t="s">
        <v>30</v>
      </c>
      <c r="QM15" s="219"/>
      <c r="QN15" s="219"/>
      <c r="QO15" s="131" t="s">
        <v>29</v>
      </c>
      <c r="QP15" s="136"/>
      <c r="QQ15" s="184">
        <f>IFERROR((((COUNTIF('Elève (4ème2)'!QL15:QP15,"A"))*4)+((COUNTIF('Elève (4ème2)'!QL15:QP15,"B"))*3)+((COUNTIF('Elève (4ème2)'!QL15:QP15,"C"))*2)+((COUNTIF('Elève (4ème2)'!QL15:QP15,"D"))*1))/(COUNTA(QL15:QP15)),"")</f>
        <v>3.5</v>
      </c>
      <c r="QR15" s="185" t="str">
        <f t="shared" si="90"/>
        <v>B</v>
      </c>
      <c r="QS15" s="209">
        <f>IF(COUNT(QD15,QJ15,QQ15)=0,"",SUM(QD15,QJ15,QQ15)/COUNT(QD15,QJ15,QQ15))</f>
        <v>3.25</v>
      </c>
      <c r="QT15" s="207" t="str">
        <f t="shared" si="91"/>
        <v>B</v>
      </c>
      <c r="QU15" s="130" t="s">
        <v>31</v>
      </c>
      <c r="QV15" s="131"/>
      <c r="QW15" s="132"/>
      <c r="QX15" s="184">
        <f>IFERROR((((COUNTIF('Elève (4ème2)'!QU15:QW15,"A"))*4)+((COUNTIF('Elève (4ème2)'!QU15:QW15,"B"))*3)+((COUNTIF('Elève (4ème2)'!QU15:QW15,"C"))*2)+((COUNTIF('Elève (4ème2)'!QU15:QW15,"D"))*1))/(COUNTA(QU15:QW15)),"")</f>
        <v>2</v>
      </c>
      <c r="QY15" s="185" t="str">
        <f t="shared" si="92"/>
        <v>C</v>
      </c>
      <c r="QZ15" s="130"/>
      <c r="RA15" s="131"/>
      <c r="RB15" s="132"/>
      <c r="RC15" s="132"/>
      <c r="RD15" s="184" t="str">
        <f>IFERROR((((COUNTIF('Elève (4ème2)'!QZ15:RC15,"A"))*4)+((COUNTIF('Elève (4ème2)'!QZ15:RC15,"B"))*3)+((COUNTIF('Elève (4ème2)'!QZ15:RC15,"C"))*2)+((COUNTIF('Elève (4ème2)'!QZ15:RC15,"D"))*1))/(COUNTA(QZ15:RC15)),"")</f>
        <v/>
      </c>
      <c r="RE15" s="185" t="str">
        <f t="shared" si="93"/>
        <v/>
      </c>
      <c r="RF15" s="130" t="s">
        <v>29</v>
      </c>
      <c r="RG15" s="219"/>
      <c r="RH15" s="219"/>
      <c r="RI15" s="131" t="s">
        <v>29</v>
      </c>
      <c r="RJ15" s="136"/>
      <c r="RK15" s="184">
        <f>IFERROR((((COUNTIF('Elève (4ème2)'!RF15:RJ15,"A"))*4)+((COUNTIF('Elève (4ème2)'!RF15:RJ15,"B"))*3)+((COUNTIF('Elève (4ème2)'!RF15:RJ15,"C"))*2)+((COUNTIF('Elève (4ème2)'!RF15:RJ15,"D"))*1))/(COUNTA(RF15:RJ15)),"")</f>
        <v>4</v>
      </c>
      <c r="RL15" s="185" t="str">
        <f t="shared" si="94"/>
        <v>A</v>
      </c>
      <c r="RM15" s="209">
        <f>IF(COUNT(QX15,RD15,RK15)=0,"",SUM(QX15,RD15,RK15)/COUNT(QX15,RD15,RK15))</f>
        <v>3</v>
      </c>
      <c r="RN15" s="207" t="str">
        <f t="shared" si="95"/>
        <v>B</v>
      </c>
      <c r="RO15" s="130" t="s">
        <v>32</v>
      </c>
      <c r="RP15" s="131"/>
      <c r="RQ15" s="132"/>
      <c r="RR15" s="184">
        <f>IFERROR((((COUNTIF('Elève (4ème2)'!RO15:RQ15,"A"))*4)+((COUNTIF('Elève (4ème2)'!RO15:RQ15,"B"))*3)+((COUNTIF('Elève (4ème2)'!RO15:RQ15,"C"))*2)+((COUNTIF('Elève (4ème2)'!RO15:RQ15,"D"))*1))/(COUNTA(RO15:RQ15)),"")</f>
        <v>1</v>
      </c>
      <c r="RS15" s="185" t="str">
        <f t="shared" si="96"/>
        <v>D</v>
      </c>
      <c r="RT15" s="130"/>
      <c r="RU15" s="131"/>
      <c r="RV15" s="132"/>
      <c r="RW15" s="132"/>
      <c r="RX15" s="184" t="str">
        <f>IFERROR((((COUNTIF('Elève (4ème2)'!RT15:RW15,"A"))*4)+((COUNTIF('Elève (4ème2)'!RT15:RW15,"B"))*3)+((COUNTIF('Elève (4ème2)'!RT15:RW15,"C"))*2)+((COUNTIF('Elève (4ème2)'!RT15:RW15,"D"))*1))/(COUNTA(RT15:RW15)),"")</f>
        <v/>
      </c>
      <c r="RY15" s="185" t="str">
        <f t="shared" si="97"/>
        <v/>
      </c>
      <c r="RZ15" s="130" t="s">
        <v>29</v>
      </c>
      <c r="SA15" s="219"/>
      <c r="SB15" s="219"/>
      <c r="SC15" s="131" t="s">
        <v>29</v>
      </c>
      <c r="SD15" s="136"/>
      <c r="SE15" s="184">
        <f>IFERROR((((COUNTIF('Elève (4ème2)'!RZ15:SD15,"A"))*4)+((COUNTIF('Elève (4ème2)'!RZ15:SD15,"B"))*3)+((COUNTIF('Elève (4ème2)'!RZ15:SD15,"C"))*2)+((COUNTIF('Elève (4ème2)'!RZ15:SD15,"D"))*1))/(COUNTA(RZ15:SD15)),"")</f>
        <v>4</v>
      </c>
      <c r="SF15" s="185" t="str">
        <f t="shared" si="98"/>
        <v>A</v>
      </c>
      <c r="SG15" s="209">
        <f>IF(COUNT(RR15,RX15,SE15)=0,"",SUM(RR15,RX15,SE15)/COUNT(RR15,RX15,SE15))</f>
        <v>2.5</v>
      </c>
      <c r="SH15" s="207" t="str">
        <f t="shared" si="99"/>
        <v>C</v>
      </c>
      <c r="SI15" s="130" t="s">
        <v>30</v>
      </c>
      <c r="SJ15" s="131"/>
      <c r="SK15" s="132"/>
      <c r="SL15" s="184">
        <f>IFERROR((((COUNTIF('Elève (4ème2)'!SI15:SK15,"A"))*4)+((COUNTIF('Elève (4ème2)'!SI15:SK15,"B"))*3)+((COUNTIF('Elève (4ème2)'!SI15:SK15,"C"))*2)+((COUNTIF('Elève (4ème2)'!SI15:SK15,"D"))*1))/(COUNTA(SI15:SK15)),"")</f>
        <v>3</v>
      </c>
      <c r="SM15" s="185" t="str">
        <f t="shared" si="100"/>
        <v>B</v>
      </c>
      <c r="SN15" s="130"/>
      <c r="SO15" s="131"/>
      <c r="SP15" s="132"/>
      <c r="SQ15" s="132"/>
      <c r="SR15" s="184" t="str">
        <f>IFERROR((((COUNTIF('Elève (4ème2)'!SN15:SQ15,"A"))*4)+((COUNTIF('Elève (4ème2)'!SN15:SQ15,"B"))*3)+((COUNTIF('Elève (4ème2)'!SN15:SQ15,"C"))*2)+((COUNTIF('Elève (4ème2)'!SN15:SQ15,"D"))*1))/(COUNTA(SN15:SQ15)),"")</f>
        <v/>
      </c>
      <c r="SS15" s="185" t="str">
        <f t="shared" si="101"/>
        <v/>
      </c>
      <c r="ST15" s="130" t="s">
        <v>29</v>
      </c>
      <c r="SU15" s="219"/>
      <c r="SV15" s="219"/>
      <c r="SW15" s="131"/>
      <c r="SX15" s="136"/>
      <c r="SY15" s="184">
        <f>IFERROR((((COUNTIF('Elève (4ème2)'!ST15:SX15,"A"))*4)+((COUNTIF('Elève (4ème2)'!ST15:SX15,"B"))*3)+((COUNTIF('Elève (4ème2)'!ST15:SX15,"C"))*2)+((COUNTIF('Elève (4ème2)'!ST15:SX15,"D"))*1))/(COUNTA(ST15:SX15)),"")</f>
        <v>4</v>
      </c>
      <c r="SZ15" s="185" t="str">
        <f t="shared" si="102"/>
        <v>A</v>
      </c>
      <c r="TA15" s="209">
        <f>IF(COUNT(SL15,SR15,SY15)=0,"",SUM(SL15,SR15,SY15)/COUNT(SL15,SR15,SY15))</f>
        <v>3.5</v>
      </c>
      <c r="TB15" s="207" t="str">
        <f t="shared" si="103"/>
        <v>B</v>
      </c>
      <c r="TC15" s="130" t="s">
        <v>30</v>
      </c>
      <c r="TD15" s="131"/>
      <c r="TE15" s="132"/>
      <c r="TF15" s="184">
        <f>IFERROR((((COUNTIF('Elève (4ème2)'!TC15:TE15,"A"))*4)+((COUNTIF('Elève (4ème2)'!TC15:TE15,"B"))*3)+((COUNTIF('Elève (4ème2)'!TC15:TE15,"C"))*2)+((COUNTIF('Elève (4ème2)'!TC15:TE15,"D"))*1))/(COUNTA(TC15:TE15)),"")</f>
        <v>3</v>
      </c>
      <c r="TG15" s="185" t="str">
        <f t="shared" si="104"/>
        <v>B</v>
      </c>
      <c r="TH15" s="130"/>
      <c r="TI15" s="131"/>
      <c r="TJ15" s="132"/>
      <c r="TK15" s="132"/>
      <c r="TL15" s="184" t="str">
        <f>IFERROR((((COUNTIF('Elève (4ème2)'!TH15:TK15,"A"))*4)+((COUNTIF('Elève (4ème2)'!TH15:TK15,"B"))*3)+((COUNTIF('Elève (4ème2)'!TH15:TK15,"C"))*2)+((COUNTIF('Elève (4ème2)'!TH15:TK15,"D"))*1))/(COUNTA(TH15:TK15)),"")</f>
        <v/>
      </c>
      <c r="TM15" s="185" t="str">
        <f t="shared" si="105"/>
        <v/>
      </c>
      <c r="TN15" s="130" t="s">
        <v>29</v>
      </c>
      <c r="TO15" s="219"/>
      <c r="TP15" s="219"/>
      <c r="TQ15" s="131" t="s">
        <v>29</v>
      </c>
      <c r="TR15" s="136"/>
      <c r="TS15" s="184">
        <f>IFERROR((((COUNTIF('Elève (4ème2)'!TN15:TR15,"A"))*4)+((COUNTIF('Elève (4ème2)'!TN15:TR15,"B"))*3)+((COUNTIF('Elève (4ème2)'!TN15:TR15,"C"))*2)+((COUNTIF('Elève (4ème2)'!TN15:TR15,"D"))*1))/(COUNTA(TN15:TR15)),"")</f>
        <v>4</v>
      </c>
      <c r="TT15" s="185" t="str">
        <f t="shared" si="106"/>
        <v>A</v>
      </c>
      <c r="TU15" s="209">
        <f>IF(COUNT(TF15,TL15,TS15)=0,"",SUM(TF15,TL15,TS15)/COUNT(TF15,TL15,TS15))</f>
        <v>3.5</v>
      </c>
      <c r="TV15" s="207" t="str">
        <f t="shared" si="107"/>
        <v>B</v>
      </c>
      <c r="TW15" s="130"/>
      <c r="TX15" s="131"/>
      <c r="TY15" s="132"/>
      <c r="TZ15" s="133" t="str">
        <f>IFERROR((((COUNTIF('Elève (4ème2)'!TW15:TY15,"A"))*4)+((COUNTIF('Elève (4ème2)'!TW15:TY15,"B"))*3)+((COUNTIF('Elève (4ème2)'!TW15:TY15,"C"))*2)+((COUNTIF('Elève (4ème2)'!TW15:TY15,"D"))*1))/(COUNTA(TW15:TY15)),"")</f>
        <v/>
      </c>
      <c r="UA15" s="134" t="str">
        <f t="shared" si="108"/>
        <v/>
      </c>
      <c r="UB15" s="130"/>
      <c r="UC15" s="131"/>
      <c r="UD15" s="132"/>
      <c r="UE15" s="133" t="str">
        <f>IFERROR((((COUNTIF('Elève (4ème2)'!UB15:UD15,"A"))*4)+((COUNTIF('Elève (4ème2)'!UB15:UD15,"B"))*3)+((COUNTIF('Elève (4ème2)'!UB15:UD15,"C"))*2)+((COUNTIF('Elève (4ème2)'!UB15:UD15,"D"))*1))/(COUNTA(UB15:UD15)),"")</f>
        <v/>
      </c>
      <c r="UF15" s="134" t="str">
        <f t="shared" si="109"/>
        <v/>
      </c>
      <c r="UG15" s="130"/>
      <c r="UH15" s="131"/>
      <c r="UI15" s="136"/>
      <c r="UJ15" s="133" t="str">
        <f>IFERROR((((COUNTIF('Elève (4ème2)'!UG15:UI15,"A"))*4)+((COUNTIF('Elève (4ème2)'!UG15:UI15,"B"))*3)+((COUNTIF('Elève (4ème2)'!UG15:UI15,"C"))*2)+((COUNTIF('Elève (4ème2)'!UG15:UI15,"D"))*1))/(COUNTA(UG15:UI15)),"")</f>
        <v/>
      </c>
      <c r="UK15" s="134" t="str">
        <f t="shared" si="110"/>
        <v/>
      </c>
      <c r="UL15" s="142" t="str">
        <f>IF(COUNT(TZ15,UE15,UJ15)=0,"",SUM(TZ15,UE15,UJ15)/COUNT(TZ15,UE15,UJ15))</f>
        <v/>
      </c>
      <c r="UM15" s="135" t="str">
        <f t="shared" si="111"/>
        <v/>
      </c>
      <c r="UN15" s="130"/>
      <c r="UO15" s="131"/>
      <c r="UP15" s="132"/>
      <c r="UQ15" s="133" t="str">
        <f>IFERROR((((COUNTIF('Elève (4ème2)'!UN15:UP15,"A"))*4)+((COUNTIF('Elève (4ème2)'!UN15:UP15,"B"))*3)+((COUNTIF('Elève (4ème2)'!UN15:UP15,"C"))*2)+((COUNTIF('Elève (4ème2)'!UN15:UP15,"D"))*1))/(COUNTA(UN15:UP15)),"")</f>
        <v/>
      </c>
      <c r="UR15" s="134" t="str">
        <f t="shared" si="112"/>
        <v/>
      </c>
      <c r="US15" s="130"/>
      <c r="UT15" s="131"/>
      <c r="UU15" s="132"/>
      <c r="UV15" s="133" t="str">
        <f>IFERROR((((COUNTIF('Elève (4ème2)'!US15:UU15,"A"))*4)+((COUNTIF('Elève (4ème2)'!US15:UU15,"B"))*3)+((COUNTIF('Elève (4ème2)'!US15:UU15,"C"))*2)+((COUNTIF('Elève (4ème2)'!US15:UU15,"D"))*1))/(COUNTA(US15:UU15)),"")</f>
        <v/>
      </c>
      <c r="UW15" s="134" t="str">
        <f t="shared" si="113"/>
        <v/>
      </c>
      <c r="UX15" s="130"/>
      <c r="UY15" s="131"/>
      <c r="UZ15" s="136"/>
      <c r="VA15" s="133" t="str">
        <f>IFERROR((((COUNTIF('Elève (4ème2)'!UX15:UZ15,"A"))*4)+((COUNTIF('Elève (4ème2)'!UX15:UZ15,"B"))*3)+((COUNTIF('Elève (4ème2)'!UX15:UZ15,"C"))*2)+((COUNTIF('Elève (4ème2)'!UX15:UZ15,"D"))*1))/(COUNTA(UX15:UZ15)),"")</f>
        <v/>
      </c>
      <c r="VB15" s="134" t="str">
        <f t="shared" si="114"/>
        <v/>
      </c>
      <c r="VC15" s="142" t="str">
        <f>IF(COUNT(UQ15,UV15,VA15)=0,"",SUM(UQ15,UV15,VA15)/COUNT(UQ15,UV15,VA15))</f>
        <v/>
      </c>
      <c r="VD15" s="135" t="str">
        <f t="shared" si="115"/>
        <v/>
      </c>
      <c r="VE15" s="130"/>
      <c r="VF15" s="131"/>
      <c r="VG15" s="132"/>
      <c r="VH15" s="133" t="str">
        <f>IFERROR((((COUNTIF('Elève (4ème2)'!VE15:VG15,"A"))*4)+((COUNTIF('Elève (4ème2)'!VE15:VG15,"B"))*3)+((COUNTIF('Elève (4ème2)'!VE15:VG15,"C"))*2)+((COUNTIF('Elève (4ème2)'!VE15:VG15,"D"))*1))/(COUNTA(VE15:VG15)),"")</f>
        <v/>
      </c>
      <c r="VI15" s="134" t="str">
        <f t="shared" si="116"/>
        <v/>
      </c>
      <c r="VJ15" s="130"/>
      <c r="VK15" s="131"/>
      <c r="VL15" s="132"/>
      <c r="VM15" s="133" t="str">
        <f>IFERROR((((COUNTIF('Elève (4ème2)'!VJ15:VL15,"A"))*4)+((COUNTIF('Elève (4ème2)'!VJ15:VL15,"B"))*3)+((COUNTIF('Elève (4ème2)'!VJ15:VL15,"C"))*2)+((COUNTIF('Elève (4ème2)'!VJ15:VL15,"D"))*1))/(COUNTA(VJ15:VL15)),"")</f>
        <v/>
      </c>
      <c r="VN15" s="134" t="str">
        <f t="shared" si="117"/>
        <v/>
      </c>
      <c r="VO15" s="130"/>
      <c r="VP15" s="131"/>
      <c r="VQ15" s="136"/>
      <c r="VR15" s="133" t="str">
        <f>IFERROR((((COUNTIF('Elève (4ème2)'!VO15:VQ15,"A"))*4)+((COUNTIF('Elève (4ème2)'!VO15:VQ15,"B"))*3)+((COUNTIF('Elève (4ème2)'!VO15:VQ15,"C"))*2)+((COUNTIF('Elève (4ème2)'!VO15:VQ15,"D"))*1))/(COUNTA(VO15:VQ15)),"")</f>
        <v/>
      </c>
      <c r="VS15" s="134" t="str">
        <f t="shared" si="118"/>
        <v/>
      </c>
      <c r="VT15" s="142" t="str">
        <f>IF(COUNT(VH15,VM15,VR15)=0,"",SUM(VH15,VM15,VR15)/COUNT(VH15,VM15,VR15))</f>
        <v/>
      </c>
      <c r="VU15" s="135" t="str">
        <f t="shared" si="119"/>
        <v/>
      </c>
    </row>
    <row r="16" spans="1:593" s="115" customFormat="1" ht="16.5" customHeight="1" thickBot="1" x14ac:dyDescent="0.6">
      <c r="A16" s="165" t="s">
        <v>22</v>
      </c>
      <c r="B16" s="140">
        <v>2</v>
      </c>
      <c r="C16" s="226"/>
      <c r="D16" s="85"/>
      <c r="E16" s="105"/>
      <c r="F16" s="178">
        <f>IF(COUNT(F17:F19)=0,"",SUM(F17:F19)/COUNT(F17:F19))</f>
        <v>2</v>
      </c>
      <c r="G16" s="179" t="str">
        <f t="shared" si="0"/>
        <v>C</v>
      </c>
      <c r="H16" s="226"/>
      <c r="I16" s="85"/>
      <c r="J16" s="85"/>
      <c r="K16" s="105"/>
      <c r="L16" s="178">
        <f>IF(COUNT(L17:L19)=0,"",SUM(L17:L19)/COUNT(L17:L19))</f>
        <v>1</v>
      </c>
      <c r="M16" s="194" t="str">
        <f t="shared" si="1"/>
        <v>D</v>
      </c>
      <c r="N16" s="172"/>
      <c r="O16" s="85"/>
      <c r="P16" s="85"/>
      <c r="Q16" s="85"/>
      <c r="R16" s="111"/>
      <c r="S16" s="178">
        <f>IF(COUNT(S17:S19)=0,"",SUM(S17:S19)/COUNT(S17:S19))</f>
        <v>2.5833333333333335</v>
      </c>
      <c r="T16" s="202" t="str">
        <f t="shared" si="2"/>
        <v>C</v>
      </c>
      <c r="U16" s="203">
        <f>IF(COUNT(U17:U19)=0,"",SUM(U17:U19)/COUNT(U17:U19))</f>
        <v>2.25</v>
      </c>
      <c r="V16" s="204" t="str">
        <f t="shared" si="3"/>
        <v>C</v>
      </c>
      <c r="W16" s="215"/>
      <c r="X16" s="85"/>
      <c r="Y16" s="105"/>
      <c r="Z16" s="178">
        <f>IF(COUNT(Z17:Z19)=0,"",SUM(Z17:Z19)/COUNT(Z17:Z19))</f>
        <v>2.5</v>
      </c>
      <c r="AA16" s="179" t="str">
        <f t="shared" si="4"/>
        <v>C</v>
      </c>
      <c r="AB16" s="226"/>
      <c r="AC16" s="85"/>
      <c r="AD16" s="85"/>
      <c r="AE16" s="105"/>
      <c r="AF16" s="178">
        <f>IF(COUNT(AF17:AF19)=0,"",SUM(AF17:AF19)/COUNT(AF17:AF19))</f>
        <v>2</v>
      </c>
      <c r="AG16" s="194" t="str">
        <f t="shared" si="5"/>
        <v>C</v>
      </c>
      <c r="AH16" s="172"/>
      <c r="AI16" s="110"/>
      <c r="AJ16" s="110"/>
      <c r="AK16" s="85"/>
      <c r="AL16" s="111"/>
      <c r="AM16" s="178">
        <f>IF(COUNT(AM17:AM19)=0,"",SUM(AM17:AM19)/COUNT(AM17:AM19))</f>
        <v>2.5</v>
      </c>
      <c r="AN16" s="202" t="str">
        <f t="shared" si="6"/>
        <v>C</v>
      </c>
      <c r="AO16" s="203">
        <f>IF(COUNT(AO17:AO19)=0,"",SUM(AO17:AO19)/COUNT(AO17:AO19))</f>
        <v>2.3333333333333335</v>
      </c>
      <c r="AP16" s="204" t="str">
        <f t="shared" si="7"/>
        <v>C</v>
      </c>
      <c r="AQ16" s="215"/>
      <c r="AR16" s="85"/>
      <c r="AS16" s="105"/>
      <c r="AT16" s="178">
        <f>IF(COUNT(AT17:AT19)=0,"",SUM(AT17:AT19)/COUNT(AT17:AT19))</f>
        <v>3</v>
      </c>
      <c r="AU16" s="179" t="str">
        <f t="shared" si="8"/>
        <v>B</v>
      </c>
      <c r="AV16" s="226"/>
      <c r="AW16" s="85"/>
      <c r="AX16" s="85"/>
      <c r="AY16" s="105"/>
      <c r="AZ16" s="178">
        <f>IF(COUNT(AZ17:AZ19)=0,"",SUM(AZ17:AZ19)/COUNT(AZ17:AZ19))</f>
        <v>2</v>
      </c>
      <c r="BA16" s="194" t="str">
        <f t="shared" si="9"/>
        <v>C</v>
      </c>
      <c r="BB16" s="172"/>
      <c r="BC16" s="110"/>
      <c r="BD16" s="110"/>
      <c r="BE16" s="85"/>
      <c r="BF16" s="111"/>
      <c r="BG16" s="178">
        <f>IF(COUNT(BG17:BG19)=0,"",SUM(BG17:BG19)/COUNT(BG17:BG19))</f>
        <v>1.5</v>
      </c>
      <c r="BH16" s="202" t="str">
        <f t="shared" si="10"/>
        <v>D</v>
      </c>
      <c r="BI16" s="203">
        <f>IF(COUNT(BI17:BI19)=0,"",SUM(BI17:BI19)/COUNT(BI17:BI19))</f>
        <v>1.8333333333333333</v>
      </c>
      <c r="BJ16" s="204" t="str">
        <f t="shared" si="11"/>
        <v>C</v>
      </c>
      <c r="BK16" s="215"/>
      <c r="BL16" s="85"/>
      <c r="BM16" s="105"/>
      <c r="BN16" s="178">
        <f>IF(COUNT(BN17:BN19)=0,"",SUM(BN17:BN19)/COUNT(BN17:BN19))</f>
        <v>2.5</v>
      </c>
      <c r="BO16" s="179" t="str">
        <f t="shared" si="12"/>
        <v>C</v>
      </c>
      <c r="BP16" s="226"/>
      <c r="BQ16" s="85"/>
      <c r="BR16" s="85"/>
      <c r="BS16" s="105"/>
      <c r="BT16" s="178">
        <f>IF(COUNT(BT17:BT19)=0,"",SUM(BT17:BT19)/COUNT(BT17:BT19))</f>
        <v>3</v>
      </c>
      <c r="BU16" s="194" t="str">
        <f t="shared" si="13"/>
        <v>B</v>
      </c>
      <c r="BV16" s="172"/>
      <c r="BW16" s="110"/>
      <c r="BX16" s="110"/>
      <c r="BY16" s="85"/>
      <c r="BZ16" s="111"/>
      <c r="CA16" s="178">
        <f>IF(COUNT(CA17:CA19)=0,"",SUM(CA17:CA19)/COUNT(CA17:CA19))</f>
        <v>2.4166666666666665</v>
      </c>
      <c r="CB16" s="202" t="str">
        <f t="shared" si="14"/>
        <v>C</v>
      </c>
      <c r="CC16" s="203">
        <f>IF(COUNT(CC17:CC19)=0,"",SUM(CC17:CC19)/COUNT(CC17:CC19))</f>
        <v>2.3611111111111112</v>
      </c>
      <c r="CD16" s="204" t="str">
        <f t="shared" si="15"/>
        <v>C</v>
      </c>
      <c r="CE16" s="215"/>
      <c r="CF16" s="85"/>
      <c r="CG16" s="105"/>
      <c r="CH16" s="178">
        <f>IF(COUNT(CH17:CH19)=0,"",SUM(CH17:CH19)/COUNT(CH17:CH19))</f>
        <v>3.5</v>
      </c>
      <c r="CI16" s="179" t="str">
        <f t="shared" si="16"/>
        <v>B</v>
      </c>
      <c r="CJ16" s="226"/>
      <c r="CK16" s="85"/>
      <c r="CL16" s="85"/>
      <c r="CM16" s="105"/>
      <c r="CN16" s="178">
        <f>IF(COUNT(CN17:CN19)=0,"",SUM(CN17:CN19)/COUNT(CN17:CN19))</f>
        <v>4</v>
      </c>
      <c r="CO16" s="194" t="str">
        <f t="shared" si="17"/>
        <v>A</v>
      </c>
      <c r="CP16" s="172"/>
      <c r="CQ16" s="110"/>
      <c r="CR16" s="110"/>
      <c r="CS16" s="85"/>
      <c r="CT16" s="111"/>
      <c r="CU16" s="178">
        <f>IF(COUNT(CU17:CU19)=0,"",SUM(CU17:CU19)/COUNT(CU17:CU19))</f>
        <v>3</v>
      </c>
      <c r="CV16" s="202" t="str">
        <f t="shared" si="18"/>
        <v>B</v>
      </c>
      <c r="CW16" s="203">
        <f>IF(COUNT(CW17:CW19)=0,"",SUM(CW17:CW19)/COUNT(CW17:CW19))</f>
        <v>3.1666666666666665</v>
      </c>
      <c r="CX16" s="204" t="str">
        <f t="shared" si="19"/>
        <v>B</v>
      </c>
      <c r="CY16" s="215"/>
      <c r="CZ16" s="85"/>
      <c r="DA16" s="105"/>
      <c r="DB16" s="178">
        <f>IF(COUNT(DB17:DB19)=0,"",SUM(DB17:DB19)/COUNT(DB17:DB19))</f>
        <v>2.5</v>
      </c>
      <c r="DC16" s="179" t="str">
        <f t="shared" si="20"/>
        <v>C</v>
      </c>
      <c r="DD16" s="226"/>
      <c r="DE16" s="85"/>
      <c r="DF16" s="85"/>
      <c r="DG16" s="105"/>
      <c r="DH16" s="178">
        <f>IF(COUNT(DH17:DH19)=0,"",SUM(DH17:DH19)/COUNT(DH17:DH19))</f>
        <v>2</v>
      </c>
      <c r="DI16" s="194" t="str">
        <f t="shared" si="21"/>
        <v>C</v>
      </c>
      <c r="DJ16" s="172"/>
      <c r="DK16" s="110"/>
      <c r="DL16" s="110"/>
      <c r="DM16" s="85"/>
      <c r="DN16" s="111"/>
      <c r="DO16" s="178">
        <f>IF(COUNT(DO17:DO19)=0,"",SUM(DO17:DO19)/COUNT(DO17:DO19))</f>
        <v>1.4444444444444444</v>
      </c>
      <c r="DP16" s="202" t="str">
        <f t="shared" si="22"/>
        <v>D</v>
      </c>
      <c r="DQ16" s="203">
        <f>IF(COUNT(DQ17:DQ19)=0,"",SUM(DQ17:DQ19)/COUNT(DQ17:DQ19))</f>
        <v>1.5</v>
      </c>
      <c r="DR16" s="204" t="str">
        <f t="shared" si="23"/>
        <v>D</v>
      </c>
      <c r="DS16" s="215"/>
      <c r="DT16" s="85"/>
      <c r="DU16" s="105"/>
      <c r="DV16" s="178">
        <f>IF(COUNT(DV17:DV19)=0,"",SUM(DV17:DV19)/COUNT(DV17:DV19))</f>
        <v>2</v>
      </c>
      <c r="DW16" s="179" t="str">
        <f t="shared" si="24"/>
        <v>C</v>
      </c>
      <c r="DX16" s="226"/>
      <c r="DY16" s="85"/>
      <c r="DZ16" s="85"/>
      <c r="EA16" s="105"/>
      <c r="EB16" s="178">
        <f>IF(COUNT(EB17:EB19)=0,"",SUM(EB17:EB19)/COUNT(EB17:EB19))</f>
        <v>3</v>
      </c>
      <c r="EC16" s="194" t="str">
        <f t="shared" si="25"/>
        <v>B</v>
      </c>
      <c r="ED16" s="172"/>
      <c r="EE16" s="110"/>
      <c r="EF16" s="110"/>
      <c r="EG16" s="85"/>
      <c r="EH16" s="111"/>
      <c r="EI16" s="178">
        <f>IF(COUNT(EI17:EI19)=0,"",SUM(EI17:EI19)/COUNT(EI17:EI19))</f>
        <v>2.5833333333333335</v>
      </c>
      <c r="EJ16" s="202" t="str">
        <f t="shared" si="26"/>
        <v>C</v>
      </c>
      <c r="EK16" s="203">
        <f>IF(COUNT(EK17:EK19)=0,"",SUM(EK17:EK19)/COUNT(EK17:EK19))</f>
        <v>2.4722222222222219</v>
      </c>
      <c r="EL16" s="204" t="str">
        <f t="shared" si="27"/>
        <v>C</v>
      </c>
      <c r="EM16" s="215"/>
      <c r="EN16" s="85"/>
      <c r="EO16" s="105"/>
      <c r="EP16" s="178">
        <f>IF(COUNT(EP17:EP19)=0,"",SUM(EP17:EP19)/COUNT(EP17:EP19))</f>
        <v>3</v>
      </c>
      <c r="EQ16" s="179" t="str">
        <f t="shared" si="28"/>
        <v>B</v>
      </c>
      <c r="ER16" s="226"/>
      <c r="ES16" s="85"/>
      <c r="ET16" s="85"/>
      <c r="EU16" s="105"/>
      <c r="EV16" s="178">
        <f>IF(COUNT(EV17:EV19)=0,"",SUM(EV17:EV19)/COUNT(EV17:EV19))</f>
        <v>2</v>
      </c>
      <c r="EW16" s="194" t="str">
        <f t="shared" si="29"/>
        <v>C</v>
      </c>
      <c r="EX16" s="172"/>
      <c r="EY16" s="110"/>
      <c r="EZ16" s="110"/>
      <c r="FA16" s="85"/>
      <c r="FB16" s="111"/>
      <c r="FC16" s="178">
        <f>IF(COUNT(FC17:FC19)=0,"",SUM(FC17:FC19)/COUNT(FC17:FC19))</f>
        <v>2.9166666666666665</v>
      </c>
      <c r="FD16" s="202" t="str">
        <f t="shared" si="30"/>
        <v>B</v>
      </c>
      <c r="FE16" s="203">
        <f>IF(COUNT(FE17:FE19)=0,"",SUM(FE17:FE19)/COUNT(FE17:FE19))</f>
        <v>2.8055555555555554</v>
      </c>
      <c r="FF16" s="204" t="str">
        <f t="shared" si="31"/>
        <v>B</v>
      </c>
      <c r="FG16" s="215"/>
      <c r="FH16" s="85"/>
      <c r="FI16" s="105"/>
      <c r="FJ16" s="178">
        <f>IF(COUNT(FJ17:FJ19)=0,"",SUM(FJ17:FJ19)/COUNT(FJ17:FJ19))</f>
        <v>3</v>
      </c>
      <c r="FK16" s="179" t="str">
        <f t="shared" si="32"/>
        <v>B</v>
      </c>
      <c r="FL16" s="226"/>
      <c r="FM16" s="85"/>
      <c r="FN16" s="85"/>
      <c r="FO16" s="105"/>
      <c r="FP16" s="178">
        <f>IF(COUNT(FP17:FP19)=0,"",SUM(FP17:FP19)/COUNT(FP17:FP19))</f>
        <v>3</v>
      </c>
      <c r="FQ16" s="194" t="str">
        <f t="shared" si="33"/>
        <v>B</v>
      </c>
      <c r="FR16" s="172"/>
      <c r="FS16" s="110"/>
      <c r="FT16" s="110"/>
      <c r="FU16" s="85"/>
      <c r="FV16" s="111"/>
      <c r="FW16" s="178">
        <f>IF(COUNT(FW17:FW19)=0,"",SUM(FW17:FW19)/COUNT(FW17:FW19))</f>
        <v>1.75</v>
      </c>
      <c r="FX16" s="202" t="str">
        <f t="shared" si="34"/>
        <v>C</v>
      </c>
      <c r="FY16" s="203">
        <f>IF(COUNT(FY17:FY19)=0,"",SUM(FY17:FY19)/COUNT(FY17:FY19))</f>
        <v>1.9722222222222221</v>
      </c>
      <c r="FZ16" s="204" t="str">
        <f t="shared" si="35"/>
        <v>C</v>
      </c>
      <c r="GA16" s="215"/>
      <c r="GB16" s="85"/>
      <c r="GC16" s="105"/>
      <c r="GD16" s="178">
        <f>IF(COUNT(GD17:GD19)=0,"",SUM(GD17:GD19)/COUNT(GD17:GD19))</f>
        <v>1.5</v>
      </c>
      <c r="GE16" s="179" t="str">
        <f t="shared" si="36"/>
        <v>D</v>
      </c>
      <c r="GF16" s="226"/>
      <c r="GG16" s="85"/>
      <c r="GH16" s="85"/>
      <c r="GI16" s="105"/>
      <c r="GJ16" s="178" t="str">
        <f>IF(COUNT(GJ17:GJ19)=0,"",SUM(GJ17:GJ19)/COUNT(GJ17:GJ19))</f>
        <v/>
      </c>
      <c r="GK16" s="194" t="str">
        <f t="shared" si="37"/>
        <v/>
      </c>
      <c r="GL16" s="172"/>
      <c r="GM16" s="110"/>
      <c r="GN16" s="110"/>
      <c r="GO16" s="85"/>
      <c r="GP16" s="111"/>
      <c r="GQ16" s="178">
        <f>IF(COUNT(GQ17:GQ19)=0,"",SUM(GQ17:GQ19)/COUNT(GQ17:GQ19))</f>
        <v>2.4166666666666665</v>
      </c>
      <c r="GR16" s="202" t="str">
        <f t="shared" si="38"/>
        <v>C</v>
      </c>
      <c r="GS16" s="203">
        <f>IF(COUNT(GS17:GS19)=0,"",SUM(GS17:GS19)/COUNT(GS17:GS19))</f>
        <v>2.3333333333333335</v>
      </c>
      <c r="GT16" s="204" t="str">
        <f t="shared" si="39"/>
        <v>C</v>
      </c>
      <c r="GU16" s="215"/>
      <c r="GV16" s="85"/>
      <c r="GW16" s="105"/>
      <c r="GX16" s="178">
        <f>IF(COUNT(GX17:GX19)=0,"",SUM(GX17:GX19)/COUNT(GX17:GX19))</f>
        <v>2.5</v>
      </c>
      <c r="GY16" s="179" t="str">
        <f t="shared" si="40"/>
        <v>C</v>
      </c>
      <c r="GZ16" s="226"/>
      <c r="HA16" s="85"/>
      <c r="HB16" s="85"/>
      <c r="HC16" s="105"/>
      <c r="HD16" s="178">
        <f>IF(COUNT(HD17:HD19)=0,"",SUM(HD17:HD19)/COUNT(HD17:HD19))</f>
        <v>2</v>
      </c>
      <c r="HE16" s="194" t="str">
        <f t="shared" si="41"/>
        <v>C</v>
      </c>
      <c r="HF16" s="172"/>
      <c r="HG16" s="110"/>
      <c r="HH16" s="110"/>
      <c r="HI16" s="85"/>
      <c r="HJ16" s="111"/>
      <c r="HK16" s="178">
        <f>IF(COUNT(HK17:HK19)=0,"",SUM(HK17:HK19)/COUNT(HK17:HK19))</f>
        <v>2.1666666666666665</v>
      </c>
      <c r="HL16" s="202" t="str">
        <f t="shared" si="42"/>
        <v>C</v>
      </c>
      <c r="HM16" s="203">
        <f>IF(COUNT(HM17:HM19)=0,"",SUM(HM17:HM19)/COUNT(HM17:HM19))</f>
        <v>2.2222222222222219</v>
      </c>
      <c r="HN16" s="204" t="str">
        <f t="shared" si="43"/>
        <v>C</v>
      </c>
      <c r="HO16" s="215"/>
      <c r="HP16" s="85"/>
      <c r="HQ16" s="105"/>
      <c r="HR16" s="178">
        <f>IF(COUNT(HR17:HR19)=0,"",SUM(HR17:HR19)/COUNT(HR17:HR19))</f>
        <v>2.5</v>
      </c>
      <c r="HS16" s="179" t="str">
        <f t="shared" si="44"/>
        <v>C</v>
      </c>
      <c r="HT16" s="226"/>
      <c r="HU16" s="85"/>
      <c r="HV16" s="85"/>
      <c r="HW16" s="105"/>
      <c r="HX16" s="178">
        <f>IF(COUNT(HX17:HX19)=0,"",SUM(HX17:HX19)/COUNT(HX17:HX19))</f>
        <v>3</v>
      </c>
      <c r="HY16" s="194" t="str">
        <f t="shared" si="45"/>
        <v>B</v>
      </c>
      <c r="HZ16" s="172"/>
      <c r="IA16" s="110"/>
      <c r="IB16" s="110"/>
      <c r="IC16" s="85"/>
      <c r="ID16" s="111"/>
      <c r="IE16" s="178">
        <f>IF(COUNT(IE17:IE19)=0,"",SUM(IE17:IE19)/COUNT(IE17:IE19))</f>
        <v>2.8333333333333335</v>
      </c>
      <c r="IF16" s="202" t="str">
        <f t="shared" si="46"/>
        <v>B</v>
      </c>
      <c r="IG16" s="203">
        <f>IF(COUNT(IG17:IG19)=0,"",SUM(IG17:IG19)/COUNT(IG17:IG19))</f>
        <v>2.5555555555555554</v>
      </c>
      <c r="IH16" s="204" t="str">
        <f t="shared" si="47"/>
        <v>C</v>
      </c>
      <c r="II16" s="215"/>
      <c r="IJ16" s="85"/>
      <c r="IK16" s="105"/>
      <c r="IL16" s="178">
        <f>IF(COUNT(IL17:IL19)=0,"",SUM(IL17:IL19)/COUNT(IL17:IL19))</f>
        <v>3</v>
      </c>
      <c r="IM16" s="179" t="str">
        <f t="shared" si="48"/>
        <v>B</v>
      </c>
      <c r="IN16" s="226"/>
      <c r="IO16" s="85"/>
      <c r="IP16" s="85"/>
      <c r="IQ16" s="105"/>
      <c r="IR16" s="178" t="str">
        <f>IF(COUNT(IR17:IR19)=0,"",SUM(IR17:IR19)/COUNT(IR17:IR19))</f>
        <v/>
      </c>
      <c r="IS16" s="194" t="str">
        <f t="shared" si="49"/>
        <v/>
      </c>
      <c r="IT16" s="172"/>
      <c r="IU16" s="110"/>
      <c r="IV16" s="110"/>
      <c r="IW16" s="85"/>
      <c r="IX16" s="111"/>
      <c r="IY16" s="178">
        <f>IF(COUNT(IY17:IY19)=0,"",SUM(IY17:IY19)/COUNT(IY17:IY19))</f>
        <v>2.6666666666666665</v>
      </c>
      <c r="IZ16" s="202" t="str">
        <f t="shared" si="50"/>
        <v>C</v>
      </c>
      <c r="JA16" s="203">
        <f>IF(COUNT(JA17:JA19)=0,"",SUM(JA17:JA19)/COUNT(JA17:JA19))</f>
        <v>2.5</v>
      </c>
      <c r="JB16" s="204" t="str">
        <f t="shared" si="51"/>
        <v>C</v>
      </c>
      <c r="JC16" s="215"/>
      <c r="JD16" s="85"/>
      <c r="JE16" s="105"/>
      <c r="JF16" s="178">
        <f>IF(COUNT(JF17:JF19)=0,"",SUM(JF17:JF19)/COUNT(JF17:JF19))</f>
        <v>3</v>
      </c>
      <c r="JG16" s="179" t="str">
        <f t="shared" si="52"/>
        <v>B</v>
      </c>
      <c r="JH16" s="226"/>
      <c r="JI16" s="85"/>
      <c r="JJ16" s="85"/>
      <c r="JK16" s="105"/>
      <c r="JL16" s="178">
        <f>IF(COUNT(JL17:JL19)=0,"",SUM(JL17:JL19)/COUNT(JL17:JL19))</f>
        <v>3</v>
      </c>
      <c r="JM16" s="194" t="str">
        <f t="shared" si="53"/>
        <v>B</v>
      </c>
      <c r="JN16" s="172"/>
      <c r="JO16" s="110"/>
      <c r="JP16" s="110"/>
      <c r="JQ16" s="85"/>
      <c r="JR16" s="111"/>
      <c r="JS16" s="178">
        <f>IF(COUNT(JS17:JS19)=0,"",SUM(JS17:JS19)/COUNT(JS17:JS19))</f>
        <v>2.9166666666666665</v>
      </c>
      <c r="JT16" s="202" t="str">
        <f t="shared" si="54"/>
        <v>B</v>
      </c>
      <c r="JU16" s="203">
        <f>IF(COUNT(JU17:JU19)=0,"",SUM(JU17:JU19)/COUNT(JU17:JU19))</f>
        <v>2.9166666666666665</v>
      </c>
      <c r="JV16" s="204" t="str">
        <f t="shared" si="55"/>
        <v>B</v>
      </c>
      <c r="JW16" s="215"/>
      <c r="JX16" s="85"/>
      <c r="JY16" s="105"/>
      <c r="JZ16" s="178">
        <f>IF(COUNT(JZ17:JZ19)=0,"",SUM(JZ17:JZ19)/COUNT(JZ17:JZ19))</f>
        <v>3</v>
      </c>
      <c r="KA16" s="179" t="str">
        <f t="shared" si="56"/>
        <v>B</v>
      </c>
      <c r="KB16" s="226"/>
      <c r="KC16" s="85"/>
      <c r="KD16" s="85"/>
      <c r="KE16" s="105"/>
      <c r="KF16" s="178">
        <f>IF(COUNT(KF17:KF19)=0,"",SUM(KF17:KF19)/COUNT(KF17:KF19))</f>
        <v>3</v>
      </c>
      <c r="KG16" s="194" t="str">
        <f t="shared" si="57"/>
        <v>B</v>
      </c>
      <c r="KH16" s="172"/>
      <c r="KI16" s="110"/>
      <c r="KJ16" s="110"/>
      <c r="KK16" s="85"/>
      <c r="KL16" s="111"/>
      <c r="KM16" s="178">
        <f>IF(COUNT(KM17:KM19)=0,"",SUM(KM17:KM19)/COUNT(KM17:KM19))</f>
        <v>3</v>
      </c>
      <c r="KN16" s="202" t="str">
        <f t="shared" si="58"/>
        <v>B</v>
      </c>
      <c r="KO16" s="203">
        <f>IF(COUNT(KO17:KO19)=0,"",SUM(KO17:KO19)/COUNT(KO17:KO19))</f>
        <v>2.7777777777777781</v>
      </c>
      <c r="KP16" s="204" t="str">
        <f t="shared" si="59"/>
        <v>C</v>
      </c>
      <c r="KQ16" s="215"/>
      <c r="KR16" s="85"/>
      <c r="KS16" s="105"/>
      <c r="KT16" s="178">
        <f>IF(COUNT(KT17:KT19)=0,"",SUM(KT17:KT19)/COUNT(KT17:KT19))</f>
        <v>2.5</v>
      </c>
      <c r="KU16" s="179" t="str">
        <f t="shared" si="60"/>
        <v>C</v>
      </c>
      <c r="KV16" s="226"/>
      <c r="KW16" s="85"/>
      <c r="KX16" s="85"/>
      <c r="KY16" s="105"/>
      <c r="KZ16" s="178">
        <f>IF(COUNT(KZ17:KZ19)=0,"",SUM(KZ17:KZ19)/COUNT(KZ17:KZ19))</f>
        <v>3</v>
      </c>
      <c r="LA16" s="194" t="str">
        <f t="shared" si="61"/>
        <v>B</v>
      </c>
      <c r="LB16" s="172"/>
      <c r="LC16" s="110"/>
      <c r="LD16" s="110"/>
      <c r="LE16" s="85"/>
      <c r="LF16" s="111"/>
      <c r="LG16" s="178">
        <f>IF(COUNT(LG17:LG19)=0,"",SUM(LG17:LG19)/COUNT(LG17:LG19))</f>
        <v>2.6666666666666665</v>
      </c>
      <c r="LH16" s="202" t="str">
        <f t="shared" si="62"/>
        <v>C</v>
      </c>
      <c r="LI16" s="203">
        <f>IF(COUNT(LI17:LI19)=0,"",SUM(LI17:LI19)/COUNT(LI17:LI19))</f>
        <v>2.8333333333333335</v>
      </c>
      <c r="LJ16" s="204" t="str">
        <f t="shared" si="63"/>
        <v>B</v>
      </c>
      <c r="LK16" s="215"/>
      <c r="LL16" s="85"/>
      <c r="LM16" s="105"/>
      <c r="LN16" s="178">
        <f>IF(COUNT(LN17:LN19)=0,"",SUM(LN17:LN19)/COUNT(LN17:LN19))</f>
        <v>1.5</v>
      </c>
      <c r="LO16" s="179" t="str">
        <f t="shared" si="64"/>
        <v>D</v>
      </c>
      <c r="LP16" s="226"/>
      <c r="LQ16" s="85"/>
      <c r="LR16" s="85"/>
      <c r="LS16" s="105"/>
      <c r="LT16" s="178">
        <f>IF(COUNT(LT17:LT19)=0,"",SUM(LT17:LT19)/COUNT(LT17:LT19))</f>
        <v>2</v>
      </c>
      <c r="LU16" s="194" t="str">
        <f t="shared" si="65"/>
        <v>C</v>
      </c>
      <c r="LV16" s="172"/>
      <c r="LW16" s="110"/>
      <c r="LX16" s="110"/>
      <c r="LY16" s="85"/>
      <c r="LZ16" s="111"/>
      <c r="MA16" s="178">
        <f>IF(COUNT(MA17:MA19)=0,"",SUM(MA17:MA19)/COUNT(MA17:MA19))</f>
        <v>2</v>
      </c>
      <c r="MB16" s="202" t="str">
        <f t="shared" si="66"/>
        <v>C</v>
      </c>
      <c r="MC16" s="203">
        <f>IF(COUNT(MC17:MC19)=0,"",SUM(MC17:MC19)/COUNT(MC17:MC19))</f>
        <v>1.9444444444444444</v>
      </c>
      <c r="MD16" s="204" t="str">
        <f t="shared" si="67"/>
        <v>C</v>
      </c>
      <c r="ME16" s="215"/>
      <c r="MF16" s="85"/>
      <c r="MG16" s="105"/>
      <c r="MH16" s="178">
        <f>IF(COUNT(MH17:MH19)=0,"",SUM(MH17:MH19)/COUNT(MH17:MH19))</f>
        <v>2</v>
      </c>
      <c r="MI16" s="179" t="str">
        <f t="shared" si="68"/>
        <v>C</v>
      </c>
      <c r="MJ16" s="226"/>
      <c r="MK16" s="85"/>
      <c r="ML16" s="85"/>
      <c r="MM16" s="105"/>
      <c r="MN16" s="178">
        <f>IF(COUNT(MN17:MN19)=0,"",SUM(MN17:MN19)/COUNT(MN17:MN19))</f>
        <v>2</v>
      </c>
      <c r="MO16" s="194" t="str">
        <f t="shared" si="69"/>
        <v>C</v>
      </c>
      <c r="MP16" s="172"/>
      <c r="MQ16" s="110"/>
      <c r="MR16" s="110"/>
      <c r="MS16" s="85"/>
      <c r="MT16" s="111"/>
      <c r="MU16" s="178">
        <f>IF(COUNT(MU17:MU19)=0,"",SUM(MU17:MU19)/COUNT(MU17:MU19))</f>
        <v>2</v>
      </c>
      <c r="MV16" s="202" t="str">
        <f t="shared" si="70"/>
        <v>C</v>
      </c>
      <c r="MW16" s="203">
        <f>IF(COUNT(MW17:MW19)=0,"",SUM(MW17:MW19)/COUNT(MW17:MW19))</f>
        <v>2</v>
      </c>
      <c r="MX16" s="204" t="str">
        <f t="shared" si="71"/>
        <v>C</v>
      </c>
      <c r="MY16" s="215"/>
      <c r="MZ16" s="85"/>
      <c r="NA16" s="105"/>
      <c r="NB16" s="178">
        <f>IF(COUNT(NB17:NB19)=0,"",SUM(NB17:NB19)/COUNT(NB17:NB19))</f>
        <v>3</v>
      </c>
      <c r="NC16" s="179" t="str">
        <f t="shared" si="72"/>
        <v>B</v>
      </c>
      <c r="ND16" s="226"/>
      <c r="NE16" s="85"/>
      <c r="NF16" s="85"/>
      <c r="NG16" s="105"/>
      <c r="NH16" s="178">
        <f>IF(COUNT(NH17:NH19)=0,"",SUM(NH17:NH19)/COUNT(NH17:NH19))</f>
        <v>3</v>
      </c>
      <c r="NI16" s="194" t="str">
        <f t="shared" si="73"/>
        <v>B</v>
      </c>
      <c r="NJ16" s="172"/>
      <c r="NK16" s="110"/>
      <c r="NL16" s="110"/>
      <c r="NM16" s="85"/>
      <c r="NN16" s="111"/>
      <c r="NO16" s="178">
        <f>IF(COUNT(NO17:NO19)=0,"",SUM(NO17:NO19)/COUNT(NO17:NO19))</f>
        <v>2.9166666666666665</v>
      </c>
      <c r="NP16" s="202" t="str">
        <f t="shared" si="74"/>
        <v>B</v>
      </c>
      <c r="NQ16" s="203">
        <f>IF(COUNT(NQ17:NQ19)=0,"",SUM(NQ17:NQ19)/COUNT(NQ17:NQ19))</f>
        <v>2.9166666666666665</v>
      </c>
      <c r="NR16" s="204" t="str">
        <f t="shared" si="75"/>
        <v>B</v>
      </c>
      <c r="NS16" s="215"/>
      <c r="NT16" s="85"/>
      <c r="NU16" s="105"/>
      <c r="NV16" s="178">
        <f>IF(COUNT(NV17:NV19)=0,"",SUM(NV17:NV19)/COUNT(NV17:NV19))</f>
        <v>3.5</v>
      </c>
      <c r="NW16" s="179" t="str">
        <f t="shared" si="76"/>
        <v>B</v>
      </c>
      <c r="NX16" s="226"/>
      <c r="NY16" s="85"/>
      <c r="NZ16" s="85"/>
      <c r="OA16" s="105"/>
      <c r="OB16" s="178">
        <f>IF(COUNT(OB17:OB19)=0,"",SUM(OB17:OB19)/COUNT(OB17:OB19))</f>
        <v>3</v>
      </c>
      <c r="OC16" s="194" t="str">
        <f t="shared" si="77"/>
        <v>B</v>
      </c>
      <c r="OD16" s="172"/>
      <c r="OE16" s="110"/>
      <c r="OF16" s="110"/>
      <c r="OG16" s="85"/>
      <c r="OH16" s="111"/>
      <c r="OI16" s="178">
        <f>IF(COUNT(OI17:OI19)=0,"",SUM(OI17:OI19)/COUNT(OI17:OI19))</f>
        <v>3</v>
      </c>
      <c r="OJ16" s="202" t="str">
        <f t="shared" si="78"/>
        <v>B</v>
      </c>
      <c r="OK16" s="203">
        <f>IF(COUNT(OK17:OK19)=0,"",SUM(OK17:OK19)/COUNT(OK17:OK19))</f>
        <v>3.0555555555555554</v>
      </c>
      <c r="OL16" s="204" t="str">
        <f t="shared" si="79"/>
        <v>B</v>
      </c>
      <c r="OM16" s="215"/>
      <c r="ON16" s="85"/>
      <c r="OO16" s="105"/>
      <c r="OP16" s="178">
        <f>IF(COUNT(OP17:OP19)=0,"",SUM(OP17:OP19)/COUNT(OP17:OP19))</f>
        <v>2.5</v>
      </c>
      <c r="OQ16" s="179" t="str">
        <f t="shared" si="80"/>
        <v>C</v>
      </c>
      <c r="OR16" s="226"/>
      <c r="OS16" s="85"/>
      <c r="OT16" s="85"/>
      <c r="OU16" s="105"/>
      <c r="OV16" s="178">
        <f>IF(COUNT(OV17:OV19)=0,"",SUM(OV17:OV19)/COUNT(OV17:OV19))</f>
        <v>2</v>
      </c>
      <c r="OW16" s="194" t="str">
        <f t="shared" si="81"/>
        <v>C</v>
      </c>
      <c r="OX16" s="172"/>
      <c r="OY16" s="110"/>
      <c r="OZ16" s="110"/>
      <c r="PA16" s="85"/>
      <c r="PB16" s="111"/>
      <c r="PC16" s="178">
        <f>IF(COUNT(PC17:PC19)=0,"",SUM(PC17:PC19)/COUNT(PC17:PC19))</f>
        <v>2.3333333333333335</v>
      </c>
      <c r="PD16" s="202" t="str">
        <f t="shared" si="82"/>
        <v>C</v>
      </c>
      <c r="PE16" s="203">
        <f>IF(COUNT(PE17:PE19)=0,"",SUM(PE17:PE19)/COUNT(PE17:PE19))</f>
        <v>2.1666666666666665</v>
      </c>
      <c r="PF16" s="204" t="str">
        <f t="shared" si="83"/>
        <v>C</v>
      </c>
      <c r="PG16" s="215"/>
      <c r="PH16" s="85"/>
      <c r="PI16" s="105"/>
      <c r="PJ16" s="178">
        <f>IF(COUNT(PJ17:PJ19)=0,"",SUM(PJ17:PJ19)/COUNT(PJ17:PJ19))</f>
        <v>2.5</v>
      </c>
      <c r="PK16" s="179" t="str">
        <f t="shared" si="84"/>
        <v>C</v>
      </c>
      <c r="PL16" s="226"/>
      <c r="PM16" s="85"/>
      <c r="PN16" s="85"/>
      <c r="PO16" s="105"/>
      <c r="PP16" s="178">
        <f>IF(COUNT(PP17:PP19)=0,"",SUM(PP17:PP19)/COUNT(PP17:PP19))</f>
        <v>2</v>
      </c>
      <c r="PQ16" s="194" t="str">
        <f t="shared" si="85"/>
        <v>C</v>
      </c>
      <c r="PR16" s="172"/>
      <c r="PS16" s="110"/>
      <c r="PT16" s="110"/>
      <c r="PU16" s="85"/>
      <c r="PV16" s="111"/>
      <c r="PW16" s="178">
        <f>IF(COUNT(PW17:PW19)=0,"",SUM(PW17:PW19)/COUNT(PW17:PW19))</f>
        <v>1.5833333333333333</v>
      </c>
      <c r="PX16" s="202" t="str">
        <f t="shared" si="86"/>
        <v>C</v>
      </c>
      <c r="PY16" s="203">
        <f>IF(COUNT(PY17:PY19)=0,"",SUM(PY17:PY19)/COUNT(PY17:PY19))</f>
        <v>1.6388888888888886</v>
      </c>
      <c r="PZ16" s="204" t="str">
        <f t="shared" si="87"/>
        <v>C</v>
      </c>
      <c r="QA16" s="215"/>
      <c r="QB16" s="85"/>
      <c r="QC16" s="105"/>
      <c r="QD16" s="178">
        <f>IF(COUNT(QD17:QD19)=0,"",SUM(QD17:QD19)/COUNT(QD17:QD19))</f>
        <v>3</v>
      </c>
      <c r="QE16" s="179" t="str">
        <f t="shared" si="88"/>
        <v>B</v>
      </c>
      <c r="QF16" s="226"/>
      <c r="QG16" s="85"/>
      <c r="QH16" s="85"/>
      <c r="QI16" s="105"/>
      <c r="QJ16" s="178">
        <f>IF(COUNT(QJ17:QJ19)=0,"",SUM(QJ17:QJ19)/COUNT(QJ17:QJ19))</f>
        <v>2</v>
      </c>
      <c r="QK16" s="194" t="str">
        <f t="shared" si="89"/>
        <v>C</v>
      </c>
      <c r="QL16" s="172"/>
      <c r="QM16" s="110"/>
      <c r="QN16" s="110"/>
      <c r="QO16" s="85"/>
      <c r="QP16" s="111"/>
      <c r="QQ16" s="178">
        <f>IF(COUNT(QQ17:QQ19)=0,"",SUM(QQ17:QQ19)/COUNT(QQ17:QQ19))</f>
        <v>2.1666666666666665</v>
      </c>
      <c r="QR16" s="202" t="str">
        <f t="shared" si="90"/>
        <v>C</v>
      </c>
      <c r="QS16" s="203">
        <f>IF(COUNT(QS17:QS19)=0,"",SUM(QS17:QS19)/COUNT(QS17:QS19))</f>
        <v>2.2777777777777781</v>
      </c>
      <c r="QT16" s="204" t="str">
        <f t="shared" si="91"/>
        <v>C</v>
      </c>
      <c r="QU16" s="215"/>
      <c r="QV16" s="85"/>
      <c r="QW16" s="105"/>
      <c r="QX16" s="178">
        <f>IF(COUNT(QX17:QX19)=0,"",SUM(QX17:QX19)/COUNT(QX17:QX19))</f>
        <v>3</v>
      </c>
      <c r="QY16" s="179" t="str">
        <f t="shared" si="92"/>
        <v>B</v>
      </c>
      <c r="QZ16" s="226"/>
      <c r="RA16" s="85"/>
      <c r="RB16" s="85"/>
      <c r="RC16" s="105"/>
      <c r="RD16" s="178">
        <f>IF(COUNT(RD17:RD19)=0,"",SUM(RD17:RD19)/COUNT(RD17:RD19))</f>
        <v>3</v>
      </c>
      <c r="RE16" s="194" t="str">
        <f t="shared" si="93"/>
        <v>B</v>
      </c>
      <c r="RF16" s="172"/>
      <c r="RG16" s="110"/>
      <c r="RH16" s="110"/>
      <c r="RI16" s="85"/>
      <c r="RJ16" s="111"/>
      <c r="RK16" s="178">
        <f>IF(COUNT(RK17:RK19)=0,"",SUM(RK17:RK19)/COUNT(RK17:RK19))</f>
        <v>2.5833333333333335</v>
      </c>
      <c r="RL16" s="202" t="str">
        <f t="shared" si="94"/>
        <v>C</v>
      </c>
      <c r="RM16" s="203">
        <f>IF(COUNT(RM17:RM19)=0,"",SUM(RM17:RM19)/COUNT(RM17:RM19))</f>
        <v>2.5833333333333335</v>
      </c>
      <c r="RN16" s="204" t="str">
        <f t="shared" si="95"/>
        <v>C</v>
      </c>
      <c r="RO16" s="215"/>
      <c r="RP16" s="85"/>
      <c r="RQ16" s="105"/>
      <c r="RR16" s="178">
        <f>IF(COUNT(RR17:RR19)=0,"",SUM(RR17:RR19)/COUNT(RR17:RR19))</f>
        <v>3</v>
      </c>
      <c r="RS16" s="179" t="str">
        <f t="shared" si="96"/>
        <v>B</v>
      </c>
      <c r="RT16" s="226"/>
      <c r="RU16" s="85"/>
      <c r="RV16" s="85"/>
      <c r="RW16" s="105"/>
      <c r="RX16" s="178">
        <f>IF(COUNT(RX17:RX19)=0,"",SUM(RX17:RX19)/COUNT(RX17:RX19))</f>
        <v>3</v>
      </c>
      <c r="RY16" s="194" t="str">
        <f t="shared" si="97"/>
        <v>B</v>
      </c>
      <c r="RZ16" s="172"/>
      <c r="SA16" s="110"/>
      <c r="SB16" s="110"/>
      <c r="SC16" s="85"/>
      <c r="SD16" s="111"/>
      <c r="SE16" s="178">
        <f>IF(COUNT(SE17:SE19)=0,"",SUM(SE17:SE19)/COUNT(SE17:SE19))</f>
        <v>3</v>
      </c>
      <c r="SF16" s="202" t="str">
        <f t="shared" si="98"/>
        <v>B</v>
      </c>
      <c r="SG16" s="203">
        <f>IF(COUNT(SG17:SG19)=0,"",SUM(SG17:SG19)/COUNT(SG17:SG19))</f>
        <v>3</v>
      </c>
      <c r="SH16" s="204" t="str">
        <f t="shared" si="99"/>
        <v>B</v>
      </c>
      <c r="SI16" s="215"/>
      <c r="SJ16" s="85"/>
      <c r="SK16" s="105"/>
      <c r="SL16" s="178">
        <f>IF(COUNT(SL17:SL19)=0,"",SUM(SL17:SL19)/COUNT(SL17:SL19))</f>
        <v>2.5</v>
      </c>
      <c r="SM16" s="179" t="str">
        <f t="shared" si="100"/>
        <v>C</v>
      </c>
      <c r="SN16" s="226"/>
      <c r="SO16" s="85"/>
      <c r="SP16" s="85"/>
      <c r="SQ16" s="105"/>
      <c r="SR16" s="178">
        <f>IF(COUNT(SR17:SR19)=0,"",SUM(SR17:SR19)/COUNT(SR17:SR19))</f>
        <v>2</v>
      </c>
      <c r="SS16" s="194" t="str">
        <f t="shared" si="101"/>
        <v>C</v>
      </c>
      <c r="ST16" s="172"/>
      <c r="SU16" s="110"/>
      <c r="SV16" s="110"/>
      <c r="SW16" s="85"/>
      <c r="SX16" s="111"/>
      <c r="SY16" s="178">
        <f>IF(COUNT(SY17:SY19)=0,"",SUM(SY17:SY19)/COUNT(SY17:SY19))</f>
        <v>3.1666666666666665</v>
      </c>
      <c r="SZ16" s="202" t="str">
        <f t="shared" si="102"/>
        <v>B</v>
      </c>
      <c r="TA16" s="203">
        <f>IF(COUNT(TA17:TA19)=0,"",SUM(TA17:TA19)/COUNT(TA17:TA19))</f>
        <v>2.7777777777777781</v>
      </c>
      <c r="TB16" s="204" t="str">
        <f t="shared" si="103"/>
        <v>C</v>
      </c>
      <c r="TC16" s="215"/>
      <c r="TD16" s="85"/>
      <c r="TE16" s="105"/>
      <c r="TF16" s="178">
        <f>IF(COUNT(TF17:TF19)=0,"",SUM(TF17:TF19)/COUNT(TF17:TF19))</f>
        <v>3</v>
      </c>
      <c r="TG16" s="179" t="str">
        <f t="shared" si="104"/>
        <v>B</v>
      </c>
      <c r="TH16" s="226"/>
      <c r="TI16" s="85"/>
      <c r="TJ16" s="85"/>
      <c r="TK16" s="105"/>
      <c r="TL16" s="178">
        <f>IF(COUNT(TL17:TL19)=0,"",SUM(TL17:TL19)/COUNT(TL17:TL19))</f>
        <v>2</v>
      </c>
      <c r="TM16" s="194" t="str">
        <f t="shared" si="105"/>
        <v>C</v>
      </c>
      <c r="TN16" s="172"/>
      <c r="TO16" s="110"/>
      <c r="TP16" s="110"/>
      <c r="TQ16" s="85"/>
      <c r="TR16" s="111"/>
      <c r="TS16" s="178">
        <f>IF(COUNT(TS17:TS19)=0,"",SUM(TS17:TS19)/COUNT(TS17:TS19))</f>
        <v>2.25</v>
      </c>
      <c r="TT16" s="202" t="str">
        <f t="shared" si="106"/>
        <v>C</v>
      </c>
      <c r="TU16" s="203">
        <f>IF(COUNT(TU17:TU19)=0,"",SUM(TU17:TU19)/COUNT(TU17:TU19))</f>
        <v>2.3611111111111112</v>
      </c>
      <c r="TV16" s="204" t="str">
        <f t="shared" si="107"/>
        <v>C</v>
      </c>
      <c r="TW16" s="141"/>
      <c r="TX16" s="85"/>
      <c r="TY16" s="105"/>
      <c r="TZ16" s="106" t="str">
        <f>IF(COUNT(TZ17:TZ19)=0,"",SUM(TZ17:TZ19)/COUNT(TZ17:TZ19))</f>
        <v/>
      </c>
      <c r="UA16" s="107" t="str">
        <f t="shared" si="108"/>
        <v/>
      </c>
      <c r="UB16" s="104"/>
      <c r="UC16" s="85"/>
      <c r="UD16" s="105"/>
      <c r="UE16" s="106" t="str">
        <f>IF(COUNT(UE17:UE19)=0,"",SUM(UE17:UE19)/COUNT(UE17:UE19))</f>
        <v/>
      </c>
      <c r="UF16" s="108" t="str">
        <f t="shared" si="109"/>
        <v/>
      </c>
      <c r="UG16" s="109"/>
      <c r="UH16" s="110"/>
      <c r="UI16" s="111"/>
      <c r="UJ16" s="106" t="str">
        <f>IF(COUNT(UJ17:UJ19)=0,"",SUM(UJ17:UJ19)/COUNT(UJ17:UJ19))</f>
        <v/>
      </c>
      <c r="UK16" s="112" t="str">
        <f t="shared" si="110"/>
        <v/>
      </c>
      <c r="UL16" s="113" t="str">
        <f>IF(COUNT(UL17:UL19)=0,"",SUM(UL17:UL19)/COUNT(UL17:UL19))</f>
        <v/>
      </c>
      <c r="UM16" s="114" t="str">
        <f t="shared" si="111"/>
        <v/>
      </c>
      <c r="UN16" s="141"/>
      <c r="UO16" s="85"/>
      <c r="UP16" s="105"/>
      <c r="UQ16" s="106" t="str">
        <f>IF(COUNT(UQ17:UQ19)=0,"",SUM(UQ17:UQ19)/COUNT(UQ17:UQ19))</f>
        <v/>
      </c>
      <c r="UR16" s="107" t="str">
        <f t="shared" si="112"/>
        <v/>
      </c>
      <c r="US16" s="104"/>
      <c r="UT16" s="85"/>
      <c r="UU16" s="105"/>
      <c r="UV16" s="106" t="str">
        <f>IF(COUNT(UV17:UV19)=0,"",SUM(UV17:UV19)/COUNT(UV17:UV19))</f>
        <v/>
      </c>
      <c r="UW16" s="108" t="str">
        <f t="shared" si="113"/>
        <v/>
      </c>
      <c r="UX16" s="109"/>
      <c r="UY16" s="110"/>
      <c r="UZ16" s="111"/>
      <c r="VA16" s="106" t="str">
        <f>IF(COUNT(VA17:VA19)=0,"",SUM(VA17:VA19)/COUNT(VA17:VA19))</f>
        <v/>
      </c>
      <c r="VB16" s="112" t="str">
        <f t="shared" si="114"/>
        <v/>
      </c>
      <c r="VC16" s="113" t="str">
        <f>IF(COUNT(VC17:VC19)=0,"",SUM(VC17:VC19)/COUNT(VC17:VC19))</f>
        <v/>
      </c>
      <c r="VD16" s="114" t="str">
        <f t="shared" si="115"/>
        <v/>
      </c>
      <c r="VE16" s="141"/>
      <c r="VF16" s="85"/>
      <c r="VG16" s="105"/>
      <c r="VH16" s="106" t="str">
        <f>IF(COUNT(VH17:VH19)=0,"",SUM(VH17:VH19)/COUNT(VH17:VH19))</f>
        <v/>
      </c>
      <c r="VI16" s="107" t="str">
        <f t="shared" si="116"/>
        <v/>
      </c>
      <c r="VJ16" s="104"/>
      <c r="VK16" s="85"/>
      <c r="VL16" s="105"/>
      <c r="VM16" s="106" t="str">
        <f>IF(COUNT(VM17:VM19)=0,"",SUM(VM17:VM19)/COUNT(VM17:VM19))</f>
        <v/>
      </c>
      <c r="VN16" s="108" t="str">
        <f t="shared" si="117"/>
        <v/>
      </c>
      <c r="VO16" s="109"/>
      <c r="VP16" s="110"/>
      <c r="VQ16" s="111"/>
      <c r="VR16" s="106" t="str">
        <f>IF(COUNT(VR17:VR19)=0,"",SUM(VR17:VR19)/COUNT(VR17:VR19))</f>
        <v/>
      </c>
      <c r="VS16" s="112" t="str">
        <f t="shared" si="118"/>
        <v/>
      </c>
      <c r="VT16" s="113" t="str">
        <f>IF(COUNT(VT17:VT19)=0,"",SUM(VT17:VT19)/COUNT(VT17:VT19))</f>
        <v/>
      </c>
      <c r="VU16" s="114" t="str">
        <f t="shared" si="119"/>
        <v/>
      </c>
    </row>
    <row r="17" spans="1:593" ht="18" customHeight="1" x14ac:dyDescent="0.55000000000000004">
      <c r="A17" s="246" t="s">
        <v>23</v>
      </c>
      <c r="B17" s="247"/>
      <c r="C17" s="123" t="s">
        <v>30</v>
      </c>
      <c r="D17" s="124" t="s">
        <v>32</v>
      </c>
      <c r="E17" s="125"/>
      <c r="F17" s="180">
        <f>IFERROR((((COUNTIF('Elève (4ème2)'!C17:E17,"A"))*4)+((COUNTIF('Elève (4ème2)'!C17:E17,"B"))*3)+((COUNTIF('Elève (4ème2)'!C17:E17,"C"))*2)+((COUNTIF('Elève (4ème2)'!C17:E17,"D"))*1))/(COUNTA(C17:E17)),"")</f>
        <v>2</v>
      </c>
      <c r="G17" s="181" t="str">
        <f t="shared" si="0"/>
        <v>C</v>
      </c>
      <c r="H17" s="123" t="s">
        <v>32</v>
      </c>
      <c r="I17" s="124"/>
      <c r="J17" s="125"/>
      <c r="K17" s="125"/>
      <c r="L17" s="180">
        <f>IFERROR((((COUNTIF('Elève (4ème2)'!H17:K17,"A"))*4)+((COUNTIF('Elève (4ème2)'!H17:K17,"B"))*3)+((COUNTIF('Elève (4ème2)'!H17:K17,"C"))*2)+((COUNTIF('Elève (4ème2)'!H17:K17,"D"))*1))/(COUNTA(H17:K17)),"")</f>
        <v>1</v>
      </c>
      <c r="M17" s="181" t="str">
        <f t="shared" si="1"/>
        <v>D</v>
      </c>
      <c r="N17" s="123"/>
      <c r="O17" s="124" t="s">
        <v>30</v>
      </c>
      <c r="P17" s="218"/>
      <c r="Q17" s="218"/>
      <c r="R17" s="125"/>
      <c r="S17" s="180">
        <f>IFERROR((((COUNTIF('Elève (4ème2)'!N17:R17,"A"))*4)+((COUNTIF('Elève (4ème2)'!N17:R17,"B"))*3)+((COUNTIF('Elève (4ème2)'!N17:R17,"C"))*2)+((COUNTIF('Elève (4ème2)'!N17:R17,"D"))*1))/(COUNTA(N17:R17)),"")</f>
        <v>3</v>
      </c>
      <c r="T17" s="181" t="str">
        <f t="shared" si="2"/>
        <v>B</v>
      </c>
      <c r="U17" s="180">
        <f>IF(COUNT(F17,L17,S17)=0,"",SUM(F17,L17,S17)/COUNT(F17,L17,S17))</f>
        <v>2</v>
      </c>
      <c r="V17" s="210" t="str">
        <f t="shared" si="3"/>
        <v>C</v>
      </c>
      <c r="W17" s="123" t="s">
        <v>31</v>
      </c>
      <c r="X17" s="124" t="s">
        <v>30</v>
      </c>
      <c r="Y17" s="125"/>
      <c r="Z17" s="180">
        <f>IFERROR((((COUNTIF('Elève (4ème2)'!W17:Y17,"A"))*4)+((COUNTIF('Elève (4ème2)'!W17:Y17,"B"))*3)+((COUNTIF('Elève (4ème2)'!W17:Y17,"C"))*2)+((COUNTIF('Elève (4ème2)'!W17:Y17,"D"))*1))/(COUNTA(W17:Y17)),"")</f>
        <v>2.5</v>
      </c>
      <c r="AA17" s="181" t="str">
        <f t="shared" si="4"/>
        <v>C</v>
      </c>
      <c r="AB17" s="123" t="s">
        <v>31</v>
      </c>
      <c r="AC17" s="124"/>
      <c r="AD17" s="125"/>
      <c r="AE17" s="125"/>
      <c r="AF17" s="180">
        <f>IFERROR((((COUNTIF('Elève (4ème2)'!AB17:AE17,"A"))*4)+((COUNTIF('Elève (4ème2)'!AB17:AE17,"B"))*3)+((COUNTIF('Elève (4ème2)'!AB17:AE17,"C"))*2)+((COUNTIF('Elève (4ème2)'!AB17:AE17,"D"))*1))/(COUNTA(AB17:AE17)),"")</f>
        <v>2</v>
      </c>
      <c r="AG17" s="181" t="str">
        <f t="shared" si="5"/>
        <v>C</v>
      </c>
      <c r="AH17" s="123"/>
      <c r="AI17" s="218" t="s">
        <v>30</v>
      </c>
      <c r="AJ17" s="218"/>
      <c r="AK17" s="124"/>
      <c r="AL17" s="129"/>
      <c r="AM17" s="180">
        <f>IFERROR((((COUNTIF('Elève (4ème2)'!AH17:AL17,"A"))*4)+((COUNTIF('Elève (4ème2)'!AH17:AL17,"B"))*3)+((COUNTIF('Elève (4ème2)'!AH17:AL17,"C"))*2)+((COUNTIF('Elève (4ème2)'!AH17:AL17,"D"))*1))/(COUNTA(AH17:AL17)),"")</f>
        <v>3</v>
      </c>
      <c r="AN17" s="181" t="str">
        <f t="shared" si="6"/>
        <v>B</v>
      </c>
      <c r="AO17" s="180">
        <f>IF(COUNT(Z17,AF17,AM17)=0,"",SUM(Z17,AF17,AM17)/COUNT(Z17,AF17,AM17))</f>
        <v>2.5</v>
      </c>
      <c r="AP17" s="210" t="str">
        <f t="shared" si="7"/>
        <v>C</v>
      </c>
      <c r="AQ17" s="123" t="s">
        <v>31</v>
      </c>
      <c r="AR17" s="124" t="s">
        <v>29</v>
      </c>
      <c r="AS17" s="125"/>
      <c r="AT17" s="180">
        <f>IFERROR((((COUNTIF('Elève (4ème2)'!AQ17:AS17,"A"))*4)+((COUNTIF('Elève (4ème2)'!AQ17:AS17,"B"))*3)+((COUNTIF('Elève (4ème2)'!AQ17:AS17,"C"))*2)+((COUNTIF('Elève (4ème2)'!AQ17:AS17,"D"))*1))/(COUNTA(AQ17:AS17)),"")</f>
        <v>3</v>
      </c>
      <c r="AU17" s="181" t="str">
        <f t="shared" si="8"/>
        <v>B</v>
      </c>
      <c r="AV17" s="123" t="s">
        <v>31</v>
      </c>
      <c r="AW17" s="124"/>
      <c r="AX17" s="125"/>
      <c r="AY17" s="125"/>
      <c r="AZ17" s="180">
        <f>IFERROR((((COUNTIF('Elève (4ème2)'!AV17:AY17,"A"))*4)+((COUNTIF('Elève (4ème2)'!AV17:AY17,"B"))*3)+((COUNTIF('Elève (4ème2)'!AV17:AY17,"C"))*2)+((COUNTIF('Elève (4ème2)'!AV17:AY17,"D"))*1))/(COUNTA(AV17:AY17)),"")</f>
        <v>2</v>
      </c>
      <c r="BA17" s="181" t="str">
        <f t="shared" si="9"/>
        <v>C</v>
      </c>
      <c r="BB17" s="123"/>
      <c r="BC17" s="218"/>
      <c r="BD17" s="218"/>
      <c r="BE17" s="124"/>
      <c r="BF17" s="129"/>
      <c r="BG17" s="180" t="str">
        <f>IFERROR((((COUNTIF('Elève (4ème2)'!BB17:BF17,"A"))*4)+((COUNTIF('Elève (4ème2)'!BB17:BF17,"B"))*3)+((COUNTIF('Elève (4ème2)'!BB17:BF17,"C"))*2)+((COUNTIF('Elève (4ème2)'!BB17:BF17,"D"))*1))/(COUNTA(BB17:BF17)),"")</f>
        <v/>
      </c>
      <c r="BH17" s="181" t="str">
        <f t="shared" si="10"/>
        <v/>
      </c>
      <c r="BI17" s="180">
        <f>IF(COUNT(AT17,AZ17,BG17)=0,"",SUM(AT17,AZ17,BG17)/COUNT(AT17,AZ17,BG17))</f>
        <v>2.5</v>
      </c>
      <c r="BJ17" s="210" t="str">
        <f t="shared" si="11"/>
        <v>C</v>
      </c>
      <c r="BK17" s="123" t="s">
        <v>31</v>
      </c>
      <c r="BL17" s="124" t="s">
        <v>30</v>
      </c>
      <c r="BM17" s="125"/>
      <c r="BN17" s="180">
        <f>IFERROR((((COUNTIF('Elève (4ème2)'!BK17:BM17,"A"))*4)+((COUNTIF('Elève (4ème2)'!BK17:BM17,"B"))*3)+((COUNTIF('Elève (4ème2)'!BK17:BM17,"C"))*2)+((COUNTIF('Elève (4ème2)'!BK17:BM17,"D"))*1))/(COUNTA(BK17:BM17)),"")</f>
        <v>2.5</v>
      </c>
      <c r="BO17" s="181" t="str">
        <f t="shared" si="12"/>
        <v>C</v>
      </c>
      <c r="BP17" s="123" t="s">
        <v>30</v>
      </c>
      <c r="BQ17" s="124"/>
      <c r="BR17" s="125"/>
      <c r="BS17" s="125"/>
      <c r="BT17" s="180">
        <f>IFERROR((((COUNTIF('Elève (4ème2)'!BP17:BS17,"A"))*4)+((COUNTIF('Elève (4ème2)'!BP17:BS17,"B"))*3)+((COUNTIF('Elève (4ème2)'!BP17:BS17,"C"))*2)+((COUNTIF('Elève (4ème2)'!BP17:BS17,"D"))*1))/(COUNTA(BP17:BS17)),"")</f>
        <v>3</v>
      </c>
      <c r="BU17" s="181" t="str">
        <f t="shared" si="13"/>
        <v>B</v>
      </c>
      <c r="BV17" s="123"/>
      <c r="BW17" s="218" t="s">
        <v>30</v>
      </c>
      <c r="BX17" s="218"/>
      <c r="BY17" s="124"/>
      <c r="BZ17" s="129"/>
      <c r="CA17" s="180">
        <f>IFERROR((((COUNTIF('Elève (4ème2)'!BV17:BZ17,"A"))*4)+((COUNTIF('Elève (4ème2)'!BV17:BZ17,"B"))*3)+((COUNTIF('Elève (4ème2)'!BV17:BZ17,"C"))*2)+((COUNTIF('Elève (4ème2)'!BV17:BZ17,"D"))*1))/(COUNTA(BV17:BZ17)),"")</f>
        <v>3</v>
      </c>
      <c r="CB17" s="181" t="str">
        <f t="shared" si="14"/>
        <v>B</v>
      </c>
      <c r="CC17" s="180">
        <f>IF(COUNT(BN17,BT17,CA17)=0,"",SUM(BN17,BT17,CA17)/COUNT(BN17,BT17,CA17))</f>
        <v>2.8333333333333335</v>
      </c>
      <c r="CD17" s="210" t="str">
        <f t="shared" si="15"/>
        <v>B</v>
      </c>
      <c r="CE17" s="123" t="s">
        <v>29</v>
      </c>
      <c r="CF17" s="124" t="s">
        <v>30</v>
      </c>
      <c r="CG17" s="125"/>
      <c r="CH17" s="180">
        <f>IFERROR((((COUNTIF('Elève (4ème2)'!CE17:CG17,"A"))*4)+((COUNTIF('Elève (4ème2)'!CE17:CG17,"B"))*3)+((COUNTIF('Elève (4ème2)'!CE17:CG17,"C"))*2)+((COUNTIF('Elève (4ème2)'!CE17:CG17,"D"))*1))/(COUNTA(CE17:CG17)),"")</f>
        <v>3.5</v>
      </c>
      <c r="CI17" s="181" t="str">
        <f t="shared" si="16"/>
        <v>B</v>
      </c>
      <c r="CJ17" s="123" t="s">
        <v>29</v>
      </c>
      <c r="CK17" s="124"/>
      <c r="CL17" s="125"/>
      <c r="CM17" s="125"/>
      <c r="CN17" s="180">
        <f>IFERROR((((COUNTIF('Elève (4ème2)'!CJ17:CM17,"A"))*4)+((COUNTIF('Elève (4ème2)'!CJ17:CM17,"B"))*3)+((COUNTIF('Elève (4ème2)'!CJ17:CM17,"C"))*2)+((COUNTIF('Elève (4ème2)'!CJ17:CM17,"D"))*1))/(COUNTA(CJ17:CM17)),"")</f>
        <v>4</v>
      </c>
      <c r="CO17" s="181" t="str">
        <f t="shared" si="17"/>
        <v>A</v>
      </c>
      <c r="CP17" s="123"/>
      <c r="CQ17" s="218" t="s">
        <v>30</v>
      </c>
      <c r="CR17" s="218"/>
      <c r="CS17" s="124"/>
      <c r="CT17" s="129"/>
      <c r="CU17" s="180">
        <f>IFERROR((((COUNTIF('Elève (4ème2)'!CP17:CT17,"A"))*4)+((COUNTIF('Elève (4ème2)'!CP17:CT17,"B"))*3)+((COUNTIF('Elève (4ème2)'!CP17:CT17,"C"))*2)+((COUNTIF('Elève (4ème2)'!CP17:CT17,"D"))*1))/(COUNTA(CP17:CT17)),"")</f>
        <v>3</v>
      </c>
      <c r="CV17" s="181" t="str">
        <f t="shared" si="18"/>
        <v>B</v>
      </c>
      <c r="CW17" s="180">
        <f>IF(COUNT(CH17,CN17,CU17)=0,"",SUM(CH17,CN17,CU17)/COUNT(CH17,CN17,CU17))</f>
        <v>3.5</v>
      </c>
      <c r="CX17" s="210" t="str">
        <f t="shared" si="19"/>
        <v>B</v>
      </c>
      <c r="CY17" s="123" t="s">
        <v>31</v>
      </c>
      <c r="CZ17" s="124" t="s">
        <v>30</v>
      </c>
      <c r="DA17" s="125"/>
      <c r="DB17" s="180">
        <f>IFERROR((((COUNTIF('Elève (4ème2)'!CY17:DA17,"A"))*4)+((COUNTIF('Elève (4ème2)'!CY17:DA17,"B"))*3)+((COUNTIF('Elève (4ème2)'!CY17:DA17,"C"))*2)+((COUNTIF('Elève (4ème2)'!CY17:DA17,"D"))*1))/(COUNTA(CY17:DA17)),"")</f>
        <v>2.5</v>
      </c>
      <c r="DC17" s="181" t="str">
        <f t="shared" si="20"/>
        <v>C</v>
      </c>
      <c r="DD17" s="123" t="s">
        <v>31</v>
      </c>
      <c r="DE17" s="124"/>
      <c r="DF17" s="125"/>
      <c r="DG17" s="125"/>
      <c r="DH17" s="180">
        <f>IFERROR((((COUNTIF('Elève (4ème2)'!DD17:DG17,"A"))*4)+((COUNTIF('Elève (4ème2)'!DD17:DG17,"B"))*3)+((COUNTIF('Elève (4ème2)'!DD17:DG17,"C"))*2)+((COUNTIF('Elève (4ème2)'!DD17:DG17,"D"))*1))/(COUNTA(DD17:DG17)),"")</f>
        <v>2</v>
      </c>
      <c r="DI17" s="181" t="str">
        <f t="shared" si="21"/>
        <v>C</v>
      </c>
      <c r="DJ17" s="123"/>
      <c r="DK17" s="218" t="s">
        <v>31</v>
      </c>
      <c r="DL17" s="218"/>
      <c r="DM17" s="124"/>
      <c r="DN17" s="129"/>
      <c r="DO17" s="180">
        <f>IFERROR((((COUNTIF('Elève (4ème2)'!DJ17:DN17,"A"))*4)+((COUNTIF('Elève (4ème2)'!DJ17:DN17,"B"))*3)+((COUNTIF('Elève (4ème2)'!DJ17:DN17,"C"))*2)+((COUNTIF('Elève (4ème2)'!DJ17:DN17,"D"))*1))/(COUNTA(DJ17:DN17)),"")</f>
        <v>2</v>
      </c>
      <c r="DP17" s="181" t="str">
        <f t="shared" si="22"/>
        <v>C</v>
      </c>
      <c r="DQ17" s="180">
        <f>IF(COUNT(DB17,DH17,DO17)=0,"",SUM(DB17,DH17,DO17)/COUNT(DB17,DH17,DO17))</f>
        <v>2.1666666666666665</v>
      </c>
      <c r="DR17" s="210" t="str">
        <f t="shared" si="23"/>
        <v>C</v>
      </c>
      <c r="DS17" s="123" t="s">
        <v>31</v>
      </c>
      <c r="DT17" s="124" t="s">
        <v>31</v>
      </c>
      <c r="DU17" s="125"/>
      <c r="DV17" s="180">
        <f>IFERROR((((COUNTIF('Elève (4ème2)'!DS17:DU17,"A"))*4)+((COUNTIF('Elève (4ème2)'!DS17:DU17,"B"))*3)+((COUNTIF('Elève (4ème2)'!DS17:DU17,"C"))*2)+((COUNTIF('Elève (4ème2)'!DS17:DU17,"D"))*1))/(COUNTA(DS17:DU17)),"")</f>
        <v>2</v>
      </c>
      <c r="DW17" s="181" t="str">
        <f t="shared" si="24"/>
        <v>C</v>
      </c>
      <c r="DX17" s="123" t="s">
        <v>30</v>
      </c>
      <c r="DY17" s="124"/>
      <c r="DZ17" s="125"/>
      <c r="EA17" s="125"/>
      <c r="EB17" s="180">
        <f>IFERROR((((COUNTIF('Elève (4ème2)'!DX17:EA17,"A"))*4)+((COUNTIF('Elève (4ème2)'!DX17:EA17,"B"))*3)+((COUNTIF('Elève (4ème2)'!DX17:EA17,"C"))*2)+((COUNTIF('Elève (4ème2)'!DX17:EA17,"D"))*1))/(COUNTA(DX17:EA17)),"")</f>
        <v>3</v>
      </c>
      <c r="EC17" s="181" t="str">
        <f t="shared" si="25"/>
        <v>B</v>
      </c>
      <c r="ED17" s="123"/>
      <c r="EE17" s="218" t="s">
        <v>30</v>
      </c>
      <c r="EF17" s="218"/>
      <c r="EG17" s="124"/>
      <c r="EH17" s="129"/>
      <c r="EI17" s="180">
        <f>IFERROR((((COUNTIF('Elève (4ème2)'!ED17:EH17,"A"))*4)+((COUNTIF('Elève (4ème2)'!ED17:EH17,"B"))*3)+((COUNTIF('Elève (4ème2)'!ED17:EH17,"C"))*2)+((COUNTIF('Elève (4ème2)'!ED17:EH17,"D"))*1))/(COUNTA(ED17:EH17)),"")</f>
        <v>3</v>
      </c>
      <c r="EJ17" s="181" t="str">
        <f t="shared" si="26"/>
        <v>B</v>
      </c>
      <c r="EK17" s="180">
        <f>IF(COUNT(DV17,EB17,EI17)=0,"",SUM(DV17,EB17,EI17)/COUNT(DV17,EB17,EI17))</f>
        <v>2.6666666666666665</v>
      </c>
      <c r="EL17" s="210" t="str">
        <f t="shared" si="27"/>
        <v>C</v>
      </c>
      <c r="EM17" s="123" t="s">
        <v>30</v>
      </c>
      <c r="EN17" s="124" t="s">
        <v>30</v>
      </c>
      <c r="EO17" s="125"/>
      <c r="EP17" s="180">
        <f>IFERROR((((COUNTIF('Elève (4ème2)'!EM17:EO17,"A"))*4)+((COUNTIF('Elève (4ème2)'!EM17:EO17,"B"))*3)+((COUNTIF('Elève (4ème2)'!EM17:EO17,"C"))*2)+((COUNTIF('Elève (4ème2)'!EM17:EO17,"D"))*1))/(COUNTA(EM17:EO17)),"")</f>
        <v>3</v>
      </c>
      <c r="EQ17" s="181" t="str">
        <f t="shared" si="28"/>
        <v>B</v>
      </c>
      <c r="ER17" s="123" t="s">
        <v>31</v>
      </c>
      <c r="ES17" s="124"/>
      <c r="ET17" s="125"/>
      <c r="EU17" s="125"/>
      <c r="EV17" s="180">
        <f>IFERROR((((COUNTIF('Elève (4ème2)'!ER17:EU17,"A"))*4)+((COUNTIF('Elève (4ème2)'!ER17:EU17,"B"))*3)+((COUNTIF('Elève (4ème2)'!ER17:EU17,"C"))*2)+((COUNTIF('Elève (4ème2)'!ER17:EU17,"D"))*1))/(COUNTA(ER17:EU17)),"")</f>
        <v>2</v>
      </c>
      <c r="EW17" s="181" t="str">
        <f t="shared" si="29"/>
        <v>C</v>
      </c>
      <c r="EX17" s="123"/>
      <c r="EY17" s="218" t="s">
        <v>30</v>
      </c>
      <c r="EZ17" s="218"/>
      <c r="FA17" s="124"/>
      <c r="FB17" s="129"/>
      <c r="FC17" s="180">
        <f>IFERROR((((COUNTIF('Elève (4ème2)'!EX17:FB17,"A"))*4)+((COUNTIF('Elève (4ème2)'!EX17:FB17,"B"))*3)+((COUNTIF('Elève (4ème2)'!EX17:FB17,"C"))*2)+((COUNTIF('Elève (4ème2)'!EX17:FB17,"D"))*1))/(COUNTA(EX17:FB17)),"")</f>
        <v>3</v>
      </c>
      <c r="FD17" s="181" t="str">
        <f t="shared" si="30"/>
        <v>B</v>
      </c>
      <c r="FE17" s="180">
        <f>IF(COUNT(EP17,EV17,FC17)=0,"",SUM(EP17,EV17,FC17)/COUNT(EP17,EV17,FC17))</f>
        <v>2.6666666666666665</v>
      </c>
      <c r="FF17" s="210" t="str">
        <f t="shared" si="31"/>
        <v>C</v>
      </c>
      <c r="FG17" s="123" t="s">
        <v>30</v>
      </c>
      <c r="FH17" s="124" t="s">
        <v>30</v>
      </c>
      <c r="FI17" s="125"/>
      <c r="FJ17" s="180">
        <f>IFERROR((((COUNTIF('Elève (4ème2)'!FG17:FI17,"A"))*4)+((COUNTIF('Elève (4ème2)'!FG17:FI17,"B"))*3)+((COUNTIF('Elève (4ème2)'!FG17:FI17,"C"))*2)+((COUNTIF('Elève (4ème2)'!FG17:FI17,"D"))*1))/(COUNTA(FG17:FI17)),"")</f>
        <v>3</v>
      </c>
      <c r="FK17" s="181" t="str">
        <f t="shared" si="32"/>
        <v>B</v>
      </c>
      <c r="FL17" s="123" t="s">
        <v>30</v>
      </c>
      <c r="FM17" s="124"/>
      <c r="FN17" s="125"/>
      <c r="FO17" s="125"/>
      <c r="FP17" s="180">
        <f>IFERROR((((COUNTIF('Elève (4ème2)'!FL17:FO17,"A"))*4)+((COUNTIF('Elève (4ème2)'!FL17:FO17,"B"))*3)+((COUNTIF('Elève (4ème2)'!FL17:FO17,"C"))*2)+((COUNTIF('Elève (4ème2)'!FL17:FO17,"D"))*1))/(COUNTA(FL17:FO17)),"")</f>
        <v>3</v>
      </c>
      <c r="FQ17" s="181" t="str">
        <f t="shared" si="33"/>
        <v>B</v>
      </c>
      <c r="FR17" s="123"/>
      <c r="FS17" s="218" t="s">
        <v>31</v>
      </c>
      <c r="FT17" s="218"/>
      <c r="FU17" s="124"/>
      <c r="FV17" s="129"/>
      <c r="FW17" s="180">
        <f>IFERROR((((COUNTIF('Elève (4ème2)'!FR17:FV17,"A"))*4)+((COUNTIF('Elève (4ème2)'!FR17:FV17,"B"))*3)+((COUNTIF('Elève (4ème2)'!FR17:FV17,"C"))*2)+((COUNTIF('Elève (4ème2)'!FR17:FV17,"D"))*1))/(COUNTA(FR17:FV17)),"")</f>
        <v>2</v>
      </c>
      <c r="FX17" s="181" t="str">
        <f t="shared" si="34"/>
        <v>C</v>
      </c>
      <c r="FY17" s="180">
        <f>IF(COUNT(FJ17,FP17,FW17)=0,"",SUM(FJ17,FP17,FW17)/COUNT(FJ17,FP17,FW17))</f>
        <v>2.6666666666666665</v>
      </c>
      <c r="FZ17" s="210" t="str">
        <f t="shared" si="35"/>
        <v>C</v>
      </c>
      <c r="GA17" s="123" t="s">
        <v>32</v>
      </c>
      <c r="GB17" s="124" t="s">
        <v>31</v>
      </c>
      <c r="GC17" s="125"/>
      <c r="GD17" s="180">
        <f>IFERROR((((COUNTIF('Elève (4ème2)'!GA17:GC17,"A"))*4)+((COUNTIF('Elève (4ème2)'!GA17:GC17,"B"))*3)+((COUNTIF('Elève (4ème2)'!GA17:GC17,"C"))*2)+((COUNTIF('Elève (4ème2)'!GA17:GC17,"D"))*1))/(COUNTA(GA17:GC17)),"")</f>
        <v>1.5</v>
      </c>
      <c r="GE17" s="181" t="str">
        <f t="shared" si="36"/>
        <v>D</v>
      </c>
      <c r="GF17" s="123"/>
      <c r="GG17" s="124"/>
      <c r="GH17" s="125"/>
      <c r="GI17" s="125"/>
      <c r="GJ17" s="180" t="str">
        <f>IFERROR((((COUNTIF('Elève (4ème2)'!GF17:GI17,"A"))*4)+((COUNTIF('Elève (4ème2)'!GF17:GI17,"B"))*3)+((COUNTIF('Elève (4ème2)'!GF17:GI17,"C"))*2)+((COUNTIF('Elève (4ème2)'!GF17:GI17,"D"))*1))/(COUNTA(GF17:GI17)),"")</f>
        <v/>
      </c>
      <c r="GK17" s="181" t="str">
        <f t="shared" si="37"/>
        <v/>
      </c>
      <c r="GL17" s="123"/>
      <c r="GM17" s="218" t="s">
        <v>31</v>
      </c>
      <c r="GN17" s="218"/>
      <c r="GO17" s="124"/>
      <c r="GP17" s="129"/>
      <c r="GQ17" s="180">
        <f>IFERROR((((COUNTIF('Elève (4ème2)'!GL17:GP17,"A"))*4)+((COUNTIF('Elève (4ème2)'!GL17:GP17,"B"))*3)+((COUNTIF('Elève (4ème2)'!GL17:GP17,"C"))*2)+((COUNTIF('Elève (4ème2)'!GL17:GP17,"D"))*1))/(COUNTA(GL17:GP17)),"")</f>
        <v>2</v>
      </c>
      <c r="GR17" s="181" t="str">
        <f t="shared" si="38"/>
        <v>C</v>
      </c>
      <c r="GS17" s="180">
        <f>IF(COUNT(GD17,GJ17,GQ17)=0,"",SUM(GD17,GJ17,GQ17)/COUNT(GD17,GJ17,GQ17))</f>
        <v>1.75</v>
      </c>
      <c r="GT17" s="210" t="str">
        <f t="shared" si="39"/>
        <v>C</v>
      </c>
      <c r="GU17" s="123" t="s">
        <v>31</v>
      </c>
      <c r="GV17" s="124" t="s">
        <v>30</v>
      </c>
      <c r="GW17" s="125"/>
      <c r="GX17" s="180">
        <f>IFERROR((((COUNTIF('Elève (4ème2)'!GU17:GW17,"A"))*4)+((COUNTIF('Elève (4ème2)'!GU17:GW17,"B"))*3)+((COUNTIF('Elève (4ème2)'!GU17:GW17,"C"))*2)+((COUNTIF('Elève (4ème2)'!GU17:GW17,"D"))*1))/(COUNTA(GU17:GW17)),"")</f>
        <v>2.5</v>
      </c>
      <c r="GY17" s="181" t="str">
        <f t="shared" si="40"/>
        <v>C</v>
      </c>
      <c r="GZ17" s="123" t="s">
        <v>31</v>
      </c>
      <c r="HA17" s="124"/>
      <c r="HB17" s="125"/>
      <c r="HC17" s="125"/>
      <c r="HD17" s="180">
        <f>IFERROR((((COUNTIF('Elève (4ème2)'!GZ17:HC17,"A"))*4)+((COUNTIF('Elève (4ème2)'!GZ17:HC17,"B"))*3)+((COUNTIF('Elève (4ème2)'!GZ17:HC17,"C"))*2)+((COUNTIF('Elève (4ème2)'!GZ17:HC17,"D"))*1))/(COUNTA(GZ17:HC17)),"")</f>
        <v>2</v>
      </c>
      <c r="HE17" s="181" t="str">
        <f t="shared" si="41"/>
        <v>C</v>
      </c>
      <c r="HF17" s="123"/>
      <c r="HG17" s="218" t="s">
        <v>31</v>
      </c>
      <c r="HH17" s="218"/>
      <c r="HI17" s="124"/>
      <c r="HJ17" s="129"/>
      <c r="HK17" s="180">
        <f>IFERROR((((COUNTIF('Elève (4ème2)'!HF17:HJ17,"A"))*4)+((COUNTIF('Elève (4ème2)'!HF17:HJ17,"B"))*3)+((COUNTIF('Elève (4ème2)'!HF17:HJ17,"C"))*2)+((COUNTIF('Elève (4ème2)'!HF17:HJ17,"D"))*1))/(COUNTA(HF17:HJ17)),"")</f>
        <v>2</v>
      </c>
      <c r="HL17" s="181" t="str">
        <f t="shared" si="42"/>
        <v>C</v>
      </c>
      <c r="HM17" s="180">
        <f>IF(COUNT(GX17,HD17,HK17)=0,"",SUM(GX17,HD17,HK17)/COUNT(GX17,HD17,HK17))</f>
        <v>2.1666666666666665</v>
      </c>
      <c r="HN17" s="210" t="str">
        <f t="shared" si="43"/>
        <v>C</v>
      </c>
      <c r="HO17" s="123" t="s">
        <v>31</v>
      </c>
      <c r="HP17" s="124" t="s">
        <v>30</v>
      </c>
      <c r="HQ17" s="125"/>
      <c r="HR17" s="180">
        <f>IFERROR((((COUNTIF('Elève (4ème2)'!HO17:HQ17,"A"))*4)+((COUNTIF('Elève (4ème2)'!HO17:HQ17,"B"))*3)+((COUNTIF('Elève (4ème2)'!HO17:HQ17,"C"))*2)+((COUNTIF('Elève (4ème2)'!HO17:HQ17,"D"))*1))/(COUNTA(HO17:HQ17)),"")</f>
        <v>2.5</v>
      </c>
      <c r="HS17" s="181" t="str">
        <f t="shared" si="44"/>
        <v>C</v>
      </c>
      <c r="HT17" s="123" t="s">
        <v>30</v>
      </c>
      <c r="HU17" s="124"/>
      <c r="HV17" s="125"/>
      <c r="HW17" s="125"/>
      <c r="HX17" s="180">
        <f>IFERROR((((COUNTIF('Elève (4ème2)'!HT17:HW17,"A"))*4)+((COUNTIF('Elève (4ème2)'!HT17:HW17,"B"))*3)+((COUNTIF('Elève (4ème2)'!HT17:HW17,"C"))*2)+((COUNTIF('Elève (4ème2)'!HT17:HW17,"D"))*1))/(COUNTA(HT17:HW17)),"")</f>
        <v>3</v>
      </c>
      <c r="HY17" s="181" t="str">
        <f t="shared" si="45"/>
        <v>B</v>
      </c>
      <c r="HZ17" s="123"/>
      <c r="IA17" s="218" t="s">
        <v>29</v>
      </c>
      <c r="IB17" s="218"/>
      <c r="IC17" s="124"/>
      <c r="ID17" s="129"/>
      <c r="IE17" s="180">
        <f>IFERROR((((COUNTIF('Elève (4ème2)'!HZ17:ID17,"A"))*4)+((COUNTIF('Elève (4ème2)'!HZ17:ID17,"B"))*3)+((COUNTIF('Elève (4ème2)'!HZ17:ID17,"C"))*2)+((COUNTIF('Elève (4ème2)'!HZ17:ID17,"D"))*1))/(COUNTA(HZ17:ID17)),"")</f>
        <v>4</v>
      </c>
      <c r="IF17" s="181" t="str">
        <f t="shared" si="46"/>
        <v>A</v>
      </c>
      <c r="IG17" s="180">
        <f>IF(COUNT(HR17,HX17,IE17)=0,"",SUM(HR17,HX17,IE17)/COUNT(HR17,HX17,IE17))</f>
        <v>3.1666666666666665</v>
      </c>
      <c r="IH17" s="210" t="str">
        <f t="shared" si="47"/>
        <v>B</v>
      </c>
      <c r="II17" s="123" t="s">
        <v>30</v>
      </c>
      <c r="IJ17" s="124" t="s">
        <v>30</v>
      </c>
      <c r="IK17" s="125"/>
      <c r="IL17" s="180">
        <f>IFERROR((((COUNTIF('Elève (4ème2)'!II17:IK17,"A"))*4)+((COUNTIF('Elève (4ème2)'!II17:IK17,"B"))*3)+((COUNTIF('Elève (4ème2)'!II17:IK17,"C"))*2)+((COUNTIF('Elève (4ème2)'!II17:IK17,"D"))*1))/(COUNTA(II17:IK17)),"")</f>
        <v>3</v>
      </c>
      <c r="IM17" s="181" t="str">
        <f t="shared" si="48"/>
        <v>B</v>
      </c>
      <c r="IN17" s="123"/>
      <c r="IO17" s="124"/>
      <c r="IP17" s="125"/>
      <c r="IQ17" s="125"/>
      <c r="IR17" s="180" t="str">
        <f>IFERROR((((COUNTIF('Elève (4ème2)'!IN17:IQ17,"A"))*4)+((COUNTIF('Elève (4ème2)'!IN17:IQ17,"B"))*3)+((COUNTIF('Elève (4ème2)'!IN17:IQ17,"C"))*2)+((COUNTIF('Elève (4ème2)'!IN17:IQ17,"D"))*1))/(COUNTA(IN17:IQ17)),"")</f>
        <v/>
      </c>
      <c r="IS17" s="181" t="str">
        <f t="shared" si="49"/>
        <v/>
      </c>
      <c r="IT17" s="123"/>
      <c r="IU17" s="218" t="s">
        <v>29</v>
      </c>
      <c r="IV17" s="218"/>
      <c r="IW17" s="124"/>
      <c r="IX17" s="129"/>
      <c r="IY17" s="180">
        <f>IFERROR((((COUNTIF('Elève (4ème2)'!IT17:IX17,"A"))*4)+((COUNTIF('Elève (4ème2)'!IT17:IX17,"B"))*3)+((COUNTIF('Elève (4ème2)'!IT17:IX17,"C"))*2)+((COUNTIF('Elève (4ème2)'!IT17:IX17,"D"))*1))/(COUNTA(IT17:IX17)),"")</f>
        <v>4</v>
      </c>
      <c r="IZ17" s="181" t="str">
        <f t="shared" si="50"/>
        <v>A</v>
      </c>
      <c r="JA17" s="180">
        <f>IF(COUNT(IL17,IR17,IY17)=0,"",SUM(IL17,IR17,IY17)/COUNT(IL17,IR17,IY17))</f>
        <v>3.5</v>
      </c>
      <c r="JB17" s="210" t="str">
        <f t="shared" si="51"/>
        <v>B</v>
      </c>
      <c r="JC17" s="123" t="s">
        <v>30</v>
      </c>
      <c r="JD17" s="124" t="s">
        <v>30</v>
      </c>
      <c r="JE17" s="125"/>
      <c r="JF17" s="180">
        <f>IFERROR((((COUNTIF('Elève (4ème2)'!JC17:JE17,"A"))*4)+((COUNTIF('Elève (4ème2)'!JC17:JE17,"B"))*3)+((COUNTIF('Elève (4ème2)'!JC17:JE17,"C"))*2)+((COUNTIF('Elève (4ème2)'!JC17:JE17,"D"))*1))/(COUNTA(JC17:JE17)),"")</f>
        <v>3</v>
      </c>
      <c r="JG17" s="181" t="str">
        <f t="shared" si="52"/>
        <v>B</v>
      </c>
      <c r="JH17" s="123" t="s">
        <v>30</v>
      </c>
      <c r="JI17" s="124"/>
      <c r="JJ17" s="125"/>
      <c r="JK17" s="125"/>
      <c r="JL17" s="180">
        <f>IFERROR((((COUNTIF('Elève (4ème2)'!JH17:JK17,"A"))*4)+((COUNTIF('Elève (4ème2)'!JH17:JK17,"B"))*3)+((COUNTIF('Elève (4ème2)'!JH17:JK17,"C"))*2)+((COUNTIF('Elève (4ème2)'!JH17:JK17,"D"))*1))/(COUNTA(JH17:JK17)),"")</f>
        <v>3</v>
      </c>
      <c r="JM17" s="181" t="str">
        <f t="shared" si="53"/>
        <v>B</v>
      </c>
      <c r="JN17" s="123"/>
      <c r="JO17" s="218" t="s">
        <v>30</v>
      </c>
      <c r="JP17" s="218"/>
      <c r="JQ17" s="124"/>
      <c r="JR17" s="129"/>
      <c r="JS17" s="180">
        <f>IFERROR((((COUNTIF('Elève (4ème2)'!JN17:JR17,"A"))*4)+((COUNTIF('Elève (4ème2)'!JN17:JR17,"B"))*3)+((COUNTIF('Elève (4ème2)'!JN17:JR17,"C"))*2)+((COUNTIF('Elève (4ème2)'!JN17:JR17,"D"))*1))/(COUNTA(JN17:JR17)),"")</f>
        <v>3</v>
      </c>
      <c r="JT17" s="181" t="str">
        <f t="shared" si="54"/>
        <v>B</v>
      </c>
      <c r="JU17" s="180">
        <f>IF(COUNT(JF17,JL17,JS17)=0,"",SUM(JF17,JL17,JS17)/COUNT(JF17,JL17,JS17))</f>
        <v>3</v>
      </c>
      <c r="JV17" s="210" t="str">
        <f t="shared" si="55"/>
        <v>B</v>
      </c>
      <c r="JW17" s="123" t="s">
        <v>30</v>
      </c>
      <c r="JX17" s="124" t="s">
        <v>30</v>
      </c>
      <c r="JY17" s="125"/>
      <c r="JZ17" s="180">
        <f>IFERROR((((COUNTIF('Elève (4ème2)'!JW17:JY17,"A"))*4)+((COUNTIF('Elève (4ème2)'!JW17:JY17,"B"))*3)+((COUNTIF('Elève (4ème2)'!JW17:JY17,"C"))*2)+((COUNTIF('Elève (4ème2)'!JW17:JY17,"D"))*1))/(COUNTA(JW17:JY17)),"")</f>
        <v>3</v>
      </c>
      <c r="KA17" s="181" t="str">
        <f t="shared" si="56"/>
        <v>B</v>
      </c>
      <c r="KB17" s="123" t="s">
        <v>30</v>
      </c>
      <c r="KC17" s="124"/>
      <c r="KD17" s="125"/>
      <c r="KE17" s="125"/>
      <c r="KF17" s="180">
        <f>IFERROR((((COUNTIF('Elève (4ème2)'!KB17:KE17,"A"))*4)+((COUNTIF('Elève (4ème2)'!KB17:KE17,"B"))*3)+((COUNTIF('Elève (4ème2)'!KB17:KE17,"C"))*2)+((COUNTIF('Elève (4ème2)'!KB17:KE17,"D"))*1))/(COUNTA(KB17:KE17)),"")</f>
        <v>3</v>
      </c>
      <c r="KG17" s="181" t="str">
        <f t="shared" si="57"/>
        <v>B</v>
      </c>
      <c r="KH17" s="123"/>
      <c r="KI17" s="218" t="s">
        <v>29</v>
      </c>
      <c r="KJ17" s="218"/>
      <c r="KK17" s="124"/>
      <c r="KL17" s="129"/>
      <c r="KM17" s="180">
        <f>IFERROR((((COUNTIF('Elève (4ème2)'!KH17:KL17,"A"))*4)+((COUNTIF('Elève (4ème2)'!KH17:KL17,"B"))*3)+((COUNTIF('Elève (4ème2)'!KH17:KL17,"C"))*2)+((COUNTIF('Elève (4ème2)'!KH17:KL17,"D"))*1))/(COUNTA(KH17:KL17)),"")</f>
        <v>4</v>
      </c>
      <c r="KN17" s="181" t="str">
        <f t="shared" si="58"/>
        <v>A</v>
      </c>
      <c r="KO17" s="180">
        <f>IF(COUNT(JZ17,KF17,KM17)=0,"",SUM(JZ17,KF17,KM17)/COUNT(JZ17,KF17,KM17))</f>
        <v>3.3333333333333335</v>
      </c>
      <c r="KP17" s="210" t="str">
        <f t="shared" si="59"/>
        <v>B</v>
      </c>
      <c r="KQ17" s="123" t="s">
        <v>30</v>
      </c>
      <c r="KR17" s="124" t="s">
        <v>31</v>
      </c>
      <c r="KS17" s="125"/>
      <c r="KT17" s="180">
        <f>IFERROR((((COUNTIF('Elève (4ème2)'!KQ17:KS17,"A"))*4)+((COUNTIF('Elève (4ème2)'!KQ17:KS17,"B"))*3)+((COUNTIF('Elève (4ème2)'!KQ17:KS17,"C"))*2)+((COUNTIF('Elève (4ème2)'!KQ17:KS17,"D"))*1))/(COUNTA(KQ17:KS17)),"")</f>
        <v>2.5</v>
      </c>
      <c r="KU17" s="181" t="str">
        <f t="shared" si="60"/>
        <v>C</v>
      </c>
      <c r="KV17" s="123" t="s">
        <v>30</v>
      </c>
      <c r="KW17" s="124"/>
      <c r="KX17" s="125"/>
      <c r="KY17" s="125"/>
      <c r="KZ17" s="180">
        <f>IFERROR((((COUNTIF('Elève (4ème2)'!KV17:KY17,"A"))*4)+((COUNTIF('Elève (4ème2)'!KV17:KY17,"B"))*3)+((COUNTIF('Elève (4ème2)'!KV17:KY17,"C"))*2)+((COUNTIF('Elève (4ème2)'!KV17:KY17,"D"))*1))/(COUNTA(KV17:KY17)),"")</f>
        <v>3</v>
      </c>
      <c r="LA17" s="181" t="str">
        <f t="shared" si="61"/>
        <v>B</v>
      </c>
      <c r="LB17" s="123"/>
      <c r="LC17" s="218" t="s">
        <v>31</v>
      </c>
      <c r="LD17" s="218"/>
      <c r="LE17" s="124"/>
      <c r="LF17" s="129"/>
      <c r="LG17" s="180">
        <f>IFERROR((((COUNTIF('Elève (4ème2)'!LB17:LF17,"A"))*4)+((COUNTIF('Elève (4ème2)'!LB17:LF17,"B"))*3)+((COUNTIF('Elève (4ème2)'!LB17:LF17,"C"))*2)+((COUNTIF('Elève (4ème2)'!LB17:LF17,"D"))*1))/(COUNTA(LB17:LF17)),"")</f>
        <v>2</v>
      </c>
      <c r="LH17" s="181" t="str">
        <f t="shared" si="62"/>
        <v>C</v>
      </c>
      <c r="LI17" s="180">
        <f>IF(COUNT(KT17,KZ17,LG17)=0,"",SUM(KT17,KZ17,LG17)/COUNT(KT17,KZ17,LG17))</f>
        <v>2.5</v>
      </c>
      <c r="LJ17" s="210" t="str">
        <f t="shared" si="63"/>
        <v>C</v>
      </c>
      <c r="LK17" s="123" t="s">
        <v>32</v>
      </c>
      <c r="LL17" s="124" t="s">
        <v>31</v>
      </c>
      <c r="LM17" s="125"/>
      <c r="LN17" s="180">
        <f>IFERROR((((COUNTIF('Elève (4ème2)'!LK17:LM17,"A"))*4)+((COUNTIF('Elève (4ème2)'!LK17:LM17,"B"))*3)+((COUNTIF('Elève (4ème2)'!LK17:LM17,"C"))*2)+((COUNTIF('Elève (4ème2)'!LK17:LM17,"D"))*1))/(COUNTA(LK17:LM17)),"")</f>
        <v>1.5</v>
      </c>
      <c r="LO17" s="181" t="str">
        <f t="shared" si="64"/>
        <v>D</v>
      </c>
      <c r="LP17" s="123" t="s">
        <v>31</v>
      </c>
      <c r="LQ17" s="124"/>
      <c r="LR17" s="125"/>
      <c r="LS17" s="125"/>
      <c r="LT17" s="180">
        <f>IFERROR((((COUNTIF('Elève (4ème2)'!LP17:LS17,"A"))*4)+((COUNTIF('Elève (4ème2)'!LP17:LS17,"B"))*3)+((COUNTIF('Elève (4ème2)'!LP17:LS17,"C"))*2)+((COUNTIF('Elève (4ème2)'!LP17:LS17,"D"))*1))/(COUNTA(LP17:LS17)),"")</f>
        <v>2</v>
      </c>
      <c r="LU17" s="181" t="str">
        <f t="shared" si="65"/>
        <v>C</v>
      </c>
      <c r="LV17" s="123"/>
      <c r="LW17" s="218" t="s">
        <v>31</v>
      </c>
      <c r="LX17" s="218"/>
      <c r="LY17" s="124"/>
      <c r="LZ17" s="129"/>
      <c r="MA17" s="180">
        <f>IFERROR((((COUNTIF('Elève (4ème2)'!LV17:LZ17,"A"))*4)+((COUNTIF('Elève (4ème2)'!LV17:LZ17,"B"))*3)+((COUNTIF('Elève (4ème2)'!LV17:LZ17,"C"))*2)+((COUNTIF('Elève (4ème2)'!LV17:LZ17,"D"))*1))/(COUNTA(LV17:LZ17)),"")</f>
        <v>2</v>
      </c>
      <c r="MB17" s="181" t="str">
        <f t="shared" si="66"/>
        <v>C</v>
      </c>
      <c r="MC17" s="180">
        <f>IF(COUNT(LN17,LT17,MA17)=0,"",SUM(LN17,LT17,MA17)/COUNT(LN17,LT17,MA17))</f>
        <v>1.8333333333333333</v>
      </c>
      <c r="MD17" s="210" t="str">
        <f t="shared" si="67"/>
        <v>C</v>
      </c>
      <c r="ME17" s="123" t="s">
        <v>31</v>
      </c>
      <c r="MF17" s="124" t="s">
        <v>31</v>
      </c>
      <c r="MG17" s="125"/>
      <c r="MH17" s="180">
        <f>IFERROR((((COUNTIF('Elève (4ème2)'!ME17:MG17,"A"))*4)+((COUNTIF('Elève (4ème2)'!ME17:MG17,"B"))*3)+((COUNTIF('Elève (4ème2)'!ME17:MG17,"C"))*2)+((COUNTIF('Elève (4ème2)'!ME17:MG17,"D"))*1))/(COUNTA(ME17:MG17)),"")</f>
        <v>2</v>
      </c>
      <c r="MI17" s="181" t="str">
        <f t="shared" si="68"/>
        <v>C</v>
      </c>
      <c r="MJ17" s="123" t="s">
        <v>31</v>
      </c>
      <c r="MK17" s="124"/>
      <c r="ML17" s="125"/>
      <c r="MM17" s="125"/>
      <c r="MN17" s="180">
        <f>IFERROR((((COUNTIF('Elève (4ème2)'!MJ17:MM17,"A"))*4)+((COUNTIF('Elève (4ème2)'!MJ17:MM17,"B"))*3)+((COUNTIF('Elève (4ème2)'!MJ17:MM17,"C"))*2)+((COUNTIF('Elève (4ème2)'!MJ17:MM17,"D"))*1))/(COUNTA(MJ17:MM17)),"")</f>
        <v>2</v>
      </c>
      <c r="MO17" s="181" t="str">
        <f t="shared" si="69"/>
        <v>C</v>
      </c>
      <c r="MP17" s="123"/>
      <c r="MQ17" s="218" t="s">
        <v>31</v>
      </c>
      <c r="MR17" s="218"/>
      <c r="MS17" s="124"/>
      <c r="MT17" s="129"/>
      <c r="MU17" s="180">
        <f>IFERROR((((COUNTIF('Elève (4ème2)'!MP17:MT17,"A"))*4)+((COUNTIF('Elève (4ème2)'!MP17:MT17,"B"))*3)+((COUNTIF('Elève (4ème2)'!MP17:MT17,"C"))*2)+((COUNTIF('Elève (4ème2)'!MP17:MT17,"D"))*1))/(COUNTA(MP17:MT17)),"")</f>
        <v>2</v>
      </c>
      <c r="MV17" s="181" t="str">
        <f t="shared" si="70"/>
        <v>C</v>
      </c>
      <c r="MW17" s="180">
        <f>IF(COUNT(MH17,MN17,MU17)=0,"",SUM(MH17,MN17,MU17)/COUNT(MH17,MN17,MU17))</f>
        <v>2</v>
      </c>
      <c r="MX17" s="210" t="str">
        <f t="shared" si="71"/>
        <v>C</v>
      </c>
      <c r="MY17" s="123" t="s">
        <v>30</v>
      </c>
      <c r="MZ17" s="124" t="s">
        <v>30</v>
      </c>
      <c r="NA17" s="125"/>
      <c r="NB17" s="180">
        <f>IFERROR((((COUNTIF('Elève (4ème2)'!MY17:NA17,"A"))*4)+((COUNTIF('Elève (4ème2)'!MY17:NA17,"B"))*3)+((COUNTIF('Elève (4ème2)'!MY17:NA17,"C"))*2)+((COUNTIF('Elève (4ème2)'!MY17:NA17,"D"))*1))/(COUNTA(MY17:NA17)),"")</f>
        <v>3</v>
      </c>
      <c r="NC17" s="181" t="str">
        <f t="shared" si="72"/>
        <v>B</v>
      </c>
      <c r="ND17" s="123" t="s">
        <v>30</v>
      </c>
      <c r="NE17" s="124"/>
      <c r="NF17" s="125"/>
      <c r="NG17" s="125"/>
      <c r="NH17" s="180">
        <f>IFERROR((((COUNTIF('Elève (4ème2)'!ND17:NG17,"A"))*4)+((COUNTIF('Elève (4ème2)'!ND17:NG17,"B"))*3)+((COUNTIF('Elève (4ème2)'!ND17:NG17,"C"))*2)+((COUNTIF('Elève (4ème2)'!ND17:NG17,"D"))*1))/(COUNTA(ND17:NG17)),"")</f>
        <v>3</v>
      </c>
      <c r="NI17" s="181" t="str">
        <f t="shared" si="73"/>
        <v>B</v>
      </c>
      <c r="NJ17" s="123"/>
      <c r="NK17" s="218" t="s">
        <v>30</v>
      </c>
      <c r="NL17" s="218"/>
      <c r="NM17" s="124"/>
      <c r="NN17" s="129"/>
      <c r="NO17" s="180">
        <f>IFERROR((((COUNTIF('Elève (4ème2)'!NJ17:NN17,"A"))*4)+((COUNTIF('Elève (4ème2)'!NJ17:NN17,"B"))*3)+((COUNTIF('Elève (4ème2)'!NJ17:NN17,"C"))*2)+((COUNTIF('Elève (4ème2)'!NJ17:NN17,"D"))*1))/(COUNTA(NJ17:NN17)),"")</f>
        <v>3</v>
      </c>
      <c r="NP17" s="181" t="str">
        <f t="shared" si="74"/>
        <v>B</v>
      </c>
      <c r="NQ17" s="180">
        <f>IF(COUNT(NB17,NH17,NO17)=0,"",SUM(NB17,NH17,NO17)/COUNT(NB17,NH17,NO17))</f>
        <v>3</v>
      </c>
      <c r="NR17" s="210" t="str">
        <f t="shared" si="75"/>
        <v>B</v>
      </c>
      <c r="NS17" s="123" t="s">
        <v>30</v>
      </c>
      <c r="NT17" s="124" t="s">
        <v>29</v>
      </c>
      <c r="NU17" s="125"/>
      <c r="NV17" s="180">
        <f>IFERROR((((COUNTIF('Elève (4ème2)'!NS17:NU17,"A"))*4)+((COUNTIF('Elève (4ème2)'!NS17:NU17,"B"))*3)+((COUNTIF('Elève (4ème2)'!NS17:NU17,"C"))*2)+((COUNTIF('Elève (4ème2)'!NS17:NU17,"D"))*1))/(COUNTA(NS17:NU17)),"")</f>
        <v>3.5</v>
      </c>
      <c r="NW17" s="181" t="str">
        <f t="shared" si="76"/>
        <v>B</v>
      </c>
      <c r="NX17" s="123" t="s">
        <v>30</v>
      </c>
      <c r="NY17" s="124"/>
      <c r="NZ17" s="125"/>
      <c r="OA17" s="125"/>
      <c r="OB17" s="180">
        <f>IFERROR((((COUNTIF('Elève (4ème2)'!NX17:OA17,"A"))*4)+((COUNTIF('Elève (4ème2)'!NX17:OA17,"B"))*3)+((COUNTIF('Elève (4ème2)'!NX17:OA17,"C"))*2)+((COUNTIF('Elève (4ème2)'!NX17:OA17,"D"))*1))/(COUNTA(NX17:OA17)),"")</f>
        <v>3</v>
      </c>
      <c r="OC17" s="181" t="str">
        <f t="shared" si="77"/>
        <v>B</v>
      </c>
      <c r="OD17" s="123"/>
      <c r="OE17" s="218" t="s">
        <v>30</v>
      </c>
      <c r="OF17" s="218"/>
      <c r="OG17" s="124"/>
      <c r="OH17" s="129"/>
      <c r="OI17" s="180">
        <f>IFERROR((((COUNTIF('Elève (4ème2)'!OD17:OH17,"A"))*4)+((COUNTIF('Elève (4ème2)'!OD17:OH17,"B"))*3)+((COUNTIF('Elève (4ème2)'!OD17:OH17,"C"))*2)+((COUNTIF('Elève (4ème2)'!OD17:OH17,"D"))*1))/(COUNTA(OD17:OH17)),"")</f>
        <v>3</v>
      </c>
      <c r="OJ17" s="181" t="str">
        <f t="shared" si="78"/>
        <v>B</v>
      </c>
      <c r="OK17" s="180">
        <f>IF(COUNT(NV17,OB17,OI17)=0,"",SUM(NV17,OB17,OI17)/COUNT(NV17,OB17,OI17))</f>
        <v>3.1666666666666665</v>
      </c>
      <c r="OL17" s="210" t="str">
        <f t="shared" si="79"/>
        <v>B</v>
      </c>
      <c r="OM17" s="123" t="s">
        <v>31</v>
      </c>
      <c r="ON17" s="124" t="s">
        <v>30</v>
      </c>
      <c r="OO17" s="125"/>
      <c r="OP17" s="180">
        <f>IFERROR((((COUNTIF('Elève (4ème2)'!OM17:OO17,"A"))*4)+((COUNTIF('Elève (4ème2)'!OM17:OO17,"B"))*3)+((COUNTIF('Elève (4ème2)'!OM17:OO17,"C"))*2)+((COUNTIF('Elève (4ème2)'!OM17:OO17,"D"))*1))/(COUNTA(OM17:OO17)),"")</f>
        <v>2.5</v>
      </c>
      <c r="OQ17" s="181" t="str">
        <f t="shared" si="80"/>
        <v>C</v>
      </c>
      <c r="OR17" s="123" t="s">
        <v>31</v>
      </c>
      <c r="OS17" s="124"/>
      <c r="OT17" s="125"/>
      <c r="OU17" s="125"/>
      <c r="OV17" s="180">
        <f>IFERROR((((COUNTIF('Elève (4ème2)'!OR17:OU17,"A"))*4)+((COUNTIF('Elève (4ème2)'!OR17:OU17,"B"))*3)+((COUNTIF('Elève (4ème2)'!OR17:OU17,"C"))*2)+((COUNTIF('Elève (4ème2)'!OR17:OU17,"D"))*1))/(COUNTA(OR17:OU17)),"")</f>
        <v>2</v>
      </c>
      <c r="OW17" s="181" t="str">
        <f t="shared" si="81"/>
        <v>C</v>
      </c>
      <c r="OX17" s="123"/>
      <c r="OY17" s="218" t="s">
        <v>30</v>
      </c>
      <c r="OZ17" s="218"/>
      <c r="PA17" s="124"/>
      <c r="PB17" s="129"/>
      <c r="PC17" s="180">
        <f>IFERROR((((COUNTIF('Elève (4ème2)'!OX17:PB17,"A"))*4)+((COUNTIF('Elève (4ème2)'!OX17:PB17,"B"))*3)+((COUNTIF('Elève (4ème2)'!OX17:PB17,"C"))*2)+((COUNTIF('Elève (4ème2)'!OX17:PB17,"D"))*1))/(COUNTA(OX17:PB17)),"")</f>
        <v>3</v>
      </c>
      <c r="PD17" s="181" t="str">
        <f t="shared" si="82"/>
        <v>B</v>
      </c>
      <c r="PE17" s="180">
        <f>IF(COUNT(OP17,OV17,PC17)=0,"",SUM(OP17,OV17,PC17)/COUNT(OP17,OV17,PC17))</f>
        <v>2.5</v>
      </c>
      <c r="PF17" s="210" t="str">
        <f t="shared" si="83"/>
        <v>C</v>
      </c>
      <c r="PG17" s="123" t="s">
        <v>31</v>
      </c>
      <c r="PH17" s="124" t="s">
        <v>30</v>
      </c>
      <c r="PI17" s="125"/>
      <c r="PJ17" s="180">
        <f>IFERROR((((COUNTIF('Elève (4ème2)'!PG17:PI17,"A"))*4)+((COUNTIF('Elève (4ème2)'!PG17:PI17,"B"))*3)+((COUNTIF('Elève (4ème2)'!PG17:PI17,"C"))*2)+((COUNTIF('Elève (4ème2)'!PG17:PI17,"D"))*1))/(COUNTA(PG17:PI17)),"")</f>
        <v>2.5</v>
      </c>
      <c r="PK17" s="181" t="str">
        <f t="shared" si="84"/>
        <v>C</v>
      </c>
      <c r="PL17" s="123" t="s">
        <v>31</v>
      </c>
      <c r="PM17" s="124"/>
      <c r="PN17" s="125"/>
      <c r="PO17" s="125"/>
      <c r="PP17" s="180">
        <f>IFERROR((((COUNTIF('Elève (4ème2)'!PL17:PO17,"A"))*4)+((COUNTIF('Elève (4ème2)'!PL17:PO17,"B"))*3)+((COUNTIF('Elève (4ème2)'!PL17:PO17,"C"))*2)+((COUNTIF('Elève (4ème2)'!PL17:PO17,"D"))*1))/(COUNTA(PL17:PO17)),"")</f>
        <v>2</v>
      </c>
      <c r="PQ17" s="181" t="str">
        <f t="shared" si="85"/>
        <v>C</v>
      </c>
      <c r="PR17" s="123"/>
      <c r="PS17" s="218" t="s">
        <v>31</v>
      </c>
      <c r="PT17" s="218"/>
      <c r="PU17" s="124"/>
      <c r="PV17" s="129"/>
      <c r="PW17" s="180">
        <f>IFERROR((((COUNTIF('Elève (4ème2)'!PR17:PV17,"A"))*4)+((COUNTIF('Elève (4ème2)'!PR17:PV17,"B"))*3)+((COUNTIF('Elève (4ème2)'!PR17:PV17,"C"))*2)+((COUNTIF('Elève (4ème2)'!PR17:PV17,"D"))*1))/(COUNTA(PR17:PV17)),"")</f>
        <v>2</v>
      </c>
      <c r="PX17" s="181" t="str">
        <f t="shared" si="86"/>
        <v>C</v>
      </c>
      <c r="PY17" s="180">
        <f>IF(COUNT(PJ17,PP17,PW17)=0,"",SUM(PJ17,PP17,PW17)/COUNT(PJ17,PP17,PW17))</f>
        <v>2.1666666666666665</v>
      </c>
      <c r="PZ17" s="210" t="str">
        <f t="shared" si="87"/>
        <v>C</v>
      </c>
      <c r="QA17" s="123" t="s">
        <v>31</v>
      </c>
      <c r="QB17" s="124" t="s">
        <v>29</v>
      </c>
      <c r="QC17" s="125"/>
      <c r="QD17" s="180">
        <f>IFERROR((((COUNTIF('Elève (4ème2)'!QA17:QC17,"A"))*4)+((COUNTIF('Elève (4ème2)'!QA17:QC17,"B"))*3)+((COUNTIF('Elève (4ème2)'!QA17:QC17,"C"))*2)+((COUNTIF('Elève (4ème2)'!QA17:QC17,"D"))*1))/(COUNTA(QA17:QC17)),"")</f>
        <v>3</v>
      </c>
      <c r="QE17" s="181" t="str">
        <f t="shared" si="88"/>
        <v>B</v>
      </c>
      <c r="QF17" s="123" t="s">
        <v>31</v>
      </c>
      <c r="QG17" s="124"/>
      <c r="QH17" s="125"/>
      <c r="QI17" s="125"/>
      <c r="QJ17" s="180">
        <f>IFERROR((((COUNTIF('Elève (4ème2)'!QF17:QI17,"A"))*4)+((COUNTIF('Elève (4ème2)'!QF17:QI17,"B"))*3)+((COUNTIF('Elève (4ème2)'!QF17:QI17,"C"))*2)+((COUNTIF('Elève (4ème2)'!QF17:QI17,"D"))*1))/(COUNTA(QF17:QI17)),"")</f>
        <v>2</v>
      </c>
      <c r="QK17" s="181" t="str">
        <f t="shared" si="89"/>
        <v>C</v>
      </c>
      <c r="QL17" s="123"/>
      <c r="QM17" s="218" t="s">
        <v>31</v>
      </c>
      <c r="QN17" s="218"/>
      <c r="QO17" s="124"/>
      <c r="QP17" s="129"/>
      <c r="QQ17" s="180">
        <f>IFERROR((((COUNTIF('Elève (4ème2)'!QL17:QP17,"A"))*4)+((COUNTIF('Elève (4ème2)'!QL17:QP17,"B"))*3)+((COUNTIF('Elève (4ème2)'!QL17:QP17,"C"))*2)+((COUNTIF('Elève (4ème2)'!QL17:QP17,"D"))*1))/(COUNTA(QL17:QP17)),"")</f>
        <v>2</v>
      </c>
      <c r="QR17" s="181" t="str">
        <f t="shared" si="90"/>
        <v>C</v>
      </c>
      <c r="QS17" s="180">
        <f>IF(COUNT(QD17,QJ17,QQ17)=0,"",SUM(QD17,QJ17,QQ17)/COUNT(QD17,QJ17,QQ17))</f>
        <v>2.3333333333333335</v>
      </c>
      <c r="QT17" s="210" t="str">
        <f t="shared" si="91"/>
        <v>C</v>
      </c>
      <c r="QU17" s="123" t="s">
        <v>30</v>
      </c>
      <c r="QV17" s="124" t="s">
        <v>30</v>
      </c>
      <c r="QW17" s="125"/>
      <c r="QX17" s="180">
        <f>IFERROR((((COUNTIF('Elève (4ème2)'!QU17:QW17,"A"))*4)+((COUNTIF('Elève (4ème2)'!QU17:QW17,"B"))*3)+((COUNTIF('Elève (4ème2)'!QU17:QW17,"C"))*2)+((COUNTIF('Elève (4ème2)'!QU17:QW17,"D"))*1))/(COUNTA(QU17:QW17)),"")</f>
        <v>3</v>
      </c>
      <c r="QY17" s="181" t="str">
        <f t="shared" si="92"/>
        <v>B</v>
      </c>
      <c r="QZ17" s="123" t="s">
        <v>30</v>
      </c>
      <c r="RA17" s="124"/>
      <c r="RB17" s="125"/>
      <c r="RC17" s="125"/>
      <c r="RD17" s="180">
        <f>IFERROR((((COUNTIF('Elève (4ème2)'!QZ17:RC17,"A"))*4)+((COUNTIF('Elève (4ème2)'!QZ17:RC17,"B"))*3)+((COUNTIF('Elève (4ème2)'!QZ17:RC17,"C"))*2)+((COUNTIF('Elève (4ème2)'!QZ17:RC17,"D"))*1))/(COUNTA(QZ17:RC17)),"")</f>
        <v>3</v>
      </c>
      <c r="RE17" s="181" t="str">
        <f t="shared" si="93"/>
        <v>B</v>
      </c>
      <c r="RF17" s="123"/>
      <c r="RG17" s="218" t="s">
        <v>30</v>
      </c>
      <c r="RH17" s="218"/>
      <c r="RI17" s="124"/>
      <c r="RJ17" s="129"/>
      <c r="RK17" s="180">
        <f>IFERROR((((COUNTIF('Elève (4ème2)'!RF17:RJ17,"A"))*4)+((COUNTIF('Elève (4ème2)'!RF17:RJ17,"B"))*3)+((COUNTIF('Elève (4ème2)'!RF17:RJ17,"C"))*2)+((COUNTIF('Elève (4ème2)'!RF17:RJ17,"D"))*1))/(COUNTA(RF17:RJ17)),"")</f>
        <v>3</v>
      </c>
      <c r="RL17" s="181" t="str">
        <f t="shared" si="94"/>
        <v>B</v>
      </c>
      <c r="RM17" s="180">
        <f>IF(COUNT(QX17,RD17,RK17)=0,"",SUM(QX17,RD17,RK17)/COUNT(QX17,RD17,RK17))</f>
        <v>3</v>
      </c>
      <c r="RN17" s="210" t="str">
        <f t="shared" si="95"/>
        <v>B</v>
      </c>
      <c r="RO17" s="123" t="s">
        <v>30</v>
      </c>
      <c r="RP17" s="124" t="s">
        <v>30</v>
      </c>
      <c r="RQ17" s="125"/>
      <c r="RR17" s="180">
        <f>IFERROR((((COUNTIF('Elève (4ème2)'!RO17:RQ17,"A"))*4)+((COUNTIF('Elève (4ème2)'!RO17:RQ17,"B"))*3)+((COUNTIF('Elève (4ème2)'!RO17:RQ17,"C"))*2)+((COUNTIF('Elève (4ème2)'!RO17:RQ17,"D"))*1))/(COUNTA(RO17:RQ17)),"")</f>
        <v>3</v>
      </c>
      <c r="RS17" s="181" t="str">
        <f t="shared" si="96"/>
        <v>B</v>
      </c>
      <c r="RT17" s="123" t="s">
        <v>30</v>
      </c>
      <c r="RU17" s="124"/>
      <c r="RV17" s="125"/>
      <c r="RW17" s="125"/>
      <c r="RX17" s="180">
        <f>IFERROR((((COUNTIF('Elève (4ème2)'!RT17:RW17,"A"))*4)+((COUNTIF('Elève (4ème2)'!RT17:RW17,"B"))*3)+((COUNTIF('Elève (4ème2)'!RT17:RW17,"C"))*2)+((COUNTIF('Elève (4ème2)'!RT17:RW17,"D"))*1))/(COUNTA(RT17:RW17)),"")</f>
        <v>3</v>
      </c>
      <c r="RY17" s="181" t="str">
        <f t="shared" si="97"/>
        <v>B</v>
      </c>
      <c r="RZ17" s="123"/>
      <c r="SA17" s="218" t="s">
        <v>30</v>
      </c>
      <c r="SB17" s="218"/>
      <c r="SC17" s="124"/>
      <c r="SD17" s="129"/>
      <c r="SE17" s="180">
        <f>IFERROR((((COUNTIF('Elève (4ème2)'!RZ17:SD17,"A"))*4)+((COUNTIF('Elève (4ème2)'!RZ17:SD17,"B"))*3)+((COUNTIF('Elève (4ème2)'!RZ17:SD17,"C"))*2)+((COUNTIF('Elève (4ème2)'!RZ17:SD17,"D"))*1))/(COUNTA(RZ17:SD17)),"")</f>
        <v>3</v>
      </c>
      <c r="SF17" s="181" t="str">
        <f t="shared" si="98"/>
        <v>B</v>
      </c>
      <c r="SG17" s="180">
        <f>IF(COUNT(RR17,RX17,SE17)=0,"",SUM(RR17,RX17,SE17)/COUNT(RR17,RX17,SE17))</f>
        <v>3</v>
      </c>
      <c r="SH17" s="210" t="str">
        <f t="shared" si="99"/>
        <v>B</v>
      </c>
      <c r="SI17" s="123" t="s">
        <v>32</v>
      </c>
      <c r="SJ17" s="124" t="s">
        <v>29</v>
      </c>
      <c r="SK17" s="125"/>
      <c r="SL17" s="180">
        <f>IFERROR((((COUNTIF('Elève (4ème2)'!SI17:SK17,"A"))*4)+((COUNTIF('Elève (4ème2)'!SI17:SK17,"B"))*3)+((COUNTIF('Elève (4ème2)'!SI17:SK17,"C"))*2)+((COUNTIF('Elève (4ème2)'!SI17:SK17,"D"))*1))/(COUNTA(SI17:SK17)),"")</f>
        <v>2.5</v>
      </c>
      <c r="SM17" s="181" t="str">
        <f t="shared" si="100"/>
        <v>C</v>
      </c>
      <c r="SN17" s="123" t="s">
        <v>31</v>
      </c>
      <c r="SO17" s="124"/>
      <c r="SP17" s="125"/>
      <c r="SQ17" s="125"/>
      <c r="SR17" s="180">
        <f>IFERROR((((COUNTIF('Elève (4ème2)'!SN17:SQ17,"A"))*4)+((COUNTIF('Elève (4ème2)'!SN17:SQ17,"B"))*3)+((COUNTIF('Elève (4ème2)'!SN17:SQ17,"C"))*2)+((COUNTIF('Elève (4ème2)'!SN17:SQ17,"D"))*1))/(COUNTA(SN17:SQ17)),"")</f>
        <v>2</v>
      </c>
      <c r="SS17" s="181" t="str">
        <f t="shared" si="101"/>
        <v>C</v>
      </c>
      <c r="ST17" s="123"/>
      <c r="SU17" s="218" t="s">
        <v>29</v>
      </c>
      <c r="SV17" s="218"/>
      <c r="SW17" s="124"/>
      <c r="SX17" s="129"/>
      <c r="SY17" s="180">
        <f>IFERROR((((COUNTIF('Elève (4ème2)'!ST17:SX17,"A"))*4)+((COUNTIF('Elève (4ème2)'!ST17:SX17,"B"))*3)+((COUNTIF('Elève (4ème2)'!ST17:SX17,"C"))*2)+((COUNTIF('Elève (4ème2)'!ST17:SX17,"D"))*1))/(COUNTA(ST17:SX17)),"")</f>
        <v>4</v>
      </c>
      <c r="SZ17" s="181" t="str">
        <f t="shared" si="102"/>
        <v>A</v>
      </c>
      <c r="TA17" s="180">
        <f>IF(COUNT(SL17,SR17,SY17)=0,"",SUM(SL17,SR17,SY17)/COUNT(SL17,SR17,SY17))</f>
        <v>2.8333333333333335</v>
      </c>
      <c r="TB17" s="210" t="str">
        <f t="shared" si="103"/>
        <v>B</v>
      </c>
      <c r="TC17" s="123" t="s">
        <v>30</v>
      </c>
      <c r="TD17" s="124" t="s">
        <v>30</v>
      </c>
      <c r="TE17" s="125"/>
      <c r="TF17" s="180">
        <f>IFERROR((((COUNTIF('Elève (4ème2)'!TC17:TE17,"A"))*4)+((COUNTIF('Elève (4ème2)'!TC17:TE17,"B"))*3)+((COUNTIF('Elève (4ème2)'!TC17:TE17,"C"))*2)+((COUNTIF('Elève (4ème2)'!TC17:TE17,"D"))*1))/(COUNTA(TC17:TE17)),"")</f>
        <v>3</v>
      </c>
      <c r="TG17" s="181" t="str">
        <f t="shared" si="104"/>
        <v>B</v>
      </c>
      <c r="TH17" s="123" t="s">
        <v>31</v>
      </c>
      <c r="TI17" s="124"/>
      <c r="TJ17" s="125"/>
      <c r="TK17" s="125"/>
      <c r="TL17" s="180">
        <f>IFERROR((((COUNTIF('Elève (4ème2)'!TH17:TK17,"A"))*4)+((COUNTIF('Elève (4ème2)'!TH17:TK17,"B"))*3)+((COUNTIF('Elève (4ème2)'!TH17:TK17,"C"))*2)+((COUNTIF('Elève (4ème2)'!TH17:TK17,"D"))*1))/(COUNTA(TH17:TK17)),"")</f>
        <v>2</v>
      </c>
      <c r="TM17" s="181" t="str">
        <f t="shared" si="105"/>
        <v>C</v>
      </c>
      <c r="TN17" s="123"/>
      <c r="TO17" s="218" t="s">
        <v>31</v>
      </c>
      <c r="TP17" s="218"/>
      <c r="TQ17" s="124"/>
      <c r="TR17" s="129"/>
      <c r="TS17" s="180">
        <f>IFERROR((((COUNTIF('Elève (4ème2)'!TN17:TR17,"A"))*4)+((COUNTIF('Elève (4ème2)'!TN17:TR17,"B"))*3)+((COUNTIF('Elève (4ème2)'!TN17:TR17,"C"))*2)+((COUNTIF('Elève (4ème2)'!TN17:TR17,"D"))*1))/(COUNTA(TN17:TR17)),"")</f>
        <v>2</v>
      </c>
      <c r="TT17" s="181" t="str">
        <f t="shared" si="106"/>
        <v>C</v>
      </c>
      <c r="TU17" s="180">
        <f>IF(COUNT(TF17,TL17,TS17)=0,"",SUM(TF17,TL17,TS17)/COUNT(TF17,TL17,TS17))</f>
        <v>2.3333333333333335</v>
      </c>
      <c r="TV17" s="210" t="str">
        <f t="shared" si="107"/>
        <v>C</v>
      </c>
      <c r="TW17" s="123"/>
      <c r="TX17" s="124"/>
      <c r="TY17" s="125"/>
      <c r="TZ17" s="119" t="str">
        <f>IFERROR((((COUNTIF('Elève (4ème2)'!TW17:TY17,"A"))*4)+((COUNTIF('Elève (4ème2)'!TW17:TY17,"B"))*3)+((COUNTIF('Elève (4ème2)'!TW17:TY17,"C"))*2)+((COUNTIF('Elève (4ème2)'!TW17:TY17,"D"))*1))/(COUNTA(TW17:TY17)),"")</f>
        <v/>
      </c>
      <c r="UA17" s="120" t="str">
        <f t="shared" si="108"/>
        <v/>
      </c>
      <c r="UB17" s="123"/>
      <c r="UC17" s="124"/>
      <c r="UD17" s="125"/>
      <c r="UE17" s="119" t="str">
        <f>IFERROR((((COUNTIF('Elève (4ème2)'!UB17:UD17,"A"))*4)+((COUNTIF('Elève (4ème2)'!UB17:UD17,"B"))*3)+((COUNTIF('Elève (4ème2)'!UB17:UD17,"C"))*2)+((COUNTIF('Elève (4ème2)'!UB17:UD17,"D"))*1))/(COUNTA(UB17:UD17)),"")</f>
        <v/>
      </c>
      <c r="UF17" s="120" t="str">
        <f t="shared" si="109"/>
        <v/>
      </c>
      <c r="UG17" s="123"/>
      <c r="UH17" s="124"/>
      <c r="UI17" s="129"/>
      <c r="UJ17" s="119" t="str">
        <f>IFERROR((((COUNTIF('Elève (4ème2)'!UG17:UI17,"A"))*4)+((COUNTIF('Elève (4ème2)'!UG17:UI17,"B"))*3)+((COUNTIF('Elève (4ème2)'!UG17:UI17,"C"))*2)+((COUNTIF('Elève (4ème2)'!UG17:UI17,"D"))*1))/(COUNTA(UG17:UI17)),"")</f>
        <v/>
      </c>
      <c r="UK17" s="120" t="str">
        <f t="shared" si="110"/>
        <v/>
      </c>
      <c r="UL17" s="119" t="str">
        <f>IF(COUNT(TZ17,UE17,UJ17)=0,"",SUM(TZ17,UE17,UJ17)/COUNT(TZ17,UE17,UJ17))</f>
        <v/>
      </c>
      <c r="UM17" s="143" t="str">
        <f t="shared" si="111"/>
        <v/>
      </c>
      <c r="UN17" s="123"/>
      <c r="UO17" s="124"/>
      <c r="UP17" s="125"/>
      <c r="UQ17" s="119" t="str">
        <f>IFERROR((((COUNTIF('Elève (4ème2)'!UN17:UP17,"A"))*4)+((COUNTIF('Elève (4ème2)'!UN17:UP17,"B"))*3)+((COUNTIF('Elève (4ème2)'!UN17:UP17,"C"))*2)+((COUNTIF('Elève (4ème2)'!UN17:UP17,"D"))*1))/(COUNTA(UN17:UP17)),"")</f>
        <v/>
      </c>
      <c r="UR17" s="120" t="str">
        <f t="shared" si="112"/>
        <v/>
      </c>
      <c r="US17" s="123"/>
      <c r="UT17" s="124"/>
      <c r="UU17" s="125"/>
      <c r="UV17" s="119" t="str">
        <f>IFERROR((((COUNTIF('Elève (4ème2)'!US17:UU17,"A"))*4)+((COUNTIF('Elève (4ème2)'!US17:UU17,"B"))*3)+((COUNTIF('Elève (4ème2)'!US17:UU17,"C"))*2)+((COUNTIF('Elève (4ème2)'!US17:UU17,"D"))*1))/(COUNTA(US17:UU17)),"")</f>
        <v/>
      </c>
      <c r="UW17" s="120" t="str">
        <f t="shared" si="113"/>
        <v/>
      </c>
      <c r="UX17" s="123"/>
      <c r="UY17" s="124"/>
      <c r="UZ17" s="129"/>
      <c r="VA17" s="119" t="str">
        <f>IFERROR((((COUNTIF('Elève (4ème2)'!UX17:UZ17,"A"))*4)+((COUNTIF('Elève (4ème2)'!UX17:UZ17,"B"))*3)+((COUNTIF('Elève (4ème2)'!UX17:UZ17,"C"))*2)+((COUNTIF('Elève (4ème2)'!UX17:UZ17,"D"))*1))/(COUNTA(UX17:UZ17)),"")</f>
        <v/>
      </c>
      <c r="VB17" s="120" t="str">
        <f t="shared" si="114"/>
        <v/>
      </c>
      <c r="VC17" s="119" t="str">
        <f>IF(COUNT(UQ17,UV17,VA17)=0,"",SUM(UQ17,UV17,VA17)/COUNT(UQ17,UV17,VA17))</f>
        <v/>
      </c>
      <c r="VD17" s="143" t="str">
        <f t="shared" si="115"/>
        <v/>
      </c>
      <c r="VE17" s="123"/>
      <c r="VF17" s="124"/>
      <c r="VG17" s="125"/>
      <c r="VH17" s="119" t="str">
        <f>IFERROR((((COUNTIF('Elève (4ème2)'!VE17:VG17,"A"))*4)+((COUNTIF('Elève (4ème2)'!VE17:VG17,"B"))*3)+((COUNTIF('Elève (4ème2)'!VE17:VG17,"C"))*2)+((COUNTIF('Elève (4ème2)'!VE17:VG17,"D"))*1))/(COUNTA(VE17:VG17)),"")</f>
        <v/>
      </c>
      <c r="VI17" s="120" t="str">
        <f t="shared" si="116"/>
        <v/>
      </c>
      <c r="VJ17" s="123"/>
      <c r="VK17" s="124"/>
      <c r="VL17" s="125"/>
      <c r="VM17" s="119" t="str">
        <f>IFERROR((((COUNTIF('Elève (4ème2)'!VJ17:VL17,"A"))*4)+((COUNTIF('Elève (4ème2)'!VJ17:VL17,"B"))*3)+((COUNTIF('Elève (4ème2)'!VJ17:VL17,"C"))*2)+((COUNTIF('Elève (4ème2)'!VJ17:VL17,"D"))*1))/(COUNTA(VJ17:VL17)),"")</f>
        <v/>
      </c>
      <c r="VN17" s="120" t="str">
        <f t="shared" si="117"/>
        <v/>
      </c>
      <c r="VO17" s="123"/>
      <c r="VP17" s="124"/>
      <c r="VQ17" s="129"/>
      <c r="VR17" s="119" t="str">
        <f>IFERROR((((COUNTIF('Elève (4ème2)'!VO17:VQ17,"A"))*4)+((COUNTIF('Elève (4ème2)'!VO17:VQ17,"B"))*3)+((COUNTIF('Elève (4ème2)'!VO17:VQ17,"C"))*2)+((COUNTIF('Elève (4ème2)'!VO17:VQ17,"D"))*1))/(COUNTA(VO17:VQ17)),"")</f>
        <v/>
      </c>
      <c r="VS17" s="120" t="str">
        <f t="shared" si="118"/>
        <v/>
      </c>
      <c r="VT17" s="119" t="str">
        <f>IF(COUNT(VH17,VM17,VR17)=0,"",SUM(VH17,VM17,VR17)/COUNT(VH17,VM17,VR17))</f>
        <v/>
      </c>
      <c r="VU17" s="143" t="str">
        <f t="shared" si="119"/>
        <v/>
      </c>
    </row>
    <row r="18" spans="1:593" ht="18" customHeight="1" x14ac:dyDescent="0.55000000000000004">
      <c r="A18" s="248" t="s">
        <v>24</v>
      </c>
      <c r="B18" s="249"/>
      <c r="C18" s="123"/>
      <c r="D18" s="124"/>
      <c r="E18" s="125"/>
      <c r="F18" s="182" t="str">
        <f>IFERROR((((COUNTIF('Elève (4ème2)'!C18:E18,"A"))*4)+((COUNTIF('Elève (4ème2)'!C18:E18,"B"))*3)+((COUNTIF('Elève (4ème2)'!C18:E18,"C"))*2)+((COUNTIF('Elève (4ème2)'!C18:E18,"D"))*1))/(COUNTA(C18:E18)),"")</f>
        <v/>
      </c>
      <c r="G18" s="183" t="str">
        <f t="shared" si="0"/>
        <v/>
      </c>
      <c r="H18" s="123"/>
      <c r="I18" s="124"/>
      <c r="J18" s="125"/>
      <c r="K18" s="125"/>
      <c r="L18" s="182" t="str">
        <f>IFERROR((((COUNTIF('Elève (4ème2)'!H18:K18,"A"))*4)+((COUNTIF('Elève (4ème2)'!H18:K18,"B"))*3)+((COUNTIF('Elève (4ème2)'!H18:K18,"C"))*2)+((COUNTIF('Elève (4ème2)'!H18:K18,"D"))*1))/(COUNTA(H18:K18)),"")</f>
        <v/>
      </c>
      <c r="M18" s="183" t="str">
        <f t="shared" si="1"/>
        <v/>
      </c>
      <c r="N18" s="123" t="s">
        <v>29</v>
      </c>
      <c r="O18" s="124" t="s">
        <v>30</v>
      </c>
      <c r="P18" s="218"/>
      <c r="Q18" s="218"/>
      <c r="R18" s="125"/>
      <c r="S18" s="182">
        <f>IFERROR((((COUNTIF('Elève (4ème2)'!N18:R18,"A"))*4)+((COUNTIF('Elève (4ème2)'!N18:R18,"B"))*3)+((COUNTIF('Elève (4ème2)'!N18:R18,"C"))*2)+((COUNTIF('Elève (4ème2)'!N18:R18,"D"))*1))/(COUNTA(N18:R18)),"")</f>
        <v>3.5</v>
      </c>
      <c r="T18" s="183" t="str">
        <f t="shared" si="2"/>
        <v>B</v>
      </c>
      <c r="U18" s="182">
        <f>IF(COUNT(F18,L18,S18)=0,"",SUM(F18,L18,S18)/COUNT(F18,L18,S18))</f>
        <v>3.5</v>
      </c>
      <c r="V18" s="206" t="str">
        <f t="shared" si="3"/>
        <v>B</v>
      </c>
      <c r="W18" s="123"/>
      <c r="X18" s="124"/>
      <c r="Y18" s="125"/>
      <c r="Z18" s="182" t="str">
        <f>IFERROR((((COUNTIF('Elève (4ème2)'!W18:Y18,"A"))*4)+((COUNTIF('Elève (4ème2)'!W18:Y18,"B"))*3)+((COUNTIF('Elève (4ème2)'!W18:Y18,"C"))*2)+((COUNTIF('Elève (4ème2)'!W18:Y18,"D"))*1))/(COUNTA(W18:Y18)),"")</f>
        <v/>
      </c>
      <c r="AA18" s="183" t="str">
        <f t="shared" si="4"/>
        <v/>
      </c>
      <c r="AB18" s="123"/>
      <c r="AC18" s="124"/>
      <c r="AD18" s="125"/>
      <c r="AE18" s="125"/>
      <c r="AF18" s="182" t="str">
        <f>IFERROR((((COUNTIF('Elève (4ème2)'!AB18:AE18,"A"))*4)+((COUNTIF('Elève (4ème2)'!AB18:AE18,"B"))*3)+((COUNTIF('Elève (4ème2)'!AB18:AE18,"C"))*2)+((COUNTIF('Elève (4ème2)'!AB18:AE18,"D"))*1))/(COUNTA(AB18:AE18)),"")</f>
        <v/>
      </c>
      <c r="AG18" s="183" t="str">
        <f t="shared" si="5"/>
        <v/>
      </c>
      <c r="AH18" s="123" t="s">
        <v>29</v>
      </c>
      <c r="AI18" s="218" t="s">
        <v>32</v>
      </c>
      <c r="AJ18" s="218"/>
      <c r="AK18" s="124"/>
      <c r="AL18" s="129"/>
      <c r="AM18" s="182">
        <f>IFERROR((((COUNTIF('Elève (4ème2)'!AH18:AL18,"A"))*4)+((COUNTIF('Elève (4ème2)'!AH18:AL18,"B"))*3)+((COUNTIF('Elève (4ème2)'!AH18:AL18,"C"))*2)+((COUNTIF('Elève (4ème2)'!AH18:AL18,"D"))*1))/(COUNTA(AH18:AL18)),"")</f>
        <v>2.5</v>
      </c>
      <c r="AN18" s="183" t="str">
        <f t="shared" si="6"/>
        <v>C</v>
      </c>
      <c r="AO18" s="182">
        <f>IF(COUNT(Z18,AF18,AM18)=0,"",SUM(Z18,AF18,AM18)/COUNT(Z18,AF18,AM18))</f>
        <v>2.5</v>
      </c>
      <c r="AP18" s="206" t="str">
        <f t="shared" si="7"/>
        <v>C</v>
      </c>
      <c r="AQ18" s="123"/>
      <c r="AR18" s="124"/>
      <c r="AS18" s="125"/>
      <c r="AT18" s="182" t="str">
        <f>IFERROR((((COUNTIF('Elève (4ème2)'!AQ18:AS18,"A"))*4)+((COUNTIF('Elève (4ème2)'!AQ18:AS18,"B"))*3)+((COUNTIF('Elève (4ème2)'!AQ18:AS18,"C"))*2)+((COUNTIF('Elève (4ème2)'!AQ18:AS18,"D"))*1))/(COUNTA(AQ18:AS18)),"")</f>
        <v/>
      </c>
      <c r="AU18" s="183" t="str">
        <f t="shared" si="8"/>
        <v/>
      </c>
      <c r="AV18" s="123"/>
      <c r="AW18" s="124"/>
      <c r="AX18" s="125"/>
      <c r="AY18" s="125"/>
      <c r="AZ18" s="182" t="str">
        <f>IFERROR((((COUNTIF('Elève (4ème2)'!AV18:AY18,"A"))*4)+((COUNTIF('Elève (4ème2)'!AV18:AY18,"B"))*3)+((COUNTIF('Elève (4ème2)'!AV18:AY18,"C"))*2)+((COUNTIF('Elève (4ème2)'!AV18:AY18,"D"))*1))/(COUNTA(AV18:AY18)),"")</f>
        <v/>
      </c>
      <c r="BA18" s="183" t="str">
        <f t="shared" si="9"/>
        <v/>
      </c>
      <c r="BB18" s="123" t="s">
        <v>32</v>
      </c>
      <c r="BC18" s="218"/>
      <c r="BD18" s="218"/>
      <c r="BE18" s="124"/>
      <c r="BF18" s="129"/>
      <c r="BG18" s="182">
        <f>IFERROR((((COUNTIF('Elève (4ème2)'!BB18:BF18,"A"))*4)+((COUNTIF('Elève (4ème2)'!BB18:BF18,"B"))*3)+((COUNTIF('Elève (4ème2)'!BB18:BF18,"C"))*2)+((COUNTIF('Elève (4ème2)'!BB18:BF18,"D"))*1))/(COUNTA(BB18:BF18)),"")</f>
        <v>1</v>
      </c>
      <c r="BH18" s="183" t="str">
        <f t="shared" si="10"/>
        <v>D</v>
      </c>
      <c r="BI18" s="182">
        <f>IF(COUNT(AT18,AZ18,BG18)=0,"",SUM(AT18,AZ18,BG18)/COUNT(AT18,AZ18,BG18))</f>
        <v>1</v>
      </c>
      <c r="BJ18" s="206" t="str">
        <f t="shared" si="11"/>
        <v>D</v>
      </c>
      <c r="BK18" s="123"/>
      <c r="BL18" s="124"/>
      <c r="BM18" s="125"/>
      <c r="BN18" s="182" t="str">
        <f>IFERROR((((COUNTIF('Elève (4ème2)'!BK18:BM18,"A"))*4)+((COUNTIF('Elève (4ème2)'!BK18:BM18,"B"))*3)+((COUNTIF('Elève (4ème2)'!BK18:BM18,"C"))*2)+((COUNTIF('Elève (4ème2)'!BK18:BM18,"D"))*1))/(COUNTA(BK18:BM18)),"")</f>
        <v/>
      </c>
      <c r="BO18" s="183" t="str">
        <f t="shared" si="12"/>
        <v/>
      </c>
      <c r="BP18" s="123"/>
      <c r="BQ18" s="124"/>
      <c r="BR18" s="125"/>
      <c r="BS18" s="125"/>
      <c r="BT18" s="182" t="str">
        <f>IFERROR((((COUNTIF('Elève (4ème2)'!BP18:BS18,"A"))*4)+((COUNTIF('Elève (4ème2)'!BP18:BS18,"B"))*3)+((COUNTIF('Elève (4ème2)'!BP18:BS18,"C"))*2)+((COUNTIF('Elève (4ème2)'!BP18:BS18,"D"))*1))/(COUNTA(BP18:BS18)),"")</f>
        <v/>
      </c>
      <c r="BU18" s="183" t="str">
        <f t="shared" si="13"/>
        <v/>
      </c>
      <c r="BV18" s="123" t="s">
        <v>30</v>
      </c>
      <c r="BW18" s="218" t="s">
        <v>31</v>
      </c>
      <c r="BX18" s="218"/>
      <c r="BY18" s="124"/>
      <c r="BZ18" s="129"/>
      <c r="CA18" s="182">
        <f>IFERROR((((COUNTIF('Elève (4ème2)'!BV18:BZ18,"A"))*4)+((COUNTIF('Elève (4ème2)'!BV18:BZ18,"B"))*3)+((COUNTIF('Elève (4ème2)'!BV18:BZ18,"C"))*2)+((COUNTIF('Elève (4ème2)'!BV18:BZ18,"D"))*1))/(COUNTA(BV18:BZ18)),"")</f>
        <v>2.5</v>
      </c>
      <c r="CB18" s="183" t="str">
        <f t="shared" si="14"/>
        <v>C</v>
      </c>
      <c r="CC18" s="182">
        <f>IF(COUNT(BN18,BT18,CA18)=0,"",SUM(BN18,BT18,CA18)/COUNT(BN18,BT18,CA18))</f>
        <v>2.5</v>
      </c>
      <c r="CD18" s="206" t="str">
        <f t="shared" si="15"/>
        <v>C</v>
      </c>
      <c r="CE18" s="123"/>
      <c r="CF18" s="124"/>
      <c r="CG18" s="125"/>
      <c r="CH18" s="182" t="str">
        <f>IFERROR((((COUNTIF('Elève (4ème2)'!CE18:CG18,"A"))*4)+((COUNTIF('Elève (4ème2)'!CE18:CG18,"B"))*3)+((COUNTIF('Elève (4ème2)'!CE18:CG18,"C"))*2)+((COUNTIF('Elève (4ème2)'!CE18:CG18,"D"))*1))/(COUNTA(CE18:CG18)),"")</f>
        <v/>
      </c>
      <c r="CI18" s="183" t="str">
        <f t="shared" si="16"/>
        <v/>
      </c>
      <c r="CJ18" s="123"/>
      <c r="CK18" s="124"/>
      <c r="CL18" s="125"/>
      <c r="CM18" s="125"/>
      <c r="CN18" s="182" t="str">
        <f>IFERROR((((COUNTIF('Elève (4ème2)'!CJ18:CM18,"A"))*4)+((COUNTIF('Elève (4ème2)'!CJ18:CM18,"B"))*3)+((COUNTIF('Elève (4ème2)'!CJ18:CM18,"C"))*2)+((COUNTIF('Elève (4ème2)'!CJ18:CM18,"D"))*1))/(COUNTA(CJ18:CM18)),"")</f>
        <v/>
      </c>
      <c r="CO18" s="183" t="str">
        <f t="shared" si="17"/>
        <v/>
      </c>
      <c r="CP18" s="123" t="s">
        <v>29</v>
      </c>
      <c r="CQ18" s="218" t="s">
        <v>30</v>
      </c>
      <c r="CR18" s="218"/>
      <c r="CS18" s="124"/>
      <c r="CT18" s="129"/>
      <c r="CU18" s="182">
        <f>IFERROR((((COUNTIF('Elève (4ème2)'!CP18:CT18,"A"))*4)+((COUNTIF('Elève (4ème2)'!CP18:CT18,"B"))*3)+((COUNTIF('Elève (4ème2)'!CP18:CT18,"C"))*2)+((COUNTIF('Elève (4ème2)'!CP18:CT18,"D"))*1))/(COUNTA(CP18:CT18)),"")</f>
        <v>3.5</v>
      </c>
      <c r="CV18" s="183" t="str">
        <f t="shared" si="18"/>
        <v>B</v>
      </c>
      <c r="CW18" s="182">
        <f>IF(COUNT(CH18,CN18,CU18)=0,"",SUM(CH18,CN18,CU18)/COUNT(CH18,CN18,CU18))</f>
        <v>3.5</v>
      </c>
      <c r="CX18" s="206" t="str">
        <f t="shared" si="19"/>
        <v>B</v>
      </c>
      <c r="CY18" s="123"/>
      <c r="CZ18" s="124"/>
      <c r="DA18" s="125"/>
      <c r="DB18" s="182" t="str">
        <f>IFERROR((((COUNTIF('Elève (4ème2)'!CY18:DA18,"A"))*4)+((COUNTIF('Elève (4ème2)'!CY18:DA18,"B"))*3)+((COUNTIF('Elève (4ème2)'!CY18:DA18,"C"))*2)+((COUNTIF('Elève (4ème2)'!CY18:DA18,"D"))*1))/(COUNTA(CY18:DA18)),"")</f>
        <v/>
      </c>
      <c r="DC18" s="183" t="str">
        <f t="shared" si="20"/>
        <v/>
      </c>
      <c r="DD18" s="123"/>
      <c r="DE18" s="124"/>
      <c r="DF18" s="125"/>
      <c r="DG18" s="125"/>
      <c r="DH18" s="182" t="str">
        <f>IFERROR((((COUNTIF('Elève (4ème2)'!DD18:DG18,"A"))*4)+((COUNTIF('Elève (4ème2)'!DD18:DG18,"B"))*3)+((COUNTIF('Elève (4ème2)'!DD18:DG18,"C"))*2)+((COUNTIF('Elève (4ème2)'!DD18:DG18,"D"))*1))/(COUNTA(DD18:DG18)),"")</f>
        <v/>
      </c>
      <c r="DI18" s="183" t="str">
        <f t="shared" si="21"/>
        <v/>
      </c>
      <c r="DJ18" s="123"/>
      <c r="DK18" s="218" t="s">
        <v>32</v>
      </c>
      <c r="DL18" s="218"/>
      <c r="DM18" s="124"/>
      <c r="DN18" s="129"/>
      <c r="DO18" s="182">
        <f>IFERROR((((COUNTIF('Elève (4ème2)'!DJ18:DN18,"A"))*4)+((COUNTIF('Elève (4ème2)'!DJ18:DN18,"B"))*3)+((COUNTIF('Elève (4ème2)'!DJ18:DN18,"C"))*2)+((COUNTIF('Elève (4ème2)'!DJ18:DN18,"D"))*1))/(COUNTA(DJ18:DN18)),"")</f>
        <v>1</v>
      </c>
      <c r="DP18" s="183" t="str">
        <f t="shared" si="22"/>
        <v>D</v>
      </c>
      <c r="DQ18" s="182">
        <f>IF(COUNT(DB18,DH18,DO18)=0,"",SUM(DB18,DH18,DO18)/COUNT(DB18,DH18,DO18))</f>
        <v>1</v>
      </c>
      <c r="DR18" s="206" t="str">
        <f t="shared" si="23"/>
        <v>D</v>
      </c>
      <c r="DS18" s="123"/>
      <c r="DT18" s="124"/>
      <c r="DU18" s="125"/>
      <c r="DV18" s="182" t="str">
        <f>IFERROR((((COUNTIF('Elève (4ème2)'!DS18:DU18,"A"))*4)+((COUNTIF('Elève (4ème2)'!DS18:DU18,"B"))*3)+((COUNTIF('Elève (4ème2)'!DS18:DU18,"C"))*2)+((COUNTIF('Elève (4ème2)'!DS18:DU18,"D"))*1))/(COUNTA(DS18:DU18)),"")</f>
        <v/>
      </c>
      <c r="DW18" s="183" t="str">
        <f t="shared" si="24"/>
        <v/>
      </c>
      <c r="DX18" s="123"/>
      <c r="DY18" s="124"/>
      <c r="DZ18" s="125"/>
      <c r="EA18" s="125"/>
      <c r="EB18" s="182" t="str">
        <f>IFERROR((((COUNTIF('Elève (4ème2)'!DX18:EA18,"A"))*4)+((COUNTIF('Elève (4ème2)'!DX18:EA18,"B"))*3)+((COUNTIF('Elève (4ème2)'!DX18:EA18,"C"))*2)+((COUNTIF('Elève (4ème2)'!DX18:EA18,"D"))*1))/(COUNTA(DX18:EA18)),"")</f>
        <v/>
      </c>
      <c r="EC18" s="183" t="str">
        <f t="shared" si="25"/>
        <v/>
      </c>
      <c r="ED18" s="123" t="s">
        <v>29</v>
      </c>
      <c r="EE18" s="218" t="s">
        <v>30</v>
      </c>
      <c r="EF18" s="218"/>
      <c r="EG18" s="124"/>
      <c r="EH18" s="129"/>
      <c r="EI18" s="182">
        <f>IFERROR((((COUNTIF('Elève (4ème2)'!ED18:EH18,"A"))*4)+((COUNTIF('Elève (4ème2)'!ED18:EH18,"B"))*3)+((COUNTIF('Elève (4ème2)'!ED18:EH18,"C"))*2)+((COUNTIF('Elève (4ème2)'!ED18:EH18,"D"))*1))/(COUNTA(ED18:EH18)),"")</f>
        <v>3.5</v>
      </c>
      <c r="EJ18" s="183" t="str">
        <f t="shared" si="26"/>
        <v>B</v>
      </c>
      <c r="EK18" s="182">
        <f>IF(COUNT(DV18,EB18,EI18)=0,"",SUM(DV18,EB18,EI18)/COUNT(DV18,EB18,EI18))</f>
        <v>3.5</v>
      </c>
      <c r="EL18" s="206" t="str">
        <f t="shared" si="27"/>
        <v>B</v>
      </c>
      <c r="EM18" s="123"/>
      <c r="EN18" s="124"/>
      <c r="EO18" s="125"/>
      <c r="EP18" s="182" t="str">
        <f>IFERROR((((COUNTIF('Elève (4ème2)'!EM18:EO18,"A"))*4)+((COUNTIF('Elève (4ème2)'!EM18:EO18,"B"))*3)+((COUNTIF('Elève (4ème2)'!EM18:EO18,"C"))*2)+((COUNTIF('Elève (4ème2)'!EM18:EO18,"D"))*1))/(COUNTA(EM18:EO18)),"")</f>
        <v/>
      </c>
      <c r="EQ18" s="183" t="str">
        <f t="shared" si="28"/>
        <v/>
      </c>
      <c r="ER18" s="123"/>
      <c r="ES18" s="124"/>
      <c r="ET18" s="125"/>
      <c r="EU18" s="125"/>
      <c r="EV18" s="182" t="str">
        <f>IFERROR((((COUNTIF('Elève (4ème2)'!ER18:EU18,"A"))*4)+((COUNTIF('Elève (4ème2)'!ER18:EU18,"B"))*3)+((COUNTIF('Elève (4ème2)'!ER18:EU18,"C"))*2)+((COUNTIF('Elève (4ème2)'!ER18:EU18,"D"))*1))/(COUNTA(ER18:EU18)),"")</f>
        <v/>
      </c>
      <c r="EW18" s="183" t="str">
        <f t="shared" si="29"/>
        <v/>
      </c>
      <c r="EX18" s="123" t="s">
        <v>29</v>
      </c>
      <c r="EY18" s="218" t="s">
        <v>30</v>
      </c>
      <c r="EZ18" s="218"/>
      <c r="FA18" s="124"/>
      <c r="FB18" s="129"/>
      <c r="FC18" s="182">
        <f>IFERROR((((COUNTIF('Elève (4ème2)'!EX18:FB18,"A"))*4)+((COUNTIF('Elève (4ème2)'!EX18:FB18,"B"))*3)+((COUNTIF('Elève (4ème2)'!EX18:FB18,"C"))*2)+((COUNTIF('Elève (4ème2)'!EX18:FB18,"D"))*1))/(COUNTA(EX18:FB18)),"")</f>
        <v>3.5</v>
      </c>
      <c r="FD18" s="183" t="str">
        <f t="shared" si="30"/>
        <v>B</v>
      </c>
      <c r="FE18" s="182">
        <f>IF(COUNT(EP18,EV18,FC18)=0,"",SUM(EP18,EV18,FC18)/COUNT(EP18,EV18,FC18))</f>
        <v>3.5</v>
      </c>
      <c r="FF18" s="206" t="str">
        <f t="shared" si="31"/>
        <v>B</v>
      </c>
      <c r="FG18" s="123"/>
      <c r="FH18" s="124"/>
      <c r="FI18" s="125"/>
      <c r="FJ18" s="182" t="str">
        <f>IFERROR((((COUNTIF('Elève (4ème2)'!FG18:FI18,"A"))*4)+((COUNTIF('Elève (4ème2)'!FG18:FI18,"B"))*3)+((COUNTIF('Elève (4ème2)'!FG18:FI18,"C"))*2)+((COUNTIF('Elève (4ème2)'!FG18:FI18,"D"))*1))/(COUNTA(FG18:FI18)),"")</f>
        <v/>
      </c>
      <c r="FK18" s="183" t="str">
        <f t="shared" si="32"/>
        <v/>
      </c>
      <c r="FL18" s="123"/>
      <c r="FM18" s="124"/>
      <c r="FN18" s="125"/>
      <c r="FO18" s="125"/>
      <c r="FP18" s="182" t="str">
        <f>IFERROR((((COUNTIF('Elève (4ème2)'!FL18:FO18,"A"))*4)+((COUNTIF('Elève (4ème2)'!FL18:FO18,"B"))*3)+((COUNTIF('Elève (4ème2)'!FL18:FO18,"C"))*2)+((COUNTIF('Elève (4ème2)'!FL18:FO18,"D"))*1))/(COUNTA(FL18:FO18)),"")</f>
        <v/>
      </c>
      <c r="FQ18" s="183" t="str">
        <f t="shared" si="33"/>
        <v/>
      </c>
      <c r="FR18" s="123" t="s">
        <v>32</v>
      </c>
      <c r="FS18" s="218" t="s">
        <v>31</v>
      </c>
      <c r="FT18" s="218"/>
      <c r="FU18" s="124"/>
      <c r="FV18" s="129"/>
      <c r="FW18" s="182">
        <f>IFERROR((((COUNTIF('Elève (4ème2)'!FR18:FV18,"A"))*4)+((COUNTIF('Elève (4ème2)'!FR18:FV18,"B"))*3)+((COUNTIF('Elève (4ème2)'!FR18:FV18,"C"))*2)+((COUNTIF('Elève (4ème2)'!FR18:FV18,"D"))*1))/(COUNTA(FR18:FV18)),"")</f>
        <v>1.5</v>
      </c>
      <c r="FX18" s="183" t="str">
        <f t="shared" si="34"/>
        <v>D</v>
      </c>
      <c r="FY18" s="182">
        <f>IF(COUNT(FJ18,FP18,FW18)=0,"",SUM(FJ18,FP18,FW18)/COUNT(FJ18,FP18,FW18))</f>
        <v>1.5</v>
      </c>
      <c r="FZ18" s="206" t="str">
        <f t="shared" si="35"/>
        <v>D</v>
      </c>
      <c r="GA18" s="123"/>
      <c r="GB18" s="124"/>
      <c r="GC18" s="125"/>
      <c r="GD18" s="182" t="str">
        <f>IFERROR((((COUNTIF('Elève (4ème2)'!GA18:GC18,"A"))*4)+((COUNTIF('Elève (4ème2)'!GA18:GC18,"B"))*3)+((COUNTIF('Elève (4ème2)'!GA18:GC18,"C"))*2)+((COUNTIF('Elève (4ème2)'!GA18:GC18,"D"))*1))/(COUNTA(GA18:GC18)),"")</f>
        <v/>
      </c>
      <c r="GE18" s="183" t="str">
        <f t="shared" si="36"/>
        <v/>
      </c>
      <c r="GF18" s="123"/>
      <c r="GG18" s="124"/>
      <c r="GH18" s="125"/>
      <c r="GI18" s="125"/>
      <c r="GJ18" s="182" t="str">
        <f>IFERROR((((COUNTIF('Elève (4ème2)'!GF18:GI18,"A"))*4)+((COUNTIF('Elève (4ème2)'!GF18:GI18,"B"))*3)+((COUNTIF('Elève (4ème2)'!GF18:GI18,"C"))*2)+((COUNTIF('Elève (4ème2)'!GF18:GI18,"D"))*1))/(COUNTA(GF18:GI18)),"")</f>
        <v/>
      </c>
      <c r="GK18" s="183" t="str">
        <f t="shared" si="37"/>
        <v/>
      </c>
      <c r="GL18" s="123" t="s">
        <v>29</v>
      </c>
      <c r="GM18" s="218" t="s">
        <v>30</v>
      </c>
      <c r="GN18" s="218"/>
      <c r="GO18" s="124"/>
      <c r="GP18" s="129"/>
      <c r="GQ18" s="182">
        <f>IFERROR((((COUNTIF('Elève (4ème2)'!GL18:GP18,"A"))*4)+((COUNTIF('Elève (4ème2)'!GL18:GP18,"B"))*3)+((COUNTIF('Elève (4ème2)'!GL18:GP18,"C"))*2)+((COUNTIF('Elève (4ème2)'!GL18:GP18,"D"))*1))/(COUNTA(GL18:GP18)),"")</f>
        <v>3.5</v>
      </c>
      <c r="GR18" s="183" t="str">
        <f t="shared" si="38"/>
        <v>B</v>
      </c>
      <c r="GS18" s="182">
        <f>IF(COUNT(GD18,GJ18,GQ18)=0,"",SUM(GD18,GJ18,GQ18)/COUNT(GD18,GJ18,GQ18))</f>
        <v>3.5</v>
      </c>
      <c r="GT18" s="206" t="str">
        <f t="shared" si="39"/>
        <v>B</v>
      </c>
      <c r="GU18" s="123"/>
      <c r="GV18" s="124"/>
      <c r="GW18" s="125"/>
      <c r="GX18" s="182" t="str">
        <f>IFERROR((((COUNTIF('Elève (4ème2)'!GU18:GW18,"A"))*4)+((COUNTIF('Elève (4ème2)'!GU18:GW18,"B"))*3)+((COUNTIF('Elève (4ème2)'!GU18:GW18,"C"))*2)+((COUNTIF('Elève (4ème2)'!GU18:GW18,"D"))*1))/(COUNTA(GU18:GW18)),"")</f>
        <v/>
      </c>
      <c r="GY18" s="183" t="str">
        <f t="shared" si="40"/>
        <v/>
      </c>
      <c r="GZ18" s="123"/>
      <c r="HA18" s="124"/>
      <c r="HB18" s="125"/>
      <c r="HC18" s="125"/>
      <c r="HD18" s="182" t="str">
        <f>IFERROR((((COUNTIF('Elève (4ème2)'!GZ18:HC18,"A"))*4)+((COUNTIF('Elève (4ème2)'!GZ18:HC18,"B"))*3)+((COUNTIF('Elève (4ème2)'!GZ18:HC18,"C"))*2)+((COUNTIF('Elève (4ème2)'!GZ18:HC18,"D"))*1))/(COUNTA(GZ18:HC18)),"")</f>
        <v/>
      </c>
      <c r="HE18" s="183" t="str">
        <f t="shared" si="41"/>
        <v/>
      </c>
      <c r="HF18" s="123" t="s">
        <v>31</v>
      </c>
      <c r="HG18" s="218" t="s">
        <v>30</v>
      </c>
      <c r="HH18" s="218"/>
      <c r="HI18" s="124"/>
      <c r="HJ18" s="129"/>
      <c r="HK18" s="182">
        <f>IFERROR((((COUNTIF('Elève (4ème2)'!HF18:HJ18,"A"))*4)+((COUNTIF('Elève (4ème2)'!HF18:HJ18,"B"))*3)+((COUNTIF('Elève (4ème2)'!HF18:HJ18,"C"))*2)+((COUNTIF('Elève (4ème2)'!HF18:HJ18,"D"))*1))/(COUNTA(HF18:HJ18)),"")</f>
        <v>2.5</v>
      </c>
      <c r="HL18" s="183" t="str">
        <f t="shared" si="42"/>
        <v>C</v>
      </c>
      <c r="HM18" s="182">
        <f>IF(COUNT(GX18,HD18,HK18)=0,"",SUM(GX18,HD18,HK18)/COUNT(GX18,HD18,HK18))</f>
        <v>2.5</v>
      </c>
      <c r="HN18" s="206" t="str">
        <f t="shared" si="43"/>
        <v>C</v>
      </c>
      <c r="HO18" s="123"/>
      <c r="HP18" s="124"/>
      <c r="HQ18" s="125"/>
      <c r="HR18" s="182" t="str">
        <f>IFERROR((((COUNTIF('Elève (4ème2)'!HO18:HQ18,"A"))*4)+((COUNTIF('Elève (4ème2)'!HO18:HQ18,"B"))*3)+((COUNTIF('Elève (4ème2)'!HO18:HQ18,"C"))*2)+((COUNTIF('Elève (4ème2)'!HO18:HQ18,"D"))*1))/(COUNTA(HO18:HQ18)),"")</f>
        <v/>
      </c>
      <c r="HS18" s="183" t="str">
        <f t="shared" si="44"/>
        <v/>
      </c>
      <c r="HT18" s="123"/>
      <c r="HU18" s="124"/>
      <c r="HV18" s="125"/>
      <c r="HW18" s="125"/>
      <c r="HX18" s="182" t="str">
        <f>IFERROR((((COUNTIF('Elève (4ème2)'!HT18:HW18,"A"))*4)+((COUNTIF('Elève (4ème2)'!HT18:HW18,"B"))*3)+((COUNTIF('Elève (4ème2)'!HT18:HW18,"C"))*2)+((COUNTIF('Elève (4ème2)'!HT18:HW18,"D"))*1))/(COUNTA(HT18:HW18)),"")</f>
        <v/>
      </c>
      <c r="HY18" s="183" t="str">
        <f t="shared" si="45"/>
        <v/>
      </c>
      <c r="HZ18" s="123" t="s">
        <v>31</v>
      </c>
      <c r="IA18" s="218" t="s">
        <v>30</v>
      </c>
      <c r="IB18" s="218"/>
      <c r="IC18" s="124"/>
      <c r="ID18" s="129"/>
      <c r="IE18" s="182">
        <f>IFERROR((((COUNTIF('Elève (4ème2)'!HZ18:ID18,"A"))*4)+((COUNTIF('Elève (4ème2)'!HZ18:ID18,"B"))*3)+((COUNTIF('Elève (4ème2)'!HZ18:ID18,"C"))*2)+((COUNTIF('Elève (4ème2)'!HZ18:ID18,"D"))*1))/(COUNTA(HZ18:ID18)),"")</f>
        <v>2.5</v>
      </c>
      <c r="IF18" s="183" t="str">
        <f t="shared" si="46"/>
        <v>C</v>
      </c>
      <c r="IG18" s="182">
        <f>IF(COUNT(HR18,HX18,IE18)=0,"",SUM(HR18,HX18,IE18)/COUNT(HR18,HX18,IE18))</f>
        <v>2.5</v>
      </c>
      <c r="IH18" s="206" t="str">
        <f t="shared" si="47"/>
        <v>C</v>
      </c>
      <c r="II18" s="123"/>
      <c r="IJ18" s="124"/>
      <c r="IK18" s="125"/>
      <c r="IL18" s="182" t="str">
        <f>IFERROR((((COUNTIF('Elève (4ème2)'!II18:IK18,"A"))*4)+((COUNTIF('Elève (4ème2)'!II18:IK18,"B"))*3)+((COUNTIF('Elève (4ème2)'!II18:IK18,"C"))*2)+((COUNTIF('Elève (4ème2)'!II18:IK18,"D"))*1))/(COUNTA(II18:IK18)),"")</f>
        <v/>
      </c>
      <c r="IM18" s="183" t="str">
        <f t="shared" si="48"/>
        <v/>
      </c>
      <c r="IN18" s="123"/>
      <c r="IO18" s="124"/>
      <c r="IP18" s="125"/>
      <c r="IQ18" s="125"/>
      <c r="IR18" s="182" t="str">
        <f>IFERROR((((COUNTIF('Elève (4ème2)'!IN18:IQ18,"A"))*4)+((COUNTIF('Elève (4ème2)'!IN18:IQ18,"B"))*3)+((COUNTIF('Elève (4ème2)'!IN18:IQ18,"C"))*2)+((COUNTIF('Elève (4ème2)'!IN18:IQ18,"D"))*1))/(COUNTA(IN18:IQ18)),"")</f>
        <v/>
      </c>
      <c r="IS18" s="183" t="str">
        <f t="shared" si="49"/>
        <v/>
      </c>
      <c r="IT18" s="123" t="s">
        <v>31</v>
      </c>
      <c r="IU18" s="218" t="s">
        <v>31</v>
      </c>
      <c r="IV18" s="218"/>
      <c r="IW18" s="124"/>
      <c r="IX18" s="129"/>
      <c r="IY18" s="182">
        <f>IFERROR((((COUNTIF('Elève (4ème2)'!IT18:IX18,"A"))*4)+((COUNTIF('Elève (4ème2)'!IT18:IX18,"B"))*3)+((COUNTIF('Elève (4ème2)'!IT18:IX18,"C"))*2)+((COUNTIF('Elève (4ème2)'!IT18:IX18,"D"))*1))/(COUNTA(IT18:IX18)),"")</f>
        <v>2</v>
      </c>
      <c r="IZ18" s="183" t="str">
        <f t="shared" si="50"/>
        <v>C</v>
      </c>
      <c r="JA18" s="182">
        <f>IF(COUNT(IL18,IR18,IY18)=0,"",SUM(IL18,IR18,IY18)/COUNT(IL18,IR18,IY18))</f>
        <v>2</v>
      </c>
      <c r="JB18" s="206" t="str">
        <f t="shared" si="51"/>
        <v>C</v>
      </c>
      <c r="JC18" s="123"/>
      <c r="JD18" s="124"/>
      <c r="JE18" s="125"/>
      <c r="JF18" s="182" t="str">
        <f>IFERROR((((COUNTIF('Elève (4ème2)'!JC18:JE18,"A"))*4)+((COUNTIF('Elève (4ème2)'!JC18:JE18,"B"))*3)+((COUNTIF('Elève (4ème2)'!JC18:JE18,"C"))*2)+((COUNTIF('Elève (4ème2)'!JC18:JE18,"D"))*1))/(COUNTA(JC18:JE18)),"")</f>
        <v/>
      </c>
      <c r="JG18" s="183" t="str">
        <f t="shared" si="52"/>
        <v/>
      </c>
      <c r="JH18" s="123"/>
      <c r="JI18" s="124"/>
      <c r="JJ18" s="125"/>
      <c r="JK18" s="125"/>
      <c r="JL18" s="182" t="str">
        <f>IFERROR((((COUNTIF('Elève (4ème2)'!JH18:JK18,"A"))*4)+((COUNTIF('Elève (4ème2)'!JH18:JK18,"B"))*3)+((COUNTIF('Elève (4ème2)'!JH18:JK18,"C"))*2)+((COUNTIF('Elève (4ème2)'!JH18:JK18,"D"))*1))/(COUNTA(JH18:JK18)),"")</f>
        <v/>
      </c>
      <c r="JM18" s="183" t="str">
        <f t="shared" si="53"/>
        <v/>
      </c>
      <c r="JN18" s="123" t="s">
        <v>29</v>
      </c>
      <c r="JO18" s="218" t="s">
        <v>30</v>
      </c>
      <c r="JP18" s="218"/>
      <c r="JQ18" s="124"/>
      <c r="JR18" s="129"/>
      <c r="JS18" s="182">
        <f>IFERROR((((COUNTIF('Elève (4ème2)'!JN18:JR18,"A"))*4)+((COUNTIF('Elève (4ème2)'!JN18:JR18,"B"))*3)+((COUNTIF('Elève (4ème2)'!JN18:JR18,"C"))*2)+((COUNTIF('Elève (4ème2)'!JN18:JR18,"D"))*1))/(COUNTA(JN18:JR18)),"")</f>
        <v>3.5</v>
      </c>
      <c r="JT18" s="183" t="str">
        <f t="shared" si="54"/>
        <v>B</v>
      </c>
      <c r="JU18" s="182">
        <f>IF(COUNT(JF18,JL18,JS18)=0,"",SUM(JF18,JL18,JS18)/COUNT(JF18,JL18,JS18))</f>
        <v>3.5</v>
      </c>
      <c r="JV18" s="206" t="str">
        <f t="shared" si="55"/>
        <v>B</v>
      </c>
      <c r="JW18" s="123"/>
      <c r="JX18" s="124"/>
      <c r="JY18" s="125"/>
      <c r="JZ18" s="182" t="str">
        <f>IFERROR((((COUNTIF('Elève (4ème2)'!JW18:JY18,"A"))*4)+((COUNTIF('Elève (4ème2)'!JW18:JY18,"B"))*3)+((COUNTIF('Elève (4ème2)'!JW18:JY18,"C"))*2)+((COUNTIF('Elève (4ème2)'!JW18:JY18,"D"))*1))/(COUNTA(JW18:JY18)),"")</f>
        <v/>
      </c>
      <c r="KA18" s="183" t="str">
        <f t="shared" si="56"/>
        <v/>
      </c>
      <c r="KB18" s="123"/>
      <c r="KC18" s="124"/>
      <c r="KD18" s="125"/>
      <c r="KE18" s="125"/>
      <c r="KF18" s="182" t="str">
        <f>IFERROR((((COUNTIF('Elève (4ème2)'!KB18:KE18,"A"))*4)+((COUNTIF('Elève (4ème2)'!KB18:KE18,"B"))*3)+((COUNTIF('Elève (4ème2)'!KB18:KE18,"C"))*2)+((COUNTIF('Elève (4ème2)'!KB18:KE18,"D"))*1))/(COUNTA(KB18:KE18)),"")</f>
        <v/>
      </c>
      <c r="KG18" s="183" t="str">
        <f t="shared" si="57"/>
        <v/>
      </c>
      <c r="KH18" s="123" t="s">
        <v>29</v>
      </c>
      <c r="KI18" s="218" t="s">
        <v>31</v>
      </c>
      <c r="KJ18" s="218"/>
      <c r="KK18" s="124"/>
      <c r="KL18" s="129"/>
      <c r="KM18" s="182">
        <f>IFERROR((((COUNTIF('Elève (4ème2)'!KH18:KL18,"A"))*4)+((COUNTIF('Elève (4ème2)'!KH18:KL18,"B"))*3)+((COUNTIF('Elève (4ème2)'!KH18:KL18,"C"))*2)+((COUNTIF('Elève (4ème2)'!KH18:KL18,"D"))*1))/(COUNTA(KH18:KL18)),"")</f>
        <v>3</v>
      </c>
      <c r="KN18" s="183" t="str">
        <f t="shared" si="58"/>
        <v>B</v>
      </c>
      <c r="KO18" s="182">
        <f>IF(COUNT(JZ18,KF18,KM18)=0,"",SUM(JZ18,KF18,KM18)/COUNT(JZ18,KF18,KM18))</f>
        <v>3</v>
      </c>
      <c r="KP18" s="206" t="str">
        <f t="shared" si="59"/>
        <v>B</v>
      </c>
      <c r="KQ18" s="123"/>
      <c r="KR18" s="124"/>
      <c r="KS18" s="125"/>
      <c r="KT18" s="182" t="str">
        <f>IFERROR((((COUNTIF('Elève (4ème2)'!KQ18:KS18,"A"))*4)+((COUNTIF('Elève (4ème2)'!KQ18:KS18,"B"))*3)+((COUNTIF('Elève (4ème2)'!KQ18:KS18,"C"))*2)+((COUNTIF('Elève (4ème2)'!KQ18:KS18,"D"))*1))/(COUNTA(KQ18:KS18)),"")</f>
        <v/>
      </c>
      <c r="KU18" s="183" t="str">
        <f t="shared" si="60"/>
        <v/>
      </c>
      <c r="KV18" s="123"/>
      <c r="KW18" s="124"/>
      <c r="KX18" s="125"/>
      <c r="KY18" s="125"/>
      <c r="KZ18" s="182" t="str">
        <f>IFERROR((((COUNTIF('Elève (4ème2)'!KV18:KY18,"A"))*4)+((COUNTIF('Elève (4ème2)'!KV18:KY18,"B"))*3)+((COUNTIF('Elève (4ème2)'!KV18:KY18,"C"))*2)+((COUNTIF('Elève (4ème2)'!KV18:KY18,"D"))*1))/(COUNTA(KV18:KY18)),"")</f>
        <v/>
      </c>
      <c r="LA18" s="183" t="str">
        <f t="shared" si="61"/>
        <v/>
      </c>
      <c r="LB18" s="123" t="s">
        <v>29</v>
      </c>
      <c r="LC18" s="218" t="s">
        <v>29</v>
      </c>
      <c r="LD18" s="218"/>
      <c r="LE18" s="124"/>
      <c r="LF18" s="129"/>
      <c r="LG18" s="182">
        <f>IFERROR((((COUNTIF('Elève (4ème2)'!LB18:LF18,"A"))*4)+((COUNTIF('Elève (4ème2)'!LB18:LF18,"B"))*3)+((COUNTIF('Elève (4ème2)'!LB18:LF18,"C"))*2)+((COUNTIF('Elève (4ème2)'!LB18:LF18,"D"))*1))/(COUNTA(LB18:LF18)),"")</f>
        <v>4</v>
      </c>
      <c r="LH18" s="183" t="str">
        <f t="shared" si="62"/>
        <v>A</v>
      </c>
      <c r="LI18" s="182">
        <f>IF(COUNT(KT18,KZ18,LG18)=0,"",SUM(KT18,KZ18,LG18)/COUNT(KT18,KZ18,LG18))</f>
        <v>4</v>
      </c>
      <c r="LJ18" s="206" t="str">
        <f t="shared" si="63"/>
        <v>A</v>
      </c>
      <c r="LK18" s="123"/>
      <c r="LL18" s="124"/>
      <c r="LM18" s="125"/>
      <c r="LN18" s="182" t="str">
        <f>IFERROR((((COUNTIF('Elève (4ème2)'!LK18:LM18,"A"))*4)+((COUNTIF('Elève (4ème2)'!LK18:LM18,"B"))*3)+((COUNTIF('Elève (4ème2)'!LK18:LM18,"C"))*2)+((COUNTIF('Elève (4ème2)'!LK18:LM18,"D"))*1))/(COUNTA(LK18:LM18)),"")</f>
        <v/>
      </c>
      <c r="LO18" s="183" t="str">
        <f t="shared" si="64"/>
        <v/>
      </c>
      <c r="LP18" s="123"/>
      <c r="LQ18" s="124"/>
      <c r="LR18" s="125"/>
      <c r="LS18" s="125"/>
      <c r="LT18" s="182" t="str">
        <f>IFERROR((((COUNTIF('Elève (4ème2)'!LP18:LS18,"A"))*4)+((COUNTIF('Elève (4ème2)'!LP18:LS18,"B"))*3)+((COUNTIF('Elève (4ème2)'!LP18:LS18,"C"))*2)+((COUNTIF('Elève (4ème2)'!LP18:LS18,"D"))*1))/(COUNTA(LP18:LS18)),"")</f>
        <v/>
      </c>
      <c r="LU18" s="183" t="str">
        <f t="shared" si="65"/>
        <v/>
      </c>
      <c r="LV18" s="123" t="s">
        <v>29</v>
      </c>
      <c r="LW18" s="218" t="s">
        <v>32</v>
      </c>
      <c r="LX18" s="218"/>
      <c r="LY18" s="124"/>
      <c r="LZ18" s="129"/>
      <c r="MA18" s="182">
        <f>IFERROR((((COUNTIF('Elève (4ème2)'!LV18:LZ18,"A"))*4)+((COUNTIF('Elève (4ème2)'!LV18:LZ18,"B"))*3)+((COUNTIF('Elève (4ème2)'!LV18:LZ18,"C"))*2)+((COUNTIF('Elève (4ème2)'!LV18:LZ18,"D"))*1))/(COUNTA(LV18:LZ18)),"")</f>
        <v>2.5</v>
      </c>
      <c r="MB18" s="183" t="str">
        <f t="shared" si="66"/>
        <v>C</v>
      </c>
      <c r="MC18" s="182">
        <f>IF(COUNT(LN18,LT18,MA18)=0,"",SUM(LN18,LT18,MA18)/COUNT(LN18,LT18,MA18))</f>
        <v>2.5</v>
      </c>
      <c r="MD18" s="206" t="str">
        <f t="shared" si="67"/>
        <v>C</v>
      </c>
      <c r="ME18" s="123"/>
      <c r="MF18" s="124"/>
      <c r="MG18" s="125"/>
      <c r="MH18" s="182" t="str">
        <f>IFERROR((((COUNTIF('Elève (4ème2)'!ME18:MG18,"A"))*4)+((COUNTIF('Elève (4ème2)'!ME18:MG18,"B"))*3)+((COUNTIF('Elève (4ème2)'!ME18:MG18,"C"))*2)+((COUNTIF('Elève (4ème2)'!ME18:MG18,"D"))*1))/(COUNTA(ME18:MG18)),"")</f>
        <v/>
      </c>
      <c r="MI18" s="183" t="str">
        <f t="shared" si="68"/>
        <v/>
      </c>
      <c r="MJ18" s="123"/>
      <c r="MK18" s="124"/>
      <c r="ML18" s="125"/>
      <c r="MM18" s="125"/>
      <c r="MN18" s="182" t="str">
        <f>IFERROR((((COUNTIF('Elève (4ème2)'!MJ18:MM18,"A"))*4)+((COUNTIF('Elève (4ème2)'!MJ18:MM18,"B"))*3)+((COUNTIF('Elève (4ème2)'!MJ18:MM18,"C"))*2)+((COUNTIF('Elève (4ème2)'!MJ18:MM18,"D"))*1))/(COUNTA(MJ18:MM18)),"")</f>
        <v/>
      </c>
      <c r="MO18" s="183" t="str">
        <f t="shared" si="69"/>
        <v/>
      </c>
      <c r="MP18" s="123" t="s">
        <v>29</v>
      </c>
      <c r="MQ18" s="218" t="s">
        <v>32</v>
      </c>
      <c r="MR18" s="218"/>
      <c r="MS18" s="124"/>
      <c r="MT18" s="129"/>
      <c r="MU18" s="182">
        <f>IFERROR((((COUNTIF('Elève (4ème2)'!MP18:MT18,"A"))*4)+((COUNTIF('Elève (4ème2)'!MP18:MT18,"B"))*3)+((COUNTIF('Elève (4ème2)'!MP18:MT18,"C"))*2)+((COUNTIF('Elève (4ème2)'!MP18:MT18,"D"))*1))/(COUNTA(MP18:MT18)),"")</f>
        <v>2.5</v>
      </c>
      <c r="MV18" s="183" t="str">
        <f t="shared" si="70"/>
        <v>C</v>
      </c>
      <c r="MW18" s="182">
        <f>IF(COUNT(MH18,MN18,MU18)=0,"",SUM(MH18,MN18,MU18)/COUNT(MH18,MN18,MU18))</f>
        <v>2.5</v>
      </c>
      <c r="MX18" s="206" t="str">
        <f t="shared" si="71"/>
        <v>C</v>
      </c>
      <c r="MY18" s="123"/>
      <c r="MZ18" s="124"/>
      <c r="NA18" s="125"/>
      <c r="NB18" s="182" t="str">
        <f>IFERROR((((COUNTIF('Elève (4ème2)'!MY18:NA18,"A"))*4)+((COUNTIF('Elève (4ème2)'!MY18:NA18,"B"))*3)+((COUNTIF('Elève (4ème2)'!MY18:NA18,"C"))*2)+((COUNTIF('Elève (4ème2)'!MY18:NA18,"D"))*1))/(COUNTA(MY18:NA18)),"")</f>
        <v/>
      </c>
      <c r="NC18" s="183" t="str">
        <f t="shared" si="72"/>
        <v/>
      </c>
      <c r="ND18" s="123"/>
      <c r="NE18" s="124"/>
      <c r="NF18" s="125"/>
      <c r="NG18" s="125"/>
      <c r="NH18" s="182" t="str">
        <f>IFERROR((((COUNTIF('Elève (4ème2)'!ND18:NG18,"A"))*4)+((COUNTIF('Elève (4ème2)'!ND18:NG18,"B"))*3)+((COUNTIF('Elève (4ème2)'!ND18:NG18,"C"))*2)+((COUNTIF('Elève (4ème2)'!ND18:NG18,"D"))*1))/(COUNTA(ND18:NG18)),"")</f>
        <v/>
      </c>
      <c r="NI18" s="183" t="str">
        <f t="shared" si="73"/>
        <v/>
      </c>
      <c r="NJ18" s="123" t="s">
        <v>29</v>
      </c>
      <c r="NK18" s="218" t="s">
        <v>30</v>
      </c>
      <c r="NL18" s="218"/>
      <c r="NM18" s="124"/>
      <c r="NN18" s="129"/>
      <c r="NO18" s="182">
        <f>IFERROR((((COUNTIF('Elève (4ème2)'!NJ18:NN18,"A"))*4)+((COUNTIF('Elève (4ème2)'!NJ18:NN18,"B"))*3)+((COUNTIF('Elève (4ème2)'!NJ18:NN18,"C"))*2)+((COUNTIF('Elève (4ème2)'!NJ18:NN18,"D"))*1))/(COUNTA(NJ18:NN18)),"")</f>
        <v>3.5</v>
      </c>
      <c r="NP18" s="183" t="str">
        <f t="shared" si="74"/>
        <v>B</v>
      </c>
      <c r="NQ18" s="182">
        <f>IF(COUNT(NB18,NH18,NO18)=0,"",SUM(NB18,NH18,NO18)/COUNT(NB18,NH18,NO18))</f>
        <v>3.5</v>
      </c>
      <c r="NR18" s="206" t="str">
        <f t="shared" si="75"/>
        <v>B</v>
      </c>
      <c r="NS18" s="123"/>
      <c r="NT18" s="124"/>
      <c r="NU18" s="125"/>
      <c r="NV18" s="182" t="str">
        <f>IFERROR((((COUNTIF('Elève (4ème2)'!NS18:NU18,"A"))*4)+((COUNTIF('Elève (4ème2)'!NS18:NU18,"B"))*3)+((COUNTIF('Elève (4ème2)'!NS18:NU18,"C"))*2)+((COUNTIF('Elève (4ème2)'!NS18:NU18,"D"))*1))/(COUNTA(NS18:NU18)),"")</f>
        <v/>
      </c>
      <c r="NW18" s="183" t="str">
        <f t="shared" si="76"/>
        <v/>
      </c>
      <c r="NX18" s="123"/>
      <c r="NY18" s="124"/>
      <c r="NZ18" s="125"/>
      <c r="OA18" s="125"/>
      <c r="OB18" s="182" t="str">
        <f>IFERROR((((COUNTIF('Elève (4ème2)'!NX18:OA18,"A"))*4)+((COUNTIF('Elève (4ème2)'!NX18:OA18,"B"))*3)+((COUNTIF('Elève (4ème2)'!NX18:OA18,"C"))*2)+((COUNTIF('Elève (4ème2)'!NX18:OA18,"D"))*1))/(COUNTA(NX18:OA18)),"")</f>
        <v/>
      </c>
      <c r="OC18" s="183" t="str">
        <f t="shared" si="77"/>
        <v/>
      </c>
      <c r="OD18" s="123" t="s">
        <v>29</v>
      </c>
      <c r="OE18" s="218" t="s">
        <v>30</v>
      </c>
      <c r="OF18" s="218"/>
      <c r="OG18" s="124"/>
      <c r="OH18" s="129"/>
      <c r="OI18" s="182">
        <f>IFERROR((((COUNTIF('Elève (4ème2)'!OD18:OH18,"A"))*4)+((COUNTIF('Elève (4ème2)'!OD18:OH18,"B"))*3)+((COUNTIF('Elève (4ème2)'!OD18:OH18,"C"))*2)+((COUNTIF('Elève (4ème2)'!OD18:OH18,"D"))*1))/(COUNTA(OD18:OH18)),"")</f>
        <v>3.5</v>
      </c>
      <c r="OJ18" s="183" t="str">
        <f t="shared" si="78"/>
        <v>B</v>
      </c>
      <c r="OK18" s="182">
        <f>IF(COUNT(NV18,OB18,OI18)=0,"",SUM(NV18,OB18,OI18)/COUNT(NV18,OB18,OI18))</f>
        <v>3.5</v>
      </c>
      <c r="OL18" s="206" t="str">
        <f t="shared" si="79"/>
        <v>B</v>
      </c>
      <c r="OM18" s="123"/>
      <c r="ON18" s="124"/>
      <c r="OO18" s="125"/>
      <c r="OP18" s="182" t="str">
        <f>IFERROR((((COUNTIF('Elève (4ème2)'!OM18:OO18,"A"))*4)+((COUNTIF('Elève (4ème2)'!OM18:OO18,"B"))*3)+((COUNTIF('Elève (4ème2)'!OM18:OO18,"C"))*2)+((COUNTIF('Elève (4ème2)'!OM18:OO18,"D"))*1))/(COUNTA(OM18:OO18)),"")</f>
        <v/>
      </c>
      <c r="OQ18" s="183" t="str">
        <f t="shared" si="80"/>
        <v/>
      </c>
      <c r="OR18" s="123"/>
      <c r="OS18" s="124"/>
      <c r="OT18" s="125"/>
      <c r="OU18" s="125"/>
      <c r="OV18" s="182" t="str">
        <f>IFERROR((((COUNTIF('Elève (4ème2)'!OR18:OU18,"A"))*4)+((COUNTIF('Elève (4ème2)'!OR18:OU18,"B"))*3)+((COUNTIF('Elève (4ème2)'!OR18:OU18,"C"))*2)+((COUNTIF('Elève (4ème2)'!OR18:OU18,"D"))*1))/(COUNTA(OR18:OU18)),"")</f>
        <v/>
      </c>
      <c r="OW18" s="183" t="str">
        <f t="shared" si="81"/>
        <v/>
      </c>
      <c r="OX18" s="123" t="s">
        <v>30</v>
      </c>
      <c r="OY18" s="218" t="s">
        <v>32</v>
      </c>
      <c r="OZ18" s="218"/>
      <c r="PA18" s="124"/>
      <c r="PB18" s="129"/>
      <c r="PC18" s="182">
        <f>IFERROR((((COUNTIF('Elève (4ème2)'!OX18:PB18,"A"))*4)+((COUNTIF('Elève (4ème2)'!OX18:PB18,"B"))*3)+((COUNTIF('Elève (4ème2)'!OX18:PB18,"C"))*2)+((COUNTIF('Elève (4ème2)'!OX18:PB18,"D"))*1))/(COUNTA(OX18:PB18)),"")</f>
        <v>2</v>
      </c>
      <c r="PD18" s="183" t="str">
        <f t="shared" si="82"/>
        <v>C</v>
      </c>
      <c r="PE18" s="182">
        <f>IF(COUNT(OP18,OV18,PC18)=0,"",SUM(OP18,OV18,PC18)/COUNT(OP18,OV18,PC18))</f>
        <v>2</v>
      </c>
      <c r="PF18" s="206" t="str">
        <f t="shared" si="83"/>
        <v>C</v>
      </c>
      <c r="PG18" s="123"/>
      <c r="PH18" s="124"/>
      <c r="PI18" s="125"/>
      <c r="PJ18" s="182" t="str">
        <f>IFERROR((((COUNTIF('Elève (4ème2)'!PG18:PI18,"A"))*4)+((COUNTIF('Elève (4ème2)'!PG18:PI18,"B"))*3)+((COUNTIF('Elève (4ème2)'!PG18:PI18,"C"))*2)+((COUNTIF('Elève (4ème2)'!PG18:PI18,"D"))*1))/(COUNTA(PG18:PI18)),"")</f>
        <v/>
      </c>
      <c r="PK18" s="183" t="str">
        <f t="shared" si="84"/>
        <v/>
      </c>
      <c r="PL18" s="123"/>
      <c r="PM18" s="124"/>
      <c r="PN18" s="125"/>
      <c r="PO18" s="125"/>
      <c r="PP18" s="182" t="str">
        <f>IFERROR((((COUNTIF('Elève (4ème2)'!PL18:PO18,"A"))*4)+((COUNTIF('Elève (4ème2)'!PL18:PO18,"B"))*3)+((COUNTIF('Elève (4ème2)'!PL18:PO18,"C"))*2)+((COUNTIF('Elève (4ème2)'!PL18:PO18,"D"))*1))/(COUNTA(PL18:PO18)),"")</f>
        <v/>
      </c>
      <c r="PQ18" s="183" t="str">
        <f t="shared" si="85"/>
        <v/>
      </c>
      <c r="PR18" s="123" t="s">
        <v>31</v>
      </c>
      <c r="PS18" s="218" t="s">
        <v>32</v>
      </c>
      <c r="PT18" s="218"/>
      <c r="PU18" s="124"/>
      <c r="PV18" s="129"/>
      <c r="PW18" s="182">
        <f>IFERROR((((COUNTIF('Elève (4ème2)'!PR18:PV18,"A"))*4)+((COUNTIF('Elève (4ème2)'!PR18:PV18,"B"))*3)+((COUNTIF('Elève (4ème2)'!PR18:PV18,"C"))*2)+((COUNTIF('Elève (4ème2)'!PR18:PV18,"D"))*1))/(COUNTA(PR18:PV18)),"")</f>
        <v>1.5</v>
      </c>
      <c r="PX18" s="183" t="str">
        <f t="shared" si="86"/>
        <v>D</v>
      </c>
      <c r="PY18" s="182">
        <f>IF(COUNT(PJ18,PP18,PW18)=0,"",SUM(PJ18,PP18,PW18)/COUNT(PJ18,PP18,PW18))</f>
        <v>1.5</v>
      </c>
      <c r="PZ18" s="206" t="str">
        <f t="shared" si="87"/>
        <v>D</v>
      </c>
      <c r="QA18" s="123"/>
      <c r="QB18" s="124"/>
      <c r="QC18" s="125"/>
      <c r="QD18" s="182" t="str">
        <f>IFERROR((((COUNTIF('Elève (4ème2)'!QA18:QC18,"A"))*4)+((COUNTIF('Elève (4ème2)'!QA18:QC18,"B"))*3)+((COUNTIF('Elève (4ème2)'!QA18:QC18,"C"))*2)+((COUNTIF('Elève (4ème2)'!QA18:QC18,"D"))*1))/(COUNTA(QA18:QC18)),"")</f>
        <v/>
      </c>
      <c r="QE18" s="183" t="str">
        <f t="shared" si="88"/>
        <v/>
      </c>
      <c r="QF18" s="123"/>
      <c r="QG18" s="124"/>
      <c r="QH18" s="125"/>
      <c r="QI18" s="125"/>
      <c r="QJ18" s="182" t="str">
        <f>IFERROR((((COUNTIF('Elève (4ème2)'!QF18:QI18,"A"))*4)+((COUNTIF('Elève (4ème2)'!QF18:QI18,"B"))*3)+((COUNTIF('Elève (4ème2)'!QF18:QI18,"C"))*2)+((COUNTIF('Elève (4ème2)'!QF18:QI18,"D"))*1))/(COUNTA(QF18:QI18)),"")</f>
        <v/>
      </c>
      <c r="QK18" s="183" t="str">
        <f t="shared" si="89"/>
        <v/>
      </c>
      <c r="QL18" s="123" t="s">
        <v>29</v>
      </c>
      <c r="QM18" s="218" t="s">
        <v>31</v>
      </c>
      <c r="QN18" s="218"/>
      <c r="QO18" s="124"/>
      <c r="QP18" s="129"/>
      <c r="QQ18" s="182">
        <f>IFERROR((((COUNTIF('Elève (4ème2)'!QL18:QP18,"A"))*4)+((COUNTIF('Elève (4ème2)'!QL18:QP18,"B"))*3)+((COUNTIF('Elève (4ème2)'!QL18:QP18,"C"))*2)+((COUNTIF('Elève (4ème2)'!QL18:QP18,"D"))*1))/(COUNTA(QL18:QP18)),"")</f>
        <v>3</v>
      </c>
      <c r="QR18" s="183" t="str">
        <f t="shared" si="90"/>
        <v>B</v>
      </c>
      <c r="QS18" s="182">
        <f>IF(COUNT(QD18,QJ18,QQ18)=0,"",SUM(QD18,QJ18,QQ18)/COUNT(QD18,QJ18,QQ18))</f>
        <v>3</v>
      </c>
      <c r="QT18" s="206" t="str">
        <f t="shared" si="91"/>
        <v>B</v>
      </c>
      <c r="QU18" s="123"/>
      <c r="QV18" s="124"/>
      <c r="QW18" s="125"/>
      <c r="QX18" s="182" t="str">
        <f>IFERROR((((COUNTIF('Elève (4ème2)'!QU18:QW18,"A"))*4)+((COUNTIF('Elève (4ème2)'!QU18:QW18,"B"))*3)+((COUNTIF('Elève (4ème2)'!QU18:QW18,"C"))*2)+((COUNTIF('Elève (4ème2)'!QU18:QW18,"D"))*1))/(COUNTA(QU18:QW18)),"")</f>
        <v/>
      </c>
      <c r="QY18" s="183" t="str">
        <f t="shared" si="92"/>
        <v/>
      </c>
      <c r="QZ18" s="123"/>
      <c r="RA18" s="124"/>
      <c r="RB18" s="125"/>
      <c r="RC18" s="125"/>
      <c r="RD18" s="182" t="str">
        <f>IFERROR((((COUNTIF('Elève (4ème2)'!QZ18:RC18,"A"))*4)+((COUNTIF('Elève (4ème2)'!QZ18:RC18,"B"))*3)+((COUNTIF('Elève (4ème2)'!QZ18:RC18,"C"))*2)+((COUNTIF('Elève (4ème2)'!QZ18:RC18,"D"))*1))/(COUNTA(QZ18:RC18)),"")</f>
        <v/>
      </c>
      <c r="RE18" s="183" t="str">
        <f t="shared" si="93"/>
        <v/>
      </c>
      <c r="RF18" s="123" t="s">
        <v>30</v>
      </c>
      <c r="RG18" s="218" t="s">
        <v>30</v>
      </c>
      <c r="RH18" s="218"/>
      <c r="RI18" s="124"/>
      <c r="RJ18" s="129"/>
      <c r="RK18" s="182">
        <f>IFERROR((((COUNTIF('Elève (4ème2)'!RF18:RJ18,"A"))*4)+((COUNTIF('Elève (4ème2)'!RF18:RJ18,"B"))*3)+((COUNTIF('Elève (4ème2)'!RF18:RJ18,"C"))*2)+((COUNTIF('Elève (4ème2)'!RF18:RJ18,"D"))*1))/(COUNTA(RF18:RJ18)),"")</f>
        <v>3</v>
      </c>
      <c r="RL18" s="183" t="str">
        <f t="shared" si="94"/>
        <v>B</v>
      </c>
      <c r="RM18" s="182">
        <f>IF(COUNT(QX18,RD18,RK18)=0,"",SUM(QX18,RD18,RK18)/COUNT(QX18,RD18,RK18))</f>
        <v>3</v>
      </c>
      <c r="RN18" s="206" t="str">
        <f t="shared" si="95"/>
        <v>B</v>
      </c>
      <c r="RO18" s="123"/>
      <c r="RP18" s="124"/>
      <c r="RQ18" s="125"/>
      <c r="RR18" s="182" t="str">
        <f>IFERROR((((COUNTIF('Elève (4ème2)'!RO18:RQ18,"A"))*4)+((COUNTIF('Elève (4ème2)'!RO18:RQ18,"B"))*3)+((COUNTIF('Elève (4ème2)'!RO18:RQ18,"C"))*2)+((COUNTIF('Elève (4ème2)'!RO18:RQ18,"D"))*1))/(COUNTA(RO18:RQ18)),"")</f>
        <v/>
      </c>
      <c r="RS18" s="183" t="str">
        <f t="shared" si="96"/>
        <v/>
      </c>
      <c r="RT18" s="123"/>
      <c r="RU18" s="124"/>
      <c r="RV18" s="125"/>
      <c r="RW18" s="125"/>
      <c r="RX18" s="182" t="str">
        <f>IFERROR((((COUNTIF('Elève (4ème2)'!RT18:RW18,"A"))*4)+((COUNTIF('Elève (4ème2)'!RT18:RW18,"B"))*3)+((COUNTIF('Elève (4ème2)'!RT18:RW18,"C"))*2)+((COUNTIF('Elève (4ème2)'!RT18:RW18,"D"))*1))/(COUNTA(RT18:RW18)),"")</f>
        <v/>
      </c>
      <c r="RY18" s="183" t="str">
        <f t="shared" si="97"/>
        <v/>
      </c>
      <c r="RZ18" s="123" t="s">
        <v>29</v>
      </c>
      <c r="SA18" s="218" t="s">
        <v>30</v>
      </c>
      <c r="SB18" s="218"/>
      <c r="SC18" s="124"/>
      <c r="SD18" s="129"/>
      <c r="SE18" s="182">
        <f>IFERROR((((COUNTIF('Elève (4ème2)'!RZ18:SD18,"A"))*4)+((COUNTIF('Elève (4ème2)'!RZ18:SD18,"B"))*3)+((COUNTIF('Elève (4ème2)'!RZ18:SD18,"C"))*2)+((COUNTIF('Elève (4ème2)'!RZ18:SD18,"D"))*1))/(COUNTA(RZ18:SD18)),"")</f>
        <v>3.5</v>
      </c>
      <c r="SF18" s="183" t="str">
        <f t="shared" si="98"/>
        <v>B</v>
      </c>
      <c r="SG18" s="182">
        <f>IF(COUNT(RR18,RX18,SE18)=0,"",SUM(RR18,RX18,SE18)/COUNT(RR18,RX18,SE18))</f>
        <v>3.5</v>
      </c>
      <c r="SH18" s="206" t="str">
        <f t="shared" si="99"/>
        <v>B</v>
      </c>
      <c r="SI18" s="123"/>
      <c r="SJ18" s="124"/>
      <c r="SK18" s="125"/>
      <c r="SL18" s="182" t="str">
        <f>IFERROR((((COUNTIF('Elève (4ème2)'!SI18:SK18,"A"))*4)+((COUNTIF('Elève (4ème2)'!SI18:SK18,"B"))*3)+((COUNTIF('Elève (4ème2)'!SI18:SK18,"C"))*2)+((COUNTIF('Elève (4ème2)'!SI18:SK18,"D"))*1))/(COUNTA(SI18:SK18)),"")</f>
        <v/>
      </c>
      <c r="SM18" s="183" t="str">
        <f t="shared" si="100"/>
        <v/>
      </c>
      <c r="SN18" s="123"/>
      <c r="SO18" s="124"/>
      <c r="SP18" s="125"/>
      <c r="SQ18" s="125"/>
      <c r="SR18" s="182" t="str">
        <f>IFERROR((((COUNTIF('Elève (4ème2)'!SN18:SQ18,"A"))*4)+((COUNTIF('Elève (4ème2)'!SN18:SQ18,"B"))*3)+((COUNTIF('Elève (4ème2)'!SN18:SQ18,"C"))*2)+((COUNTIF('Elève (4ème2)'!SN18:SQ18,"D"))*1))/(COUNTA(SN18:SQ18)),"")</f>
        <v/>
      </c>
      <c r="SS18" s="183" t="str">
        <f t="shared" si="101"/>
        <v/>
      </c>
      <c r="ST18" s="123" t="s">
        <v>29</v>
      </c>
      <c r="SU18" s="218" t="s">
        <v>30</v>
      </c>
      <c r="SV18" s="218"/>
      <c r="SW18" s="124"/>
      <c r="SX18" s="129"/>
      <c r="SY18" s="182">
        <f>IFERROR((((COUNTIF('Elève (4ème2)'!ST18:SX18,"A"))*4)+((COUNTIF('Elève (4ème2)'!ST18:SX18,"B"))*3)+((COUNTIF('Elève (4ème2)'!ST18:SX18,"C"))*2)+((COUNTIF('Elève (4ème2)'!ST18:SX18,"D"))*1))/(COUNTA(ST18:SX18)),"")</f>
        <v>3.5</v>
      </c>
      <c r="SZ18" s="183" t="str">
        <f t="shared" si="102"/>
        <v>B</v>
      </c>
      <c r="TA18" s="182">
        <f>IF(COUNT(SL18,SR18,SY18)=0,"",SUM(SL18,SR18,SY18)/COUNT(SL18,SR18,SY18))</f>
        <v>3.5</v>
      </c>
      <c r="TB18" s="206" t="str">
        <f t="shared" si="103"/>
        <v>B</v>
      </c>
      <c r="TC18" s="123"/>
      <c r="TD18" s="124"/>
      <c r="TE18" s="125"/>
      <c r="TF18" s="182" t="str">
        <f>IFERROR((((COUNTIF('Elève (4ème2)'!TC18:TE18,"A"))*4)+((COUNTIF('Elève (4ème2)'!TC18:TE18,"B"))*3)+((COUNTIF('Elève (4ème2)'!TC18:TE18,"C"))*2)+((COUNTIF('Elève (4ème2)'!TC18:TE18,"D"))*1))/(COUNTA(TC18:TE18)),"")</f>
        <v/>
      </c>
      <c r="TG18" s="183" t="str">
        <f t="shared" si="104"/>
        <v/>
      </c>
      <c r="TH18" s="123"/>
      <c r="TI18" s="124"/>
      <c r="TJ18" s="125"/>
      <c r="TK18" s="125"/>
      <c r="TL18" s="182" t="str">
        <f>IFERROR((((COUNTIF('Elève (4ème2)'!TH18:TK18,"A"))*4)+((COUNTIF('Elève (4ème2)'!TH18:TK18,"B"))*3)+((COUNTIF('Elève (4ème2)'!TH18:TK18,"C"))*2)+((COUNTIF('Elève (4ème2)'!TH18:TK18,"D"))*1))/(COUNTA(TH18:TK18)),"")</f>
        <v/>
      </c>
      <c r="TM18" s="183" t="str">
        <f t="shared" si="105"/>
        <v/>
      </c>
      <c r="TN18" s="123" t="s">
        <v>29</v>
      </c>
      <c r="TO18" s="218" t="s">
        <v>31</v>
      </c>
      <c r="TP18" s="218"/>
      <c r="TQ18" s="124"/>
      <c r="TR18" s="129"/>
      <c r="TS18" s="182">
        <f>IFERROR((((COUNTIF('Elève (4ème2)'!TN18:TR18,"A"))*4)+((COUNTIF('Elève (4ème2)'!TN18:TR18,"B"))*3)+((COUNTIF('Elève (4ème2)'!TN18:TR18,"C"))*2)+((COUNTIF('Elève (4ème2)'!TN18:TR18,"D"))*1))/(COUNTA(TN18:TR18)),"")</f>
        <v>3</v>
      </c>
      <c r="TT18" s="183" t="str">
        <f t="shared" si="106"/>
        <v>B</v>
      </c>
      <c r="TU18" s="182">
        <f>IF(COUNT(TF18,TL18,TS18)=0,"",SUM(TF18,TL18,TS18)/COUNT(TF18,TL18,TS18))</f>
        <v>3</v>
      </c>
      <c r="TV18" s="206" t="str">
        <f t="shared" si="107"/>
        <v>B</v>
      </c>
      <c r="TW18" s="123"/>
      <c r="TX18" s="124"/>
      <c r="TY18" s="125"/>
      <c r="TZ18" s="126" t="str">
        <f>IFERROR((((COUNTIF('Elève (4ème2)'!TW18:TY18,"A"))*4)+((COUNTIF('Elève (4ème2)'!TW18:TY18,"B"))*3)+((COUNTIF('Elève (4ème2)'!TW18:TY18,"C"))*2)+((COUNTIF('Elève (4ème2)'!TW18:TY18,"D"))*1))/(COUNTA(TW18:TY18)),"")</f>
        <v/>
      </c>
      <c r="UA18" s="127" t="str">
        <f t="shared" si="108"/>
        <v/>
      </c>
      <c r="UB18" s="123"/>
      <c r="UC18" s="124"/>
      <c r="UD18" s="125"/>
      <c r="UE18" s="126" t="str">
        <f>IFERROR((((COUNTIF('Elève (4ème2)'!UB18:UD18,"A"))*4)+((COUNTIF('Elève (4ème2)'!UB18:UD18,"B"))*3)+((COUNTIF('Elève (4ème2)'!UB18:UD18,"C"))*2)+((COUNTIF('Elève (4ème2)'!UB18:UD18,"D"))*1))/(COUNTA(UB18:UD18)),"")</f>
        <v/>
      </c>
      <c r="UF18" s="127" t="str">
        <f t="shared" si="109"/>
        <v/>
      </c>
      <c r="UG18" s="123"/>
      <c r="UH18" s="124"/>
      <c r="UI18" s="129"/>
      <c r="UJ18" s="126" t="str">
        <f>IFERROR((((COUNTIF('Elève (4ème2)'!UG18:UI18,"A"))*4)+((COUNTIF('Elève (4ème2)'!UG18:UI18,"B"))*3)+((COUNTIF('Elève (4ème2)'!UG18:UI18,"C"))*2)+((COUNTIF('Elève (4ème2)'!UG18:UI18,"D"))*1))/(COUNTA(UG18:UI18)),"")</f>
        <v/>
      </c>
      <c r="UK18" s="127" t="str">
        <f t="shared" si="110"/>
        <v/>
      </c>
      <c r="UL18" s="126" t="str">
        <f>IF(COUNT(TZ18,UE18,UJ18)=0,"",SUM(TZ18,UE18,UJ18)/COUNT(TZ18,UE18,UJ18))</f>
        <v/>
      </c>
      <c r="UM18" s="128" t="str">
        <f t="shared" si="111"/>
        <v/>
      </c>
      <c r="UN18" s="123"/>
      <c r="UO18" s="124"/>
      <c r="UP18" s="125"/>
      <c r="UQ18" s="126" t="str">
        <f>IFERROR((((COUNTIF('Elève (4ème2)'!UN18:UP18,"A"))*4)+((COUNTIF('Elève (4ème2)'!UN18:UP18,"B"))*3)+((COUNTIF('Elève (4ème2)'!UN18:UP18,"C"))*2)+((COUNTIF('Elève (4ème2)'!UN18:UP18,"D"))*1))/(COUNTA(UN18:UP18)),"")</f>
        <v/>
      </c>
      <c r="UR18" s="127" t="str">
        <f t="shared" si="112"/>
        <v/>
      </c>
      <c r="US18" s="123"/>
      <c r="UT18" s="124"/>
      <c r="UU18" s="125"/>
      <c r="UV18" s="126" t="str">
        <f>IFERROR((((COUNTIF('Elève (4ème2)'!US18:UU18,"A"))*4)+((COUNTIF('Elève (4ème2)'!US18:UU18,"B"))*3)+((COUNTIF('Elève (4ème2)'!US18:UU18,"C"))*2)+((COUNTIF('Elève (4ème2)'!US18:UU18,"D"))*1))/(COUNTA(US18:UU18)),"")</f>
        <v/>
      </c>
      <c r="UW18" s="127" t="str">
        <f t="shared" si="113"/>
        <v/>
      </c>
      <c r="UX18" s="123"/>
      <c r="UY18" s="124"/>
      <c r="UZ18" s="129"/>
      <c r="VA18" s="126" t="str">
        <f>IFERROR((((COUNTIF('Elève (4ème2)'!UX18:UZ18,"A"))*4)+((COUNTIF('Elève (4ème2)'!UX18:UZ18,"B"))*3)+((COUNTIF('Elève (4ème2)'!UX18:UZ18,"C"))*2)+((COUNTIF('Elève (4ème2)'!UX18:UZ18,"D"))*1))/(COUNTA(UX18:UZ18)),"")</f>
        <v/>
      </c>
      <c r="VB18" s="127" t="str">
        <f t="shared" si="114"/>
        <v/>
      </c>
      <c r="VC18" s="126" t="str">
        <f>IF(COUNT(UQ18,UV18,VA18)=0,"",SUM(UQ18,UV18,VA18)/COUNT(UQ18,UV18,VA18))</f>
        <v/>
      </c>
      <c r="VD18" s="128" t="str">
        <f t="shared" si="115"/>
        <v/>
      </c>
      <c r="VE18" s="123"/>
      <c r="VF18" s="124"/>
      <c r="VG18" s="125"/>
      <c r="VH18" s="126" t="str">
        <f>IFERROR((((COUNTIF('Elève (4ème2)'!VE18:VG18,"A"))*4)+((COUNTIF('Elève (4ème2)'!VE18:VG18,"B"))*3)+((COUNTIF('Elève (4ème2)'!VE18:VG18,"C"))*2)+((COUNTIF('Elève (4ème2)'!VE18:VG18,"D"))*1))/(COUNTA(VE18:VG18)),"")</f>
        <v/>
      </c>
      <c r="VI18" s="127" t="str">
        <f t="shared" si="116"/>
        <v/>
      </c>
      <c r="VJ18" s="123"/>
      <c r="VK18" s="124"/>
      <c r="VL18" s="125"/>
      <c r="VM18" s="126" t="str">
        <f>IFERROR((((COUNTIF('Elève (4ème2)'!VJ18:VL18,"A"))*4)+((COUNTIF('Elève (4ème2)'!VJ18:VL18,"B"))*3)+((COUNTIF('Elève (4ème2)'!VJ18:VL18,"C"))*2)+((COUNTIF('Elève (4ème2)'!VJ18:VL18,"D"))*1))/(COUNTA(VJ18:VL18)),"")</f>
        <v/>
      </c>
      <c r="VN18" s="127" t="str">
        <f t="shared" si="117"/>
        <v/>
      </c>
      <c r="VO18" s="123"/>
      <c r="VP18" s="124"/>
      <c r="VQ18" s="129"/>
      <c r="VR18" s="126" t="str">
        <f>IFERROR((((COUNTIF('Elève (4ème2)'!VO18:VQ18,"A"))*4)+((COUNTIF('Elève (4ème2)'!VO18:VQ18,"B"))*3)+((COUNTIF('Elève (4ème2)'!VO18:VQ18,"C"))*2)+((COUNTIF('Elève (4ème2)'!VO18:VQ18,"D"))*1))/(COUNTA(VO18:VQ18)),"")</f>
        <v/>
      </c>
      <c r="VS18" s="127" t="str">
        <f t="shared" si="118"/>
        <v/>
      </c>
      <c r="VT18" s="126" t="str">
        <f>IF(COUNT(VH18,VM18,VR18)=0,"",SUM(VH18,VM18,VR18)/COUNT(VH18,VM18,VR18))</f>
        <v/>
      </c>
      <c r="VU18" s="128" t="str">
        <f t="shared" si="119"/>
        <v/>
      </c>
    </row>
    <row r="19" spans="1:593" ht="18" customHeight="1" thickBot="1" x14ac:dyDescent="0.6">
      <c r="A19" s="250" t="s">
        <v>25</v>
      </c>
      <c r="B19" s="251"/>
      <c r="C19" s="130"/>
      <c r="D19" s="131"/>
      <c r="E19" s="132"/>
      <c r="F19" s="184" t="str">
        <f>IFERROR((((COUNTIF('Elève (4ème2)'!C19:E19,"A"))*4)+((COUNTIF('Elève (4ème2)'!C19:E19,"B"))*3)+((COUNTIF('Elève (4ème2)'!C19:E19,"C"))*2)+((COUNTIF('Elève (4ème2)'!C19:E19,"D"))*1))/(COUNTA(C19:E19)),"")</f>
        <v/>
      </c>
      <c r="G19" s="185" t="str">
        <f t="shared" si="0"/>
        <v/>
      </c>
      <c r="H19" s="130"/>
      <c r="I19" s="131"/>
      <c r="J19" s="132"/>
      <c r="K19" s="132"/>
      <c r="L19" s="184" t="str">
        <f>IFERROR((((COUNTIF('Elève (4ème2)'!H19:K19,"A"))*4)+((COUNTIF('Elève (4ème2)'!H19:K19,"B"))*3)+((COUNTIF('Elève (4ème2)'!H19:K19,"C"))*2)+((COUNTIF('Elève (4ème2)'!H19:K19,"D"))*1))/(COUNTA(H19:K19)),"")</f>
        <v/>
      </c>
      <c r="M19" s="185" t="str">
        <f t="shared" si="1"/>
        <v/>
      </c>
      <c r="N19" s="130" t="s">
        <v>31</v>
      </c>
      <c r="O19" s="131" t="s">
        <v>32</v>
      </c>
      <c r="P19" s="219" t="s">
        <v>32</v>
      </c>
      <c r="Q19" s="219" t="s">
        <v>32</v>
      </c>
      <c r="R19" s="132"/>
      <c r="S19" s="184">
        <f>IFERROR((((COUNTIF('Elève (4ème2)'!N19:R19,"A"))*4)+((COUNTIF('Elève (4ème2)'!N19:R19,"B"))*3)+((COUNTIF('Elève (4ème2)'!N19:R19,"C"))*2)+((COUNTIF('Elève (4ème2)'!N19:R19,"D"))*1))/(COUNTA(N19:R19)),"")</f>
        <v>1.25</v>
      </c>
      <c r="T19" s="185" t="str">
        <f t="shared" si="2"/>
        <v>D</v>
      </c>
      <c r="U19" s="184">
        <f>IF(COUNT(F19,L19,S19)=0,"",SUM(F19,L19,S19)/COUNT(F19,L19,S19))</f>
        <v>1.25</v>
      </c>
      <c r="V19" s="207" t="str">
        <f t="shared" si="3"/>
        <v>D</v>
      </c>
      <c r="W19" s="130"/>
      <c r="X19" s="131"/>
      <c r="Y19" s="132"/>
      <c r="Z19" s="184" t="str">
        <f>IFERROR((((COUNTIF('Elève (4ème2)'!W19:Y19,"A"))*4)+((COUNTIF('Elève (4ème2)'!W19:Y19,"B"))*3)+((COUNTIF('Elève (4ème2)'!W19:Y19,"C"))*2)+((COUNTIF('Elève (4ème2)'!W19:Y19,"D"))*1))/(COUNTA(W19:Y19)),"")</f>
        <v/>
      </c>
      <c r="AA19" s="185" t="str">
        <f t="shared" si="4"/>
        <v/>
      </c>
      <c r="AB19" s="130"/>
      <c r="AC19" s="131"/>
      <c r="AD19" s="132"/>
      <c r="AE19" s="132"/>
      <c r="AF19" s="184" t="str">
        <f>IFERROR((((COUNTIF('Elève (4ème2)'!AB19:AE19,"A"))*4)+((COUNTIF('Elève (4ème2)'!AB19:AE19,"B"))*3)+((COUNTIF('Elève (4ème2)'!AB19:AE19,"C"))*2)+((COUNTIF('Elève (4ème2)'!AB19:AE19,"D"))*1))/(COUNTA(AB19:AE19)),"")</f>
        <v/>
      </c>
      <c r="AG19" s="185" t="str">
        <f t="shared" si="5"/>
        <v/>
      </c>
      <c r="AH19" s="130" t="s">
        <v>31</v>
      </c>
      <c r="AI19" s="219" t="s">
        <v>31</v>
      </c>
      <c r="AJ19" s="219" t="s">
        <v>31</v>
      </c>
      <c r="AK19" s="131" t="s">
        <v>31</v>
      </c>
      <c r="AL19" s="136"/>
      <c r="AM19" s="184">
        <f>IFERROR((((COUNTIF('Elève (4ème2)'!AH19:AL19,"A"))*4)+((COUNTIF('Elève (4ème2)'!AH19:AL19,"B"))*3)+((COUNTIF('Elève (4ème2)'!AH19:AL19,"C"))*2)+((COUNTIF('Elève (4ème2)'!AH19:AL19,"D"))*1))/(COUNTA(AH19:AL19)),"")</f>
        <v>2</v>
      </c>
      <c r="AN19" s="185" t="str">
        <f t="shared" si="6"/>
        <v>C</v>
      </c>
      <c r="AO19" s="184">
        <f>IF(COUNT(Z19,AF19,AM19)=0,"",SUM(Z19,AF19,AM19)/COUNT(Z19,AF19,AM19))</f>
        <v>2</v>
      </c>
      <c r="AP19" s="207" t="str">
        <f t="shared" si="7"/>
        <v>C</v>
      </c>
      <c r="AQ19" s="130"/>
      <c r="AR19" s="131"/>
      <c r="AS19" s="132"/>
      <c r="AT19" s="184" t="str">
        <f>IFERROR((((COUNTIF('Elève (4ème2)'!AQ19:AS19,"A"))*4)+((COUNTIF('Elève (4ème2)'!AQ19:AS19,"B"))*3)+((COUNTIF('Elève (4ème2)'!AQ19:AS19,"C"))*2)+((COUNTIF('Elève (4ème2)'!AQ19:AS19,"D"))*1))/(COUNTA(AQ19:AS19)),"")</f>
        <v/>
      </c>
      <c r="AU19" s="185" t="str">
        <f t="shared" si="8"/>
        <v/>
      </c>
      <c r="AV19" s="130"/>
      <c r="AW19" s="131"/>
      <c r="AX19" s="132"/>
      <c r="AY19" s="132"/>
      <c r="AZ19" s="184" t="str">
        <f>IFERROR((((COUNTIF('Elève (4ème2)'!AV19:AY19,"A"))*4)+((COUNTIF('Elève (4ème2)'!AV19:AY19,"B"))*3)+((COUNTIF('Elève (4ème2)'!AV19:AY19,"C"))*2)+((COUNTIF('Elève (4ème2)'!AV19:AY19,"D"))*1))/(COUNTA(AV19:AY19)),"")</f>
        <v/>
      </c>
      <c r="BA19" s="185" t="str">
        <f t="shared" si="9"/>
        <v/>
      </c>
      <c r="BB19" s="130" t="s">
        <v>32</v>
      </c>
      <c r="BC19" s="219"/>
      <c r="BD19" s="219" t="s">
        <v>30</v>
      </c>
      <c r="BE19" s="131" t="s">
        <v>31</v>
      </c>
      <c r="BF19" s="136"/>
      <c r="BG19" s="184">
        <f>IFERROR((((COUNTIF('Elève (4ème2)'!BB19:BF19,"A"))*4)+((COUNTIF('Elève (4ème2)'!BB19:BF19,"B"))*3)+((COUNTIF('Elève (4ème2)'!BB19:BF19,"C"))*2)+((COUNTIF('Elève (4ème2)'!BB19:BF19,"D"))*1))/(COUNTA(BB19:BF19)),"")</f>
        <v>2</v>
      </c>
      <c r="BH19" s="185" t="str">
        <f t="shared" si="10"/>
        <v>C</v>
      </c>
      <c r="BI19" s="184">
        <f>IF(COUNT(AT19,AZ19,BG19)=0,"",SUM(AT19,AZ19,BG19)/COUNT(AT19,AZ19,BG19))</f>
        <v>2</v>
      </c>
      <c r="BJ19" s="207" t="str">
        <f t="shared" si="11"/>
        <v>C</v>
      </c>
      <c r="BK19" s="130"/>
      <c r="BL19" s="131"/>
      <c r="BM19" s="132"/>
      <c r="BN19" s="184" t="str">
        <f>IFERROR((((COUNTIF('Elève (4ème2)'!BK19:BM19,"A"))*4)+((COUNTIF('Elève (4ème2)'!BK19:BM19,"B"))*3)+((COUNTIF('Elève (4ème2)'!BK19:BM19,"C"))*2)+((COUNTIF('Elève (4ème2)'!BK19:BM19,"D"))*1))/(COUNTA(BK19:BM19)),"")</f>
        <v/>
      </c>
      <c r="BO19" s="185" t="str">
        <f t="shared" si="12"/>
        <v/>
      </c>
      <c r="BP19" s="130"/>
      <c r="BQ19" s="131"/>
      <c r="BR19" s="132"/>
      <c r="BS19" s="132"/>
      <c r="BT19" s="184" t="str">
        <f>IFERROR((((COUNTIF('Elève (4ème2)'!BP19:BS19,"A"))*4)+((COUNTIF('Elève (4ème2)'!BP19:BS19,"B"))*3)+((COUNTIF('Elève (4ème2)'!BP19:BS19,"C"))*2)+((COUNTIF('Elève (4ème2)'!BP19:BS19,"D"))*1))/(COUNTA(BP19:BS19)),"")</f>
        <v/>
      </c>
      <c r="BU19" s="185" t="str">
        <f t="shared" si="13"/>
        <v/>
      </c>
      <c r="BV19" s="130" t="s">
        <v>31</v>
      </c>
      <c r="BW19" s="219" t="s">
        <v>31</v>
      </c>
      <c r="BX19" s="219" t="s">
        <v>31</v>
      </c>
      <c r="BY19" s="131" t="s">
        <v>32</v>
      </c>
      <c r="BZ19" s="136"/>
      <c r="CA19" s="184">
        <f>IFERROR((((COUNTIF('Elève (4ème2)'!BV19:BZ19,"A"))*4)+((COUNTIF('Elève (4ème2)'!BV19:BZ19,"B"))*3)+((COUNTIF('Elève (4ème2)'!BV19:BZ19,"C"))*2)+((COUNTIF('Elève (4ème2)'!BV19:BZ19,"D"))*1))/(COUNTA(BV19:BZ19)),"")</f>
        <v>1.75</v>
      </c>
      <c r="CB19" s="185" t="str">
        <f t="shared" si="14"/>
        <v>C</v>
      </c>
      <c r="CC19" s="184">
        <f>IF(COUNT(BN19,BT19,CA19)=0,"",SUM(BN19,BT19,CA19)/COUNT(BN19,BT19,CA19))</f>
        <v>1.75</v>
      </c>
      <c r="CD19" s="207" t="str">
        <f t="shared" si="15"/>
        <v>C</v>
      </c>
      <c r="CE19" s="130"/>
      <c r="CF19" s="131"/>
      <c r="CG19" s="132"/>
      <c r="CH19" s="184" t="str">
        <f>IFERROR((((COUNTIF('Elève (4ème2)'!CE19:CG19,"A"))*4)+((COUNTIF('Elève (4ème2)'!CE19:CG19,"B"))*3)+((COUNTIF('Elève (4ème2)'!CE19:CG19,"C"))*2)+((COUNTIF('Elève (4ème2)'!CE19:CG19,"D"))*1))/(COUNTA(CE19:CG19)),"")</f>
        <v/>
      </c>
      <c r="CI19" s="185" t="str">
        <f t="shared" si="16"/>
        <v/>
      </c>
      <c r="CJ19" s="130"/>
      <c r="CK19" s="131"/>
      <c r="CL19" s="132"/>
      <c r="CM19" s="132"/>
      <c r="CN19" s="184" t="str">
        <f>IFERROR((((COUNTIF('Elève (4ème2)'!CJ19:CM19,"A"))*4)+((COUNTIF('Elève (4ème2)'!CJ19:CM19,"B"))*3)+((COUNTIF('Elève (4ème2)'!CJ19:CM19,"C"))*2)+((COUNTIF('Elève (4ème2)'!CJ19:CM19,"D"))*1))/(COUNTA(CJ19:CM19)),"")</f>
        <v/>
      </c>
      <c r="CO19" s="185" t="str">
        <f t="shared" si="17"/>
        <v/>
      </c>
      <c r="CP19" s="130" t="s">
        <v>31</v>
      </c>
      <c r="CQ19" s="219" t="s">
        <v>31</v>
      </c>
      <c r="CR19" s="219" t="s">
        <v>30</v>
      </c>
      <c r="CS19" s="131" t="s">
        <v>30</v>
      </c>
      <c r="CT19" s="136"/>
      <c r="CU19" s="184">
        <f>IFERROR((((COUNTIF('Elève (4ème2)'!CP19:CT19,"A"))*4)+((COUNTIF('Elève (4ème2)'!CP19:CT19,"B"))*3)+((COUNTIF('Elève (4ème2)'!CP19:CT19,"C"))*2)+((COUNTIF('Elève (4ème2)'!CP19:CT19,"D"))*1))/(COUNTA(CP19:CT19)),"")</f>
        <v>2.5</v>
      </c>
      <c r="CV19" s="185" t="str">
        <f t="shared" si="18"/>
        <v>C</v>
      </c>
      <c r="CW19" s="184">
        <f>IF(COUNT(CH19,CN19,CU19)=0,"",SUM(CH19,CN19,CU19)/COUNT(CH19,CN19,CU19))</f>
        <v>2.5</v>
      </c>
      <c r="CX19" s="207" t="str">
        <f t="shared" si="19"/>
        <v>C</v>
      </c>
      <c r="CY19" s="130"/>
      <c r="CZ19" s="131"/>
      <c r="DA19" s="132"/>
      <c r="DB19" s="184" t="str">
        <f>IFERROR((((COUNTIF('Elève (4ème2)'!CY19:DA19,"A"))*4)+((COUNTIF('Elève (4ème2)'!CY19:DA19,"B"))*3)+((COUNTIF('Elève (4ème2)'!CY19:DA19,"C"))*2)+((COUNTIF('Elève (4ème2)'!CY19:DA19,"D"))*1))/(COUNTA(CY19:DA19)),"")</f>
        <v/>
      </c>
      <c r="DC19" s="185" t="str">
        <f t="shared" si="20"/>
        <v/>
      </c>
      <c r="DD19" s="130"/>
      <c r="DE19" s="131"/>
      <c r="DF19" s="132"/>
      <c r="DG19" s="132"/>
      <c r="DH19" s="184" t="str">
        <f>IFERROR((((COUNTIF('Elève (4ème2)'!DD19:DG19,"A"))*4)+((COUNTIF('Elève (4ème2)'!DD19:DG19,"B"))*3)+((COUNTIF('Elève (4ème2)'!DD19:DG19,"C"))*2)+((COUNTIF('Elève (4ème2)'!DD19:DG19,"D"))*1))/(COUNTA(DD19:DG19)),"")</f>
        <v/>
      </c>
      <c r="DI19" s="185" t="str">
        <f t="shared" si="21"/>
        <v/>
      </c>
      <c r="DJ19" s="130"/>
      <c r="DK19" s="219" t="s">
        <v>32</v>
      </c>
      <c r="DL19" s="219" t="s">
        <v>32</v>
      </c>
      <c r="DM19" s="131" t="s">
        <v>31</v>
      </c>
      <c r="DN19" s="136"/>
      <c r="DO19" s="184">
        <f>IFERROR((((COUNTIF('Elève (4ème2)'!DJ19:DN19,"A"))*4)+((COUNTIF('Elève (4ème2)'!DJ19:DN19,"B"))*3)+((COUNTIF('Elève (4ème2)'!DJ19:DN19,"C"))*2)+((COUNTIF('Elève (4ème2)'!DJ19:DN19,"D"))*1))/(COUNTA(DJ19:DN19)),"")</f>
        <v>1.3333333333333333</v>
      </c>
      <c r="DP19" s="185" t="str">
        <f t="shared" si="22"/>
        <v>D</v>
      </c>
      <c r="DQ19" s="184">
        <f>IF(COUNT(DB19,DH19,DO19)=0,"",SUM(DB19,DH19,DO19)/COUNT(DB19,DH19,DO19))</f>
        <v>1.3333333333333333</v>
      </c>
      <c r="DR19" s="207" t="str">
        <f t="shared" si="23"/>
        <v>D</v>
      </c>
      <c r="DS19" s="130"/>
      <c r="DT19" s="131"/>
      <c r="DU19" s="132"/>
      <c r="DV19" s="184" t="str">
        <f>IFERROR((((COUNTIF('Elève (4ème2)'!DS19:DU19,"A"))*4)+((COUNTIF('Elève (4ème2)'!DS19:DU19,"B"))*3)+((COUNTIF('Elève (4ème2)'!DS19:DU19,"C"))*2)+((COUNTIF('Elève (4ème2)'!DS19:DU19,"D"))*1))/(COUNTA(DS19:DU19)),"")</f>
        <v/>
      </c>
      <c r="DW19" s="185" t="str">
        <f t="shared" si="24"/>
        <v/>
      </c>
      <c r="DX19" s="130"/>
      <c r="DY19" s="131"/>
      <c r="DZ19" s="132"/>
      <c r="EA19" s="132"/>
      <c r="EB19" s="184" t="str">
        <f>IFERROR((((COUNTIF('Elève (4ème2)'!DX19:EA19,"A"))*4)+((COUNTIF('Elève (4ème2)'!DX19:EA19,"B"))*3)+((COUNTIF('Elève (4ème2)'!DX19:EA19,"C"))*2)+((COUNTIF('Elève (4ème2)'!DX19:EA19,"D"))*1))/(COUNTA(DX19:EA19)),"")</f>
        <v/>
      </c>
      <c r="EC19" s="185" t="str">
        <f t="shared" si="25"/>
        <v/>
      </c>
      <c r="ED19" s="130" t="s">
        <v>31</v>
      </c>
      <c r="EE19" s="219" t="s">
        <v>32</v>
      </c>
      <c r="EF19" s="219" t="s">
        <v>32</v>
      </c>
      <c r="EG19" s="131" t="s">
        <v>32</v>
      </c>
      <c r="EH19" s="136"/>
      <c r="EI19" s="184">
        <f>IFERROR((((COUNTIF('Elève (4ème2)'!ED19:EH19,"A"))*4)+((COUNTIF('Elève (4ème2)'!ED19:EH19,"B"))*3)+((COUNTIF('Elève (4ème2)'!ED19:EH19,"C"))*2)+((COUNTIF('Elève (4ème2)'!ED19:EH19,"D"))*1))/(COUNTA(ED19:EH19)),"")</f>
        <v>1.25</v>
      </c>
      <c r="EJ19" s="185" t="str">
        <f t="shared" si="26"/>
        <v>D</v>
      </c>
      <c r="EK19" s="184">
        <f>IF(COUNT(DV19,EB19,EI19)=0,"",SUM(DV19,EB19,EI19)/COUNT(DV19,EB19,EI19))</f>
        <v>1.25</v>
      </c>
      <c r="EL19" s="207" t="str">
        <f t="shared" si="27"/>
        <v>D</v>
      </c>
      <c r="EM19" s="130"/>
      <c r="EN19" s="131"/>
      <c r="EO19" s="132"/>
      <c r="EP19" s="184" t="str">
        <f>IFERROR((((COUNTIF('Elève (4ème2)'!EM19:EO19,"A"))*4)+((COUNTIF('Elève (4ème2)'!EM19:EO19,"B"))*3)+((COUNTIF('Elève (4ème2)'!EM19:EO19,"C"))*2)+((COUNTIF('Elève (4ème2)'!EM19:EO19,"D"))*1))/(COUNTA(EM19:EO19)),"")</f>
        <v/>
      </c>
      <c r="EQ19" s="185" t="str">
        <f t="shared" si="28"/>
        <v/>
      </c>
      <c r="ER19" s="130"/>
      <c r="ES19" s="131"/>
      <c r="ET19" s="132"/>
      <c r="EU19" s="132"/>
      <c r="EV19" s="184" t="str">
        <f>IFERROR((((COUNTIF('Elève (4ème2)'!ER19:EU19,"A"))*4)+((COUNTIF('Elève (4ème2)'!ER19:EU19,"B"))*3)+((COUNTIF('Elève (4ème2)'!ER19:EU19,"C"))*2)+((COUNTIF('Elève (4ème2)'!ER19:EU19,"D"))*1))/(COUNTA(ER19:EU19)),"")</f>
        <v/>
      </c>
      <c r="EW19" s="185" t="str">
        <f t="shared" si="29"/>
        <v/>
      </c>
      <c r="EX19" s="130" t="s">
        <v>31</v>
      </c>
      <c r="EY19" s="219" t="s">
        <v>31</v>
      </c>
      <c r="EZ19" s="219" t="s">
        <v>30</v>
      </c>
      <c r="FA19" s="131" t="s">
        <v>31</v>
      </c>
      <c r="FB19" s="136"/>
      <c r="FC19" s="184">
        <f>IFERROR((((COUNTIF('Elève (4ème2)'!EX19:FB19,"A"))*4)+((COUNTIF('Elève (4ème2)'!EX19:FB19,"B"))*3)+((COUNTIF('Elève (4ème2)'!EX19:FB19,"C"))*2)+((COUNTIF('Elève (4ème2)'!EX19:FB19,"D"))*1))/(COUNTA(EX19:FB19)),"")</f>
        <v>2.25</v>
      </c>
      <c r="FD19" s="185" t="str">
        <f t="shared" si="30"/>
        <v>C</v>
      </c>
      <c r="FE19" s="184">
        <f>IF(COUNT(EP19,EV19,FC19)=0,"",SUM(EP19,EV19,FC19)/COUNT(EP19,EV19,FC19))</f>
        <v>2.25</v>
      </c>
      <c r="FF19" s="207" t="str">
        <f t="shared" si="31"/>
        <v>C</v>
      </c>
      <c r="FG19" s="130"/>
      <c r="FH19" s="131"/>
      <c r="FI19" s="132"/>
      <c r="FJ19" s="184" t="str">
        <f>IFERROR((((COUNTIF('Elève (4ème2)'!FG19:FI19,"A"))*4)+((COUNTIF('Elève (4ème2)'!FG19:FI19,"B"))*3)+((COUNTIF('Elève (4ème2)'!FG19:FI19,"C"))*2)+((COUNTIF('Elève (4ème2)'!FG19:FI19,"D"))*1))/(COUNTA(FG19:FI19)),"")</f>
        <v/>
      </c>
      <c r="FK19" s="185" t="str">
        <f t="shared" si="32"/>
        <v/>
      </c>
      <c r="FL19" s="130"/>
      <c r="FM19" s="131"/>
      <c r="FN19" s="132"/>
      <c r="FO19" s="132"/>
      <c r="FP19" s="184" t="str">
        <f>IFERROR((((COUNTIF('Elève (4ème2)'!FL19:FO19,"A"))*4)+((COUNTIF('Elève (4ème2)'!FL19:FO19,"B"))*3)+((COUNTIF('Elève (4ème2)'!FL19:FO19,"C"))*2)+((COUNTIF('Elève (4ème2)'!FL19:FO19,"D"))*1))/(COUNTA(FL19:FO19)),"")</f>
        <v/>
      </c>
      <c r="FQ19" s="185" t="str">
        <f t="shared" si="33"/>
        <v/>
      </c>
      <c r="FR19" s="130" t="s">
        <v>32</v>
      </c>
      <c r="FS19" s="219" t="s">
        <v>31</v>
      </c>
      <c r="FT19" s="219" t="s">
        <v>31</v>
      </c>
      <c r="FU19" s="131" t="s">
        <v>31</v>
      </c>
      <c r="FV19" s="136"/>
      <c r="FW19" s="184">
        <f>IFERROR((((COUNTIF('Elève (4ème2)'!FR19:FV19,"A"))*4)+((COUNTIF('Elève (4ème2)'!FR19:FV19,"B"))*3)+((COUNTIF('Elève (4ème2)'!FR19:FV19,"C"))*2)+((COUNTIF('Elève (4ème2)'!FR19:FV19,"D"))*1))/(COUNTA(FR19:FV19)),"")</f>
        <v>1.75</v>
      </c>
      <c r="FX19" s="185" t="str">
        <f t="shared" si="34"/>
        <v>C</v>
      </c>
      <c r="FY19" s="184">
        <f>IF(COUNT(FJ19,FP19,FW19)=0,"",SUM(FJ19,FP19,FW19)/COUNT(FJ19,FP19,FW19))</f>
        <v>1.75</v>
      </c>
      <c r="FZ19" s="207" t="str">
        <f t="shared" si="35"/>
        <v>C</v>
      </c>
      <c r="GA19" s="130"/>
      <c r="GB19" s="131"/>
      <c r="GC19" s="132"/>
      <c r="GD19" s="184" t="str">
        <f>IFERROR((((COUNTIF('Elève (4ème2)'!GA19:GC19,"A"))*4)+((COUNTIF('Elève (4ème2)'!GA19:GC19,"B"))*3)+((COUNTIF('Elève (4ème2)'!GA19:GC19,"C"))*2)+((COUNTIF('Elève (4ème2)'!GA19:GC19,"D"))*1))/(COUNTA(GA19:GC19)),"")</f>
        <v/>
      </c>
      <c r="GE19" s="185" t="str">
        <f t="shared" si="36"/>
        <v/>
      </c>
      <c r="GF19" s="130"/>
      <c r="GG19" s="131"/>
      <c r="GH19" s="132"/>
      <c r="GI19" s="132"/>
      <c r="GJ19" s="184" t="str">
        <f>IFERROR((((COUNTIF('Elève (4ème2)'!GF19:GI19,"A"))*4)+((COUNTIF('Elève (4ème2)'!GF19:GI19,"B"))*3)+((COUNTIF('Elève (4ème2)'!GF19:GI19,"C"))*2)+((COUNTIF('Elève (4ème2)'!GF19:GI19,"D"))*1))/(COUNTA(GF19:GI19)),"")</f>
        <v/>
      </c>
      <c r="GK19" s="185" t="str">
        <f t="shared" si="37"/>
        <v/>
      </c>
      <c r="GL19" s="130" t="s">
        <v>32</v>
      </c>
      <c r="GM19" s="219" t="s">
        <v>32</v>
      </c>
      <c r="GN19" s="219" t="s">
        <v>31</v>
      </c>
      <c r="GO19" s="131" t="s">
        <v>30</v>
      </c>
      <c r="GP19" s="136"/>
      <c r="GQ19" s="184">
        <f>IFERROR((((COUNTIF('Elève (4ème2)'!GL19:GP19,"A"))*4)+((COUNTIF('Elève (4ème2)'!GL19:GP19,"B"))*3)+((COUNTIF('Elève (4ème2)'!GL19:GP19,"C"))*2)+((COUNTIF('Elève (4ème2)'!GL19:GP19,"D"))*1))/(COUNTA(GL19:GP19)),"")</f>
        <v>1.75</v>
      </c>
      <c r="GR19" s="185" t="str">
        <f t="shared" si="38"/>
        <v>C</v>
      </c>
      <c r="GS19" s="184">
        <f>IF(COUNT(GD19,GJ19,GQ19)=0,"",SUM(GD19,GJ19,GQ19)/COUNT(GD19,GJ19,GQ19))</f>
        <v>1.75</v>
      </c>
      <c r="GT19" s="207" t="str">
        <f t="shared" si="39"/>
        <v>C</v>
      </c>
      <c r="GU19" s="130"/>
      <c r="GV19" s="131"/>
      <c r="GW19" s="132"/>
      <c r="GX19" s="184" t="str">
        <f>IFERROR((((COUNTIF('Elève (4ème2)'!GU19:GW19,"A"))*4)+((COUNTIF('Elève (4ème2)'!GU19:GW19,"B"))*3)+((COUNTIF('Elève (4ème2)'!GU19:GW19,"C"))*2)+((COUNTIF('Elève (4ème2)'!GU19:GW19,"D"))*1))/(COUNTA(GU19:GW19)),"")</f>
        <v/>
      </c>
      <c r="GY19" s="185" t="str">
        <f t="shared" si="40"/>
        <v/>
      </c>
      <c r="GZ19" s="130"/>
      <c r="HA19" s="131"/>
      <c r="HB19" s="132"/>
      <c r="HC19" s="132"/>
      <c r="HD19" s="184" t="str">
        <f>IFERROR((((COUNTIF('Elève (4ème2)'!GZ19:HC19,"A"))*4)+((COUNTIF('Elève (4ème2)'!GZ19:HC19,"B"))*3)+((COUNTIF('Elève (4ème2)'!GZ19:HC19,"C"))*2)+((COUNTIF('Elève (4ème2)'!GZ19:HC19,"D"))*1))/(COUNTA(GZ19:HC19)),"")</f>
        <v/>
      </c>
      <c r="HE19" s="185" t="str">
        <f t="shared" si="41"/>
        <v/>
      </c>
      <c r="HF19" s="130" t="s">
        <v>32</v>
      </c>
      <c r="HG19" s="219" t="s">
        <v>30</v>
      </c>
      <c r="HH19" s="219" t="s">
        <v>31</v>
      </c>
      <c r="HI19" s="131" t="s">
        <v>31</v>
      </c>
      <c r="HJ19" s="136"/>
      <c r="HK19" s="184">
        <f>IFERROR((((COUNTIF('Elève (4ème2)'!HF19:HJ19,"A"))*4)+((COUNTIF('Elève (4ème2)'!HF19:HJ19,"B"))*3)+((COUNTIF('Elève (4ème2)'!HF19:HJ19,"C"))*2)+((COUNTIF('Elève (4ème2)'!HF19:HJ19,"D"))*1))/(COUNTA(HF19:HJ19)),"")</f>
        <v>2</v>
      </c>
      <c r="HL19" s="185" t="str">
        <f t="shared" si="42"/>
        <v>C</v>
      </c>
      <c r="HM19" s="184">
        <f>IF(COUNT(GX19,HD19,HK19)=0,"",SUM(GX19,HD19,HK19)/COUNT(GX19,HD19,HK19))</f>
        <v>2</v>
      </c>
      <c r="HN19" s="207" t="str">
        <f t="shared" si="43"/>
        <v>C</v>
      </c>
      <c r="HO19" s="130"/>
      <c r="HP19" s="131"/>
      <c r="HQ19" s="132"/>
      <c r="HR19" s="184" t="str">
        <f>IFERROR((((COUNTIF('Elève (4ème2)'!HO19:HQ19,"A"))*4)+((COUNTIF('Elève (4ème2)'!HO19:HQ19,"B"))*3)+((COUNTIF('Elève (4ème2)'!HO19:HQ19,"C"))*2)+((COUNTIF('Elève (4ème2)'!HO19:HQ19,"D"))*1))/(COUNTA(HO19:HQ19)),"")</f>
        <v/>
      </c>
      <c r="HS19" s="185" t="str">
        <f t="shared" si="44"/>
        <v/>
      </c>
      <c r="HT19" s="130"/>
      <c r="HU19" s="131"/>
      <c r="HV19" s="132"/>
      <c r="HW19" s="132"/>
      <c r="HX19" s="184" t="str">
        <f>IFERROR((((COUNTIF('Elève (4ème2)'!HT19:HW19,"A"))*4)+((COUNTIF('Elève (4ème2)'!HT19:HW19,"B"))*3)+((COUNTIF('Elève (4ème2)'!HT19:HW19,"C"))*2)+((COUNTIF('Elève (4ème2)'!HT19:HW19,"D"))*1))/(COUNTA(HT19:HW19)),"")</f>
        <v/>
      </c>
      <c r="HY19" s="185" t="str">
        <f t="shared" si="45"/>
        <v/>
      </c>
      <c r="HZ19" s="130" t="s">
        <v>31</v>
      </c>
      <c r="IA19" s="219" t="s">
        <v>31</v>
      </c>
      <c r="IB19" s="219" t="s">
        <v>31</v>
      </c>
      <c r="IC19" s="131" t="s">
        <v>31</v>
      </c>
      <c r="ID19" s="136"/>
      <c r="IE19" s="184">
        <f>IFERROR((((COUNTIF('Elève (4ème2)'!HZ19:ID19,"A"))*4)+((COUNTIF('Elève (4ème2)'!HZ19:ID19,"B"))*3)+((COUNTIF('Elève (4ème2)'!HZ19:ID19,"C"))*2)+((COUNTIF('Elève (4ème2)'!HZ19:ID19,"D"))*1))/(COUNTA(HZ19:ID19)),"")</f>
        <v>2</v>
      </c>
      <c r="IF19" s="185" t="str">
        <f t="shared" si="46"/>
        <v>C</v>
      </c>
      <c r="IG19" s="184">
        <f>IF(COUNT(HR19,HX19,IE19)=0,"",SUM(HR19,HX19,IE19)/COUNT(HR19,HX19,IE19))</f>
        <v>2</v>
      </c>
      <c r="IH19" s="207" t="str">
        <f t="shared" si="47"/>
        <v>C</v>
      </c>
      <c r="II19" s="130"/>
      <c r="IJ19" s="131"/>
      <c r="IK19" s="132"/>
      <c r="IL19" s="184" t="str">
        <f>IFERROR((((COUNTIF('Elève (4ème2)'!II19:IK19,"A"))*4)+((COUNTIF('Elève (4ème2)'!II19:IK19,"B"))*3)+((COUNTIF('Elève (4ème2)'!II19:IK19,"C"))*2)+((COUNTIF('Elève (4ème2)'!II19:IK19,"D"))*1))/(COUNTA(II19:IK19)),"")</f>
        <v/>
      </c>
      <c r="IM19" s="185" t="str">
        <f t="shared" si="48"/>
        <v/>
      </c>
      <c r="IN19" s="130"/>
      <c r="IO19" s="131"/>
      <c r="IP19" s="132"/>
      <c r="IQ19" s="132"/>
      <c r="IR19" s="184" t="str">
        <f>IFERROR((((COUNTIF('Elève (4ème2)'!IN19:IQ19,"A"))*4)+((COUNTIF('Elève (4ème2)'!IN19:IQ19,"B"))*3)+((COUNTIF('Elève (4ème2)'!IN19:IQ19,"C"))*2)+((COUNTIF('Elève (4ème2)'!IN19:IQ19,"D"))*1))/(COUNTA(IN19:IQ19)),"")</f>
        <v/>
      </c>
      <c r="IS19" s="185" t="str">
        <f t="shared" si="49"/>
        <v/>
      </c>
      <c r="IT19" s="130" t="s">
        <v>31</v>
      </c>
      <c r="IU19" s="219" t="s">
        <v>31</v>
      </c>
      <c r="IV19" s="219" t="s">
        <v>31</v>
      </c>
      <c r="IW19" s="131" t="s">
        <v>31</v>
      </c>
      <c r="IX19" s="136"/>
      <c r="IY19" s="184">
        <f>IFERROR((((COUNTIF('Elève (4ème2)'!IT19:IX19,"A"))*4)+((COUNTIF('Elève (4ème2)'!IT19:IX19,"B"))*3)+((COUNTIF('Elève (4ème2)'!IT19:IX19,"C"))*2)+((COUNTIF('Elève (4ème2)'!IT19:IX19,"D"))*1))/(COUNTA(IT19:IX19)),"")</f>
        <v>2</v>
      </c>
      <c r="IZ19" s="185" t="str">
        <f t="shared" si="50"/>
        <v>C</v>
      </c>
      <c r="JA19" s="184">
        <f>IF(COUNT(IL19,IR19,IY19)=0,"",SUM(IL19,IR19,IY19)/COUNT(IL19,IR19,IY19))</f>
        <v>2</v>
      </c>
      <c r="JB19" s="207" t="str">
        <f t="shared" si="51"/>
        <v>C</v>
      </c>
      <c r="JC19" s="130"/>
      <c r="JD19" s="131"/>
      <c r="JE19" s="132"/>
      <c r="JF19" s="184" t="str">
        <f>IFERROR((((COUNTIF('Elève (4ème2)'!JC19:JE19,"A"))*4)+((COUNTIF('Elève (4ème2)'!JC19:JE19,"B"))*3)+((COUNTIF('Elève (4ème2)'!JC19:JE19,"C"))*2)+((COUNTIF('Elève (4ème2)'!JC19:JE19,"D"))*1))/(COUNTA(JC19:JE19)),"")</f>
        <v/>
      </c>
      <c r="JG19" s="185" t="str">
        <f t="shared" si="52"/>
        <v/>
      </c>
      <c r="JH19" s="130"/>
      <c r="JI19" s="131"/>
      <c r="JJ19" s="132"/>
      <c r="JK19" s="132"/>
      <c r="JL19" s="184" t="str">
        <f>IFERROR((((COUNTIF('Elève (4ème2)'!JH19:JK19,"A"))*4)+((COUNTIF('Elève (4ème2)'!JH19:JK19,"B"))*3)+((COUNTIF('Elève (4ème2)'!JH19:JK19,"C"))*2)+((COUNTIF('Elève (4ème2)'!JH19:JK19,"D"))*1))/(COUNTA(JH19:JK19)),"")</f>
        <v/>
      </c>
      <c r="JM19" s="185" t="str">
        <f t="shared" si="53"/>
        <v/>
      </c>
      <c r="JN19" s="130" t="s">
        <v>31</v>
      </c>
      <c r="JO19" s="219" t="s">
        <v>30</v>
      </c>
      <c r="JP19" s="219" t="s">
        <v>30</v>
      </c>
      <c r="JQ19" s="131" t="s">
        <v>32</v>
      </c>
      <c r="JR19" s="136"/>
      <c r="JS19" s="184">
        <f>IFERROR((((COUNTIF('Elève (4ème2)'!JN19:JR19,"A"))*4)+((COUNTIF('Elève (4ème2)'!JN19:JR19,"B"))*3)+((COUNTIF('Elève (4ème2)'!JN19:JR19,"C"))*2)+((COUNTIF('Elève (4ème2)'!JN19:JR19,"D"))*1))/(COUNTA(JN19:JR19)),"")</f>
        <v>2.25</v>
      </c>
      <c r="JT19" s="185" t="str">
        <f t="shared" si="54"/>
        <v>C</v>
      </c>
      <c r="JU19" s="184">
        <f>IF(COUNT(JF19,JL19,JS19)=0,"",SUM(JF19,JL19,JS19)/COUNT(JF19,JL19,JS19))</f>
        <v>2.25</v>
      </c>
      <c r="JV19" s="207" t="str">
        <f t="shared" si="55"/>
        <v>C</v>
      </c>
      <c r="JW19" s="130"/>
      <c r="JX19" s="131"/>
      <c r="JY19" s="132"/>
      <c r="JZ19" s="184" t="str">
        <f>IFERROR((((COUNTIF('Elève (4ème2)'!JW19:JY19,"A"))*4)+((COUNTIF('Elève (4ème2)'!JW19:JY19,"B"))*3)+((COUNTIF('Elève (4ème2)'!JW19:JY19,"C"))*2)+((COUNTIF('Elève (4ème2)'!JW19:JY19,"D"))*1))/(COUNTA(JW19:JY19)),"")</f>
        <v/>
      </c>
      <c r="KA19" s="185" t="str">
        <f t="shared" si="56"/>
        <v/>
      </c>
      <c r="KB19" s="130"/>
      <c r="KC19" s="131"/>
      <c r="KD19" s="132"/>
      <c r="KE19" s="132"/>
      <c r="KF19" s="184" t="str">
        <f>IFERROR((((COUNTIF('Elève (4ème2)'!KB19:KE19,"A"))*4)+((COUNTIF('Elève (4ème2)'!KB19:KE19,"B"))*3)+((COUNTIF('Elève (4ème2)'!KB19:KE19,"C"))*2)+((COUNTIF('Elève (4ème2)'!KB19:KE19,"D"))*1))/(COUNTA(KB19:KE19)),"")</f>
        <v/>
      </c>
      <c r="KG19" s="185" t="str">
        <f t="shared" si="57"/>
        <v/>
      </c>
      <c r="KH19" s="130" t="s">
        <v>32</v>
      </c>
      <c r="KI19" s="219" t="s">
        <v>31</v>
      </c>
      <c r="KJ19" s="219" t="s">
        <v>31</v>
      </c>
      <c r="KK19" s="131" t="s">
        <v>30</v>
      </c>
      <c r="KL19" s="136"/>
      <c r="KM19" s="184">
        <f>IFERROR((((COUNTIF('Elève (4ème2)'!KH19:KL19,"A"))*4)+((COUNTIF('Elève (4ème2)'!KH19:KL19,"B"))*3)+((COUNTIF('Elève (4ème2)'!KH19:KL19,"C"))*2)+((COUNTIF('Elève (4ème2)'!KH19:KL19,"D"))*1))/(COUNTA(KH19:KL19)),"")</f>
        <v>2</v>
      </c>
      <c r="KN19" s="185" t="str">
        <f t="shared" si="58"/>
        <v>C</v>
      </c>
      <c r="KO19" s="184">
        <f>IF(COUNT(JZ19,KF19,KM19)=0,"",SUM(JZ19,KF19,KM19)/COUNT(JZ19,KF19,KM19))</f>
        <v>2</v>
      </c>
      <c r="KP19" s="207" t="str">
        <f t="shared" si="59"/>
        <v>C</v>
      </c>
      <c r="KQ19" s="130"/>
      <c r="KR19" s="131"/>
      <c r="KS19" s="132"/>
      <c r="KT19" s="184" t="str">
        <f>IFERROR((((COUNTIF('Elève (4ème2)'!KQ19:KS19,"A"))*4)+((COUNTIF('Elève (4ème2)'!KQ19:KS19,"B"))*3)+((COUNTIF('Elève (4ème2)'!KQ19:KS19,"C"))*2)+((COUNTIF('Elève (4ème2)'!KQ19:KS19,"D"))*1))/(COUNTA(KQ19:KS19)),"")</f>
        <v/>
      </c>
      <c r="KU19" s="185" t="str">
        <f t="shared" si="60"/>
        <v/>
      </c>
      <c r="KV19" s="130"/>
      <c r="KW19" s="131"/>
      <c r="KX19" s="132"/>
      <c r="KY19" s="132"/>
      <c r="KZ19" s="184" t="str">
        <f>IFERROR((((COUNTIF('Elève (4ème2)'!KV19:KY19,"A"))*4)+((COUNTIF('Elève (4ème2)'!KV19:KY19,"B"))*3)+((COUNTIF('Elève (4ème2)'!KV19:KY19,"C"))*2)+((COUNTIF('Elève (4ème2)'!KV19:KY19,"D"))*1))/(COUNTA(KV19:KY19)),"")</f>
        <v/>
      </c>
      <c r="LA19" s="185" t="str">
        <f t="shared" si="61"/>
        <v/>
      </c>
      <c r="LB19" s="130" t="s">
        <v>31</v>
      </c>
      <c r="LC19" s="219" t="s">
        <v>32</v>
      </c>
      <c r="LD19" s="219" t="s">
        <v>31</v>
      </c>
      <c r="LE19" s="131" t="s">
        <v>30</v>
      </c>
      <c r="LF19" s="136"/>
      <c r="LG19" s="184">
        <f>IFERROR((((COUNTIF('Elève (4ème2)'!LB19:LF19,"A"))*4)+((COUNTIF('Elève (4ème2)'!LB19:LF19,"B"))*3)+((COUNTIF('Elève (4ème2)'!LB19:LF19,"C"))*2)+((COUNTIF('Elève (4ème2)'!LB19:LF19,"D"))*1))/(COUNTA(LB19:LF19)),"")</f>
        <v>2</v>
      </c>
      <c r="LH19" s="185" t="str">
        <f t="shared" si="62"/>
        <v>C</v>
      </c>
      <c r="LI19" s="184">
        <f>IF(COUNT(KT19,KZ19,LG19)=0,"",SUM(KT19,KZ19,LG19)/COUNT(KT19,KZ19,LG19))</f>
        <v>2</v>
      </c>
      <c r="LJ19" s="207" t="str">
        <f t="shared" si="63"/>
        <v>C</v>
      </c>
      <c r="LK19" s="130"/>
      <c r="LL19" s="131"/>
      <c r="LM19" s="132"/>
      <c r="LN19" s="184" t="str">
        <f>IFERROR((((COUNTIF('Elève (4ème2)'!LK19:LM19,"A"))*4)+((COUNTIF('Elève (4ème2)'!LK19:LM19,"B"))*3)+((COUNTIF('Elève (4ème2)'!LK19:LM19,"C"))*2)+((COUNTIF('Elève (4ème2)'!LK19:LM19,"D"))*1))/(COUNTA(LK19:LM19)),"")</f>
        <v/>
      </c>
      <c r="LO19" s="185" t="str">
        <f t="shared" si="64"/>
        <v/>
      </c>
      <c r="LP19" s="130"/>
      <c r="LQ19" s="131"/>
      <c r="LR19" s="132"/>
      <c r="LS19" s="132"/>
      <c r="LT19" s="184" t="str">
        <f>IFERROR((((COUNTIF('Elève (4ème2)'!LP19:LS19,"A"))*4)+((COUNTIF('Elève (4ème2)'!LP19:LS19,"B"))*3)+((COUNTIF('Elève (4ème2)'!LP19:LS19,"C"))*2)+((COUNTIF('Elève (4ème2)'!LP19:LS19,"D"))*1))/(COUNTA(LP19:LS19)),"")</f>
        <v/>
      </c>
      <c r="LU19" s="185" t="str">
        <f t="shared" si="65"/>
        <v/>
      </c>
      <c r="LV19" s="130" t="s">
        <v>32</v>
      </c>
      <c r="LW19" s="219" t="s">
        <v>31</v>
      </c>
      <c r="LX19" s="219" t="s">
        <v>31</v>
      </c>
      <c r="LY19" s="131" t="s">
        <v>32</v>
      </c>
      <c r="LZ19" s="136"/>
      <c r="MA19" s="184">
        <f>IFERROR((((COUNTIF('Elève (4ème2)'!LV19:LZ19,"A"))*4)+((COUNTIF('Elève (4ème2)'!LV19:LZ19,"B"))*3)+((COUNTIF('Elève (4ème2)'!LV19:LZ19,"C"))*2)+((COUNTIF('Elève (4ème2)'!LV19:LZ19,"D"))*1))/(COUNTA(LV19:LZ19)),"")</f>
        <v>1.5</v>
      </c>
      <c r="MB19" s="185" t="str">
        <f t="shared" si="66"/>
        <v>D</v>
      </c>
      <c r="MC19" s="184">
        <f>IF(COUNT(LN19,LT19,MA19)=0,"",SUM(LN19,LT19,MA19)/COUNT(LN19,LT19,MA19))</f>
        <v>1.5</v>
      </c>
      <c r="MD19" s="207" t="str">
        <f t="shared" si="67"/>
        <v>D</v>
      </c>
      <c r="ME19" s="130"/>
      <c r="MF19" s="131"/>
      <c r="MG19" s="132"/>
      <c r="MH19" s="184" t="str">
        <f>IFERROR((((COUNTIF('Elève (4ème2)'!ME19:MG19,"A"))*4)+((COUNTIF('Elève (4ème2)'!ME19:MG19,"B"))*3)+((COUNTIF('Elève (4ème2)'!ME19:MG19,"C"))*2)+((COUNTIF('Elève (4ème2)'!ME19:MG19,"D"))*1))/(COUNTA(ME19:MG19)),"")</f>
        <v/>
      </c>
      <c r="MI19" s="185" t="str">
        <f t="shared" si="68"/>
        <v/>
      </c>
      <c r="MJ19" s="130"/>
      <c r="MK19" s="131"/>
      <c r="ML19" s="132"/>
      <c r="MM19" s="132"/>
      <c r="MN19" s="184" t="str">
        <f>IFERROR((((COUNTIF('Elève (4ème2)'!MJ19:MM19,"A"))*4)+((COUNTIF('Elève (4ème2)'!MJ19:MM19,"B"))*3)+((COUNTIF('Elève (4ème2)'!MJ19:MM19,"C"))*2)+((COUNTIF('Elève (4ème2)'!MJ19:MM19,"D"))*1))/(COUNTA(MJ19:MM19)),"")</f>
        <v/>
      </c>
      <c r="MO19" s="185" t="str">
        <f t="shared" si="69"/>
        <v/>
      </c>
      <c r="MP19" s="130" t="s">
        <v>31</v>
      </c>
      <c r="MQ19" s="219" t="s">
        <v>32</v>
      </c>
      <c r="MR19" s="219" t="s">
        <v>31</v>
      </c>
      <c r="MS19" s="131" t="s">
        <v>32</v>
      </c>
      <c r="MT19" s="136"/>
      <c r="MU19" s="184">
        <f>IFERROR((((COUNTIF('Elève (4ème2)'!MP19:MT19,"A"))*4)+((COUNTIF('Elève (4ème2)'!MP19:MT19,"B"))*3)+((COUNTIF('Elève (4ème2)'!MP19:MT19,"C"))*2)+((COUNTIF('Elève (4ème2)'!MP19:MT19,"D"))*1))/(COUNTA(MP19:MT19)),"")</f>
        <v>1.5</v>
      </c>
      <c r="MV19" s="185" t="str">
        <f t="shared" si="70"/>
        <v>D</v>
      </c>
      <c r="MW19" s="184">
        <f>IF(COUNT(MH19,MN19,MU19)=0,"",SUM(MH19,MN19,MU19)/COUNT(MH19,MN19,MU19))</f>
        <v>1.5</v>
      </c>
      <c r="MX19" s="207" t="str">
        <f t="shared" si="71"/>
        <v>D</v>
      </c>
      <c r="MY19" s="130"/>
      <c r="MZ19" s="131"/>
      <c r="NA19" s="132"/>
      <c r="NB19" s="184" t="str">
        <f>IFERROR((((COUNTIF('Elève (4ème2)'!MY19:NA19,"A"))*4)+((COUNTIF('Elève (4ème2)'!MY19:NA19,"B"))*3)+((COUNTIF('Elève (4ème2)'!MY19:NA19,"C"))*2)+((COUNTIF('Elève (4ème2)'!MY19:NA19,"D"))*1))/(COUNTA(MY19:NA19)),"")</f>
        <v/>
      </c>
      <c r="NC19" s="185" t="str">
        <f t="shared" si="72"/>
        <v/>
      </c>
      <c r="ND19" s="130"/>
      <c r="NE19" s="131"/>
      <c r="NF19" s="132"/>
      <c r="NG19" s="132"/>
      <c r="NH19" s="184" t="str">
        <f>IFERROR((((COUNTIF('Elève (4ème2)'!ND19:NG19,"A"))*4)+((COUNTIF('Elève (4ème2)'!ND19:NG19,"B"))*3)+((COUNTIF('Elève (4ème2)'!ND19:NG19,"C"))*2)+((COUNTIF('Elève (4ème2)'!ND19:NG19,"D"))*1))/(COUNTA(ND19:NG19)),"")</f>
        <v/>
      </c>
      <c r="NI19" s="185" t="str">
        <f t="shared" si="73"/>
        <v/>
      </c>
      <c r="NJ19" s="130" t="s">
        <v>32</v>
      </c>
      <c r="NK19" s="219" t="s">
        <v>30</v>
      </c>
      <c r="NL19" s="219" t="s">
        <v>30</v>
      </c>
      <c r="NM19" s="131" t="s">
        <v>31</v>
      </c>
      <c r="NN19" s="136"/>
      <c r="NO19" s="184">
        <f>IFERROR((((COUNTIF('Elève (4ème2)'!NJ19:NN19,"A"))*4)+((COUNTIF('Elève (4ème2)'!NJ19:NN19,"B"))*3)+((COUNTIF('Elève (4ème2)'!NJ19:NN19,"C"))*2)+((COUNTIF('Elève (4ème2)'!NJ19:NN19,"D"))*1))/(COUNTA(NJ19:NN19)),"")</f>
        <v>2.25</v>
      </c>
      <c r="NP19" s="185" t="str">
        <f t="shared" si="74"/>
        <v>C</v>
      </c>
      <c r="NQ19" s="184">
        <f>IF(COUNT(NB19,NH19,NO19)=0,"",SUM(NB19,NH19,NO19)/COUNT(NB19,NH19,NO19))</f>
        <v>2.25</v>
      </c>
      <c r="NR19" s="207" t="str">
        <f t="shared" si="75"/>
        <v>C</v>
      </c>
      <c r="NS19" s="130"/>
      <c r="NT19" s="131"/>
      <c r="NU19" s="132"/>
      <c r="NV19" s="184" t="str">
        <f>IFERROR((((COUNTIF('Elève (4ème2)'!NS19:NU19,"A"))*4)+((COUNTIF('Elève (4ème2)'!NS19:NU19,"B"))*3)+((COUNTIF('Elève (4ème2)'!NS19:NU19,"C"))*2)+((COUNTIF('Elève (4ème2)'!NS19:NU19,"D"))*1))/(COUNTA(NS19:NU19)),"")</f>
        <v/>
      </c>
      <c r="NW19" s="185" t="str">
        <f t="shared" si="76"/>
        <v/>
      </c>
      <c r="NX19" s="130"/>
      <c r="NY19" s="131"/>
      <c r="NZ19" s="132"/>
      <c r="OA19" s="132"/>
      <c r="OB19" s="184" t="str">
        <f>IFERROR((((COUNTIF('Elève (4ème2)'!NX19:OA19,"A"))*4)+((COUNTIF('Elève (4ème2)'!NX19:OA19,"B"))*3)+((COUNTIF('Elève (4ème2)'!NX19:OA19,"C"))*2)+((COUNTIF('Elève (4ème2)'!NX19:OA19,"D"))*1))/(COUNTA(NX19:OA19)),"")</f>
        <v/>
      </c>
      <c r="OC19" s="185" t="str">
        <f t="shared" si="77"/>
        <v/>
      </c>
      <c r="OD19" s="130" t="s">
        <v>31</v>
      </c>
      <c r="OE19" s="219" t="s">
        <v>31</v>
      </c>
      <c r="OF19" s="219" t="s">
        <v>30</v>
      </c>
      <c r="OG19" s="131" t="s">
        <v>30</v>
      </c>
      <c r="OH19" s="136"/>
      <c r="OI19" s="184">
        <f>IFERROR((((COUNTIF('Elève (4ème2)'!OD19:OH19,"A"))*4)+((COUNTIF('Elève (4ème2)'!OD19:OH19,"B"))*3)+((COUNTIF('Elève (4ème2)'!OD19:OH19,"C"))*2)+((COUNTIF('Elève (4ème2)'!OD19:OH19,"D"))*1))/(COUNTA(OD19:OH19)),"")</f>
        <v>2.5</v>
      </c>
      <c r="OJ19" s="185" t="str">
        <f t="shared" si="78"/>
        <v>C</v>
      </c>
      <c r="OK19" s="184">
        <f>IF(COUNT(NV19,OB19,OI19)=0,"",SUM(NV19,OB19,OI19)/COUNT(NV19,OB19,OI19))</f>
        <v>2.5</v>
      </c>
      <c r="OL19" s="207" t="str">
        <f t="shared" si="79"/>
        <v>C</v>
      </c>
      <c r="OM19" s="130"/>
      <c r="ON19" s="131"/>
      <c r="OO19" s="132"/>
      <c r="OP19" s="184" t="str">
        <f>IFERROR((((COUNTIF('Elève (4ème2)'!OM19:OO19,"A"))*4)+((COUNTIF('Elève (4ème2)'!OM19:OO19,"B"))*3)+((COUNTIF('Elève (4ème2)'!OM19:OO19,"C"))*2)+((COUNTIF('Elève (4ème2)'!OM19:OO19,"D"))*1))/(COUNTA(OM19:OO19)),"")</f>
        <v/>
      </c>
      <c r="OQ19" s="185" t="str">
        <f t="shared" si="80"/>
        <v/>
      </c>
      <c r="OR19" s="130"/>
      <c r="OS19" s="131"/>
      <c r="OT19" s="132"/>
      <c r="OU19" s="132"/>
      <c r="OV19" s="184" t="str">
        <f>IFERROR((((COUNTIF('Elève (4ème2)'!OR19:OU19,"A"))*4)+((COUNTIF('Elève (4ème2)'!OR19:OU19,"B"))*3)+((COUNTIF('Elève (4ème2)'!OR19:OU19,"C"))*2)+((COUNTIF('Elève (4ème2)'!OR19:OU19,"D"))*1))/(COUNTA(OR19:OU19)),"")</f>
        <v/>
      </c>
      <c r="OW19" s="185" t="str">
        <f t="shared" si="81"/>
        <v/>
      </c>
      <c r="OX19" s="130" t="s">
        <v>32</v>
      </c>
      <c r="OY19" s="219" t="s">
        <v>31</v>
      </c>
      <c r="OZ19" s="219" t="s">
        <v>30</v>
      </c>
      <c r="PA19" s="131" t="s">
        <v>31</v>
      </c>
      <c r="PB19" s="136"/>
      <c r="PC19" s="184">
        <f>IFERROR((((COUNTIF('Elève (4ème2)'!OX19:PB19,"A"))*4)+((COUNTIF('Elève (4ème2)'!OX19:PB19,"B"))*3)+((COUNTIF('Elève (4ème2)'!OX19:PB19,"C"))*2)+((COUNTIF('Elève (4ème2)'!OX19:PB19,"D"))*1))/(COUNTA(OX19:PB19)),"")</f>
        <v>2</v>
      </c>
      <c r="PD19" s="185" t="str">
        <f t="shared" si="82"/>
        <v>C</v>
      </c>
      <c r="PE19" s="184">
        <f>IF(COUNT(OP19,OV19,PC19)=0,"",SUM(OP19,OV19,PC19)/COUNT(OP19,OV19,PC19))</f>
        <v>2</v>
      </c>
      <c r="PF19" s="207" t="str">
        <f t="shared" si="83"/>
        <v>C</v>
      </c>
      <c r="PG19" s="130"/>
      <c r="PH19" s="131"/>
      <c r="PI19" s="132"/>
      <c r="PJ19" s="184" t="str">
        <f>IFERROR((((COUNTIF('Elève (4ème2)'!PG19:PI19,"A"))*4)+((COUNTIF('Elève (4ème2)'!PG19:PI19,"B"))*3)+((COUNTIF('Elève (4ème2)'!PG19:PI19,"C"))*2)+((COUNTIF('Elève (4ème2)'!PG19:PI19,"D"))*1))/(COUNTA(PG19:PI19)),"")</f>
        <v/>
      </c>
      <c r="PK19" s="185" t="str">
        <f t="shared" si="84"/>
        <v/>
      </c>
      <c r="PL19" s="130"/>
      <c r="PM19" s="131"/>
      <c r="PN19" s="132"/>
      <c r="PO19" s="132"/>
      <c r="PP19" s="184" t="str">
        <f>IFERROR((((COUNTIF('Elève (4ème2)'!PL19:PO19,"A"))*4)+((COUNTIF('Elève (4ème2)'!PL19:PO19,"B"))*3)+((COUNTIF('Elève (4ème2)'!PL19:PO19,"C"))*2)+((COUNTIF('Elève (4ème2)'!PL19:PO19,"D"))*1))/(COUNTA(PL19:PO19)),"")</f>
        <v/>
      </c>
      <c r="PQ19" s="185" t="str">
        <f t="shared" si="85"/>
        <v/>
      </c>
      <c r="PR19" s="130" t="s">
        <v>32</v>
      </c>
      <c r="PS19" s="219" t="s">
        <v>32</v>
      </c>
      <c r="PT19" s="219" t="s">
        <v>31</v>
      </c>
      <c r="PU19" s="131" t="s">
        <v>32</v>
      </c>
      <c r="PV19" s="136"/>
      <c r="PW19" s="184">
        <f>IFERROR((((COUNTIF('Elève (4ème2)'!PR19:PV19,"A"))*4)+((COUNTIF('Elève (4ème2)'!PR19:PV19,"B"))*3)+((COUNTIF('Elève (4ème2)'!PR19:PV19,"C"))*2)+((COUNTIF('Elève (4ème2)'!PR19:PV19,"D"))*1))/(COUNTA(PR19:PV19)),"")</f>
        <v>1.25</v>
      </c>
      <c r="PX19" s="185" t="str">
        <f t="shared" si="86"/>
        <v>D</v>
      </c>
      <c r="PY19" s="184">
        <f>IF(COUNT(PJ19,PP19,PW19)=0,"",SUM(PJ19,PP19,PW19)/COUNT(PJ19,PP19,PW19))</f>
        <v>1.25</v>
      </c>
      <c r="PZ19" s="207" t="str">
        <f t="shared" si="87"/>
        <v>D</v>
      </c>
      <c r="QA19" s="130"/>
      <c r="QB19" s="131"/>
      <c r="QC19" s="132"/>
      <c r="QD19" s="184" t="str">
        <f>IFERROR((((COUNTIF('Elève (4ème2)'!QA19:QC19,"A"))*4)+((COUNTIF('Elève (4ème2)'!QA19:QC19,"B"))*3)+((COUNTIF('Elève (4ème2)'!QA19:QC19,"C"))*2)+((COUNTIF('Elève (4ème2)'!QA19:QC19,"D"))*1))/(COUNTA(QA19:QC19)),"")</f>
        <v/>
      </c>
      <c r="QE19" s="185" t="str">
        <f t="shared" si="88"/>
        <v/>
      </c>
      <c r="QF19" s="130"/>
      <c r="QG19" s="131"/>
      <c r="QH19" s="132"/>
      <c r="QI19" s="132"/>
      <c r="QJ19" s="184" t="str">
        <f>IFERROR((((COUNTIF('Elève (4ème2)'!QF19:QI19,"A"))*4)+((COUNTIF('Elève (4ème2)'!QF19:QI19,"B"))*3)+((COUNTIF('Elève (4ème2)'!QF19:QI19,"C"))*2)+((COUNTIF('Elève (4ème2)'!QF19:QI19,"D"))*1))/(COUNTA(QF19:QI19)),"")</f>
        <v/>
      </c>
      <c r="QK19" s="185" t="str">
        <f t="shared" si="89"/>
        <v/>
      </c>
      <c r="QL19" s="130" t="s">
        <v>32</v>
      </c>
      <c r="QM19" s="219" t="s">
        <v>31</v>
      </c>
      <c r="QN19" s="219" t="s">
        <v>31</v>
      </c>
      <c r="QO19" s="131" t="s">
        <v>32</v>
      </c>
      <c r="QP19" s="136"/>
      <c r="QQ19" s="184">
        <f>IFERROR((((COUNTIF('Elève (4ème2)'!QL19:QP19,"A"))*4)+((COUNTIF('Elève (4ème2)'!QL19:QP19,"B"))*3)+((COUNTIF('Elève (4ème2)'!QL19:QP19,"C"))*2)+((COUNTIF('Elève (4ème2)'!QL19:QP19,"D"))*1))/(COUNTA(QL19:QP19)),"")</f>
        <v>1.5</v>
      </c>
      <c r="QR19" s="185" t="str">
        <f t="shared" si="90"/>
        <v>D</v>
      </c>
      <c r="QS19" s="184">
        <f>IF(COUNT(QD19,QJ19,QQ19)=0,"",SUM(QD19,QJ19,QQ19)/COUNT(QD19,QJ19,QQ19))</f>
        <v>1.5</v>
      </c>
      <c r="QT19" s="207" t="str">
        <f t="shared" si="91"/>
        <v>D</v>
      </c>
      <c r="QU19" s="130"/>
      <c r="QV19" s="131"/>
      <c r="QW19" s="132"/>
      <c r="QX19" s="184" t="str">
        <f>IFERROR((((COUNTIF('Elève (4ème2)'!QU19:QW19,"A"))*4)+((COUNTIF('Elève (4ème2)'!QU19:QW19,"B"))*3)+((COUNTIF('Elève (4ème2)'!QU19:QW19,"C"))*2)+((COUNTIF('Elève (4ème2)'!QU19:QW19,"D"))*1))/(COUNTA(QU19:QW19)),"")</f>
        <v/>
      </c>
      <c r="QY19" s="185" t="str">
        <f t="shared" si="92"/>
        <v/>
      </c>
      <c r="QZ19" s="130"/>
      <c r="RA19" s="131"/>
      <c r="RB19" s="132"/>
      <c r="RC19" s="132"/>
      <c r="RD19" s="184" t="str">
        <f>IFERROR((((COUNTIF('Elève (4ème2)'!QZ19:RC19,"A"))*4)+((COUNTIF('Elève (4ème2)'!QZ19:RC19,"B"))*3)+((COUNTIF('Elève (4ème2)'!QZ19:RC19,"C"))*2)+((COUNTIF('Elève (4ème2)'!QZ19:RC19,"D"))*1))/(COUNTA(QZ19:RC19)),"")</f>
        <v/>
      </c>
      <c r="RE19" s="185" t="str">
        <f t="shared" si="93"/>
        <v/>
      </c>
      <c r="RF19" s="130" t="s">
        <v>32</v>
      </c>
      <c r="RG19" s="219" t="s">
        <v>31</v>
      </c>
      <c r="RH19" s="219" t="s">
        <v>31</v>
      </c>
      <c r="RI19" s="131" t="s">
        <v>31</v>
      </c>
      <c r="RJ19" s="136"/>
      <c r="RK19" s="184">
        <f>IFERROR((((COUNTIF('Elève (4ème2)'!RF19:RJ19,"A"))*4)+((COUNTIF('Elève (4ème2)'!RF19:RJ19,"B"))*3)+((COUNTIF('Elève (4ème2)'!RF19:RJ19,"C"))*2)+((COUNTIF('Elève (4ème2)'!RF19:RJ19,"D"))*1))/(COUNTA(RF19:RJ19)),"")</f>
        <v>1.75</v>
      </c>
      <c r="RL19" s="185" t="str">
        <f t="shared" si="94"/>
        <v>C</v>
      </c>
      <c r="RM19" s="184">
        <f>IF(COUNT(QX19,RD19,RK19)=0,"",SUM(QX19,RD19,RK19)/COUNT(QX19,RD19,RK19))</f>
        <v>1.75</v>
      </c>
      <c r="RN19" s="207" t="str">
        <f t="shared" si="95"/>
        <v>C</v>
      </c>
      <c r="RO19" s="130"/>
      <c r="RP19" s="131"/>
      <c r="RQ19" s="132"/>
      <c r="RR19" s="184" t="str">
        <f>IFERROR((((COUNTIF('Elève (4ème2)'!RO19:RQ19,"A"))*4)+((COUNTIF('Elève (4ème2)'!RO19:RQ19,"B"))*3)+((COUNTIF('Elève (4ème2)'!RO19:RQ19,"C"))*2)+((COUNTIF('Elève (4ème2)'!RO19:RQ19,"D"))*1))/(COUNTA(RO19:RQ19)),"")</f>
        <v/>
      </c>
      <c r="RS19" s="185" t="str">
        <f t="shared" si="96"/>
        <v/>
      </c>
      <c r="RT19" s="130"/>
      <c r="RU19" s="131"/>
      <c r="RV19" s="132"/>
      <c r="RW19" s="132"/>
      <c r="RX19" s="184" t="str">
        <f>IFERROR((((COUNTIF('Elève (4ème2)'!RT19:RW19,"A"))*4)+((COUNTIF('Elève (4ème2)'!RT19:RW19,"B"))*3)+((COUNTIF('Elève (4ème2)'!RT19:RW19,"C"))*2)+((COUNTIF('Elève (4ème2)'!RT19:RW19,"D"))*1))/(COUNTA(RT19:RW19)),"")</f>
        <v/>
      </c>
      <c r="RY19" s="185" t="str">
        <f t="shared" si="97"/>
        <v/>
      </c>
      <c r="RZ19" s="130" t="s">
        <v>31</v>
      </c>
      <c r="SA19" s="219" t="s">
        <v>30</v>
      </c>
      <c r="SB19" s="219" t="s">
        <v>31</v>
      </c>
      <c r="SC19" s="131" t="s">
        <v>30</v>
      </c>
      <c r="SD19" s="136"/>
      <c r="SE19" s="184">
        <f>IFERROR((((COUNTIF('Elève (4ème2)'!RZ19:SD19,"A"))*4)+((COUNTIF('Elève (4ème2)'!RZ19:SD19,"B"))*3)+((COUNTIF('Elève (4ème2)'!RZ19:SD19,"C"))*2)+((COUNTIF('Elève (4ème2)'!RZ19:SD19,"D"))*1))/(COUNTA(RZ19:SD19)),"")</f>
        <v>2.5</v>
      </c>
      <c r="SF19" s="185" t="str">
        <f t="shared" si="98"/>
        <v>C</v>
      </c>
      <c r="SG19" s="184">
        <f>IF(COUNT(RR19,RX19,SE19)=0,"",SUM(RR19,RX19,SE19)/COUNT(RR19,RX19,SE19))</f>
        <v>2.5</v>
      </c>
      <c r="SH19" s="207" t="str">
        <f t="shared" si="99"/>
        <v>C</v>
      </c>
      <c r="SI19" s="130"/>
      <c r="SJ19" s="131"/>
      <c r="SK19" s="132"/>
      <c r="SL19" s="184" t="str">
        <f>IFERROR((((COUNTIF('Elève (4ème2)'!SI19:SK19,"A"))*4)+((COUNTIF('Elève (4ème2)'!SI19:SK19,"B"))*3)+((COUNTIF('Elève (4ème2)'!SI19:SK19,"C"))*2)+((COUNTIF('Elève (4ème2)'!SI19:SK19,"D"))*1))/(COUNTA(SI19:SK19)),"")</f>
        <v/>
      </c>
      <c r="SM19" s="185" t="str">
        <f t="shared" si="100"/>
        <v/>
      </c>
      <c r="SN19" s="130"/>
      <c r="SO19" s="131"/>
      <c r="SP19" s="132"/>
      <c r="SQ19" s="132"/>
      <c r="SR19" s="184" t="str">
        <f>IFERROR((((COUNTIF('Elève (4ème2)'!SN19:SQ19,"A"))*4)+((COUNTIF('Elève (4ème2)'!SN19:SQ19,"B"))*3)+((COUNTIF('Elève (4ème2)'!SN19:SQ19,"C"))*2)+((COUNTIF('Elève (4ème2)'!SN19:SQ19,"D"))*1))/(COUNTA(SN19:SQ19)),"")</f>
        <v/>
      </c>
      <c r="SS19" s="185" t="str">
        <f t="shared" si="101"/>
        <v/>
      </c>
      <c r="ST19" s="130" t="s">
        <v>31</v>
      </c>
      <c r="SU19" s="219" t="s">
        <v>31</v>
      </c>
      <c r="SV19" s="219" t="s">
        <v>31</v>
      </c>
      <c r="SW19" s="131" t="s">
        <v>31</v>
      </c>
      <c r="SX19" s="136"/>
      <c r="SY19" s="184">
        <f>IFERROR((((COUNTIF('Elève (4ème2)'!ST19:SX19,"A"))*4)+((COUNTIF('Elève (4ème2)'!ST19:SX19,"B"))*3)+((COUNTIF('Elève (4ème2)'!ST19:SX19,"C"))*2)+((COUNTIF('Elève (4ème2)'!ST19:SX19,"D"))*1))/(COUNTA(ST19:SX19)),"")</f>
        <v>2</v>
      </c>
      <c r="SZ19" s="185" t="str">
        <f t="shared" si="102"/>
        <v>C</v>
      </c>
      <c r="TA19" s="184">
        <f>IF(COUNT(SL19,SR19,SY19)=0,"",SUM(SL19,SR19,SY19)/COUNT(SL19,SR19,SY19))</f>
        <v>2</v>
      </c>
      <c r="TB19" s="207" t="str">
        <f t="shared" si="103"/>
        <v>C</v>
      </c>
      <c r="TC19" s="130"/>
      <c r="TD19" s="131"/>
      <c r="TE19" s="132"/>
      <c r="TF19" s="184" t="str">
        <f>IFERROR((((COUNTIF('Elève (4ème2)'!TC19:TE19,"A"))*4)+((COUNTIF('Elève (4ème2)'!TC19:TE19,"B"))*3)+((COUNTIF('Elève (4ème2)'!TC19:TE19,"C"))*2)+((COUNTIF('Elève (4ème2)'!TC19:TE19,"D"))*1))/(COUNTA(TC19:TE19)),"")</f>
        <v/>
      </c>
      <c r="TG19" s="185" t="str">
        <f t="shared" si="104"/>
        <v/>
      </c>
      <c r="TH19" s="130"/>
      <c r="TI19" s="131"/>
      <c r="TJ19" s="132"/>
      <c r="TK19" s="132"/>
      <c r="TL19" s="184" t="str">
        <f>IFERROR((((COUNTIF('Elève (4ème2)'!TH19:TK19,"A"))*4)+((COUNTIF('Elève (4ème2)'!TH19:TK19,"B"))*3)+((COUNTIF('Elève (4ème2)'!TH19:TK19,"C"))*2)+((COUNTIF('Elève (4ème2)'!TH19:TK19,"D"))*1))/(COUNTA(TH19:TK19)),"")</f>
        <v/>
      </c>
      <c r="TM19" s="185" t="str">
        <f t="shared" si="105"/>
        <v/>
      </c>
      <c r="TN19" s="130" t="s">
        <v>31</v>
      </c>
      <c r="TO19" s="219" t="s">
        <v>32</v>
      </c>
      <c r="TP19" s="219" t="s">
        <v>31</v>
      </c>
      <c r="TQ19" s="131" t="s">
        <v>31</v>
      </c>
      <c r="TR19" s="136"/>
      <c r="TS19" s="184">
        <f>IFERROR((((COUNTIF('Elève (4ème2)'!TN19:TR19,"A"))*4)+((COUNTIF('Elève (4ème2)'!TN19:TR19,"B"))*3)+((COUNTIF('Elève (4ème2)'!TN19:TR19,"C"))*2)+((COUNTIF('Elève (4ème2)'!TN19:TR19,"D"))*1))/(COUNTA(TN19:TR19)),"")</f>
        <v>1.75</v>
      </c>
      <c r="TT19" s="185" t="str">
        <f t="shared" si="106"/>
        <v>C</v>
      </c>
      <c r="TU19" s="184">
        <f>IF(COUNT(TF19,TL19,TS19)=0,"",SUM(TF19,TL19,TS19)/COUNT(TF19,TL19,TS19))</f>
        <v>1.75</v>
      </c>
      <c r="TV19" s="207" t="str">
        <f t="shared" si="107"/>
        <v>C</v>
      </c>
      <c r="TW19" s="130"/>
      <c r="TX19" s="131"/>
      <c r="TY19" s="132"/>
      <c r="TZ19" s="133" t="str">
        <f>IFERROR((((COUNTIF('Elève (4ème2)'!TW19:TY19,"A"))*4)+((COUNTIF('Elève (4ème2)'!TW19:TY19,"B"))*3)+((COUNTIF('Elève (4ème2)'!TW19:TY19,"C"))*2)+((COUNTIF('Elève (4ème2)'!TW19:TY19,"D"))*1))/(COUNTA(TW19:TY19)),"")</f>
        <v/>
      </c>
      <c r="UA19" s="134" t="str">
        <f t="shared" si="108"/>
        <v/>
      </c>
      <c r="UB19" s="130"/>
      <c r="UC19" s="131"/>
      <c r="UD19" s="132"/>
      <c r="UE19" s="133" t="str">
        <f>IFERROR((((COUNTIF('Elève (4ème2)'!UB19:UD19,"A"))*4)+((COUNTIF('Elève (4ème2)'!UB19:UD19,"B"))*3)+((COUNTIF('Elève (4ème2)'!UB19:UD19,"C"))*2)+((COUNTIF('Elève (4ème2)'!UB19:UD19,"D"))*1))/(COUNTA(UB19:UD19)),"")</f>
        <v/>
      </c>
      <c r="UF19" s="134" t="str">
        <f t="shared" si="109"/>
        <v/>
      </c>
      <c r="UG19" s="130"/>
      <c r="UH19" s="131"/>
      <c r="UI19" s="136"/>
      <c r="UJ19" s="133" t="str">
        <f>IFERROR((((COUNTIF('Elève (4ème2)'!UG19:UI19,"A"))*4)+((COUNTIF('Elève (4ème2)'!UG19:UI19,"B"))*3)+((COUNTIF('Elève (4ème2)'!UG19:UI19,"C"))*2)+((COUNTIF('Elève (4ème2)'!UG19:UI19,"D"))*1))/(COUNTA(UG19:UI19)),"")</f>
        <v/>
      </c>
      <c r="UK19" s="134" t="str">
        <f t="shared" si="110"/>
        <v/>
      </c>
      <c r="UL19" s="133" t="str">
        <f>IF(COUNT(TZ19,UE19,UJ19)=0,"",SUM(TZ19,UE19,UJ19)/COUNT(TZ19,UE19,UJ19))</f>
        <v/>
      </c>
      <c r="UM19" s="135" t="str">
        <f t="shared" si="111"/>
        <v/>
      </c>
      <c r="UN19" s="130"/>
      <c r="UO19" s="131"/>
      <c r="UP19" s="132"/>
      <c r="UQ19" s="133" t="str">
        <f>IFERROR((((COUNTIF('Elève (4ème2)'!UN19:UP19,"A"))*4)+((COUNTIF('Elève (4ème2)'!UN19:UP19,"B"))*3)+((COUNTIF('Elève (4ème2)'!UN19:UP19,"C"))*2)+((COUNTIF('Elève (4ème2)'!UN19:UP19,"D"))*1))/(COUNTA(UN19:UP19)),"")</f>
        <v/>
      </c>
      <c r="UR19" s="134" t="str">
        <f t="shared" si="112"/>
        <v/>
      </c>
      <c r="US19" s="130"/>
      <c r="UT19" s="131"/>
      <c r="UU19" s="132"/>
      <c r="UV19" s="133" t="str">
        <f>IFERROR((((COUNTIF('Elève (4ème2)'!US19:UU19,"A"))*4)+((COUNTIF('Elève (4ème2)'!US19:UU19,"B"))*3)+((COUNTIF('Elève (4ème2)'!US19:UU19,"C"))*2)+((COUNTIF('Elève (4ème2)'!US19:UU19,"D"))*1))/(COUNTA(US19:UU19)),"")</f>
        <v/>
      </c>
      <c r="UW19" s="134" t="str">
        <f t="shared" si="113"/>
        <v/>
      </c>
      <c r="UX19" s="130"/>
      <c r="UY19" s="131"/>
      <c r="UZ19" s="136"/>
      <c r="VA19" s="133" t="str">
        <f>IFERROR((((COUNTIF('Elève (4ème2)'!UX19:UZ19,"A"))*4)+((COUNTIF('Elève (4ème2)'!UX19:UZ19,"B"))*3)+((COUNTIF('Elève (4ème2)'!UX19:UZ19,"C"))*2)+((COUNTIF('Elève (4ème2)'!UX19:UZ19,"D"))*1))/(COUNTA(UX19:UZ19)),"")</f>
        <v/>
      </c>
      <c r="VB19" s="134" t="str">
        <f t="shared" si="114"/>
        <v/>
      </c>
      <c r="VC19" s="133" t="str">
        <f>IF(COUNT(UQ19,UV19,VA19)=0,"",SUM(UQ19,UV19,VA19)/COUNT(UQ19,UV19,VA19))</f>
        <v/>
      </c>
      <c r="VD19" s="135" t="str">
        <f t="shared" si="115"/>
        <v/>
      </c>
      <c r="VE19" s="130"/>
      <c r="VF19" s="131"/>
      <c r="VG19" s="132"/>
      <c r="VH19" s="133" t="str">
        <f>IFERROR((((COUNTIF('Elève (4ème2)'!VE19:VG19,"A"))*4)+((COUNTIF('Elève (4ème2)'!VE19:VG19,"B"))*3)+((COUNTIF('Elève (4ème2)'!VE19:VG19,"C"))*2)+((COUNTIF('Elève (4ème2)'!VE19:VG19,"D"))*1))/(COUNTA(VE19:VG19)),"")</f>
        <v/>
      </c>
      <c r="VI19" s="134" t="str">
        <f t="shared" si="116"/>
        <v/>
      </c>
      <c r="VJ19" s="130"/>
      <c r="VK19" s="131"/>
      <c r="VL19" s="132"/>
      <c r="VM19" s="133" t="str">
        <f>IFERROR((((COUNTIF('Elève (4ème2)'!VJ19:VL19,"A"))*4)+((COUNTIF('Elève (4ème2)'!VJ19:VL19,"B"))*3)+((COUNTIF('Elève (4ème2)'!VJ19:VL19,"C"))*2)+((COUNTIF('Elève (4ème2)'!VJ19:VL19,"D"))*1))/(COUNTA(VJ19:VL19)),"")</f>
        <v/>
      </c>
      <c r="VN19" s="134" t="str">
        <f t="shared" si="117"/>
        <v/>
      </c>
      <c r="VO19" s="130"/>
      <c r="VP19" s="131"/>
      <c r="VQ19" s="136"/>
      <c r="VR19" s="133" t="str">
        <f>IFERROR((((COUNTIF('Elève (4ème2)'!VO19:VQ19,"A"))*4)+((COUNTIF('Elève (4ème2)'!VO19:VQ19,"B"))*3)+((COUNTIF('Elève (4ème2)'!VO19:VQ19,"C"))*2)+((COUNTIF('Elève (4ème2)'!VO19:VQ19,"D"))*1))/(COUNTA(VO19:VQ19)),"")</f>
        <v/>
      </c>
      <c r="VS19" s="134" t="str">
        <f t="shared" si="118"/>
        <v/>
      </c>
      <c r="VT19" s="133" t="str">
        <f>IF(COUNT(VH19,VM19,VR19)=0,"",SUM(VH19,VM19,VR19)/COUNT(VH19,VM19,VR19))</f>
        <v/>
      </c>
      <c r="VU19" s="135" t="str">
        <f t="shared" si="119"/>
        <v/>
      </c>
    </row>
    <row r="20" spans="1:593" s="115" customFormat="1" ht="16.5" customHeight="1" thickBot="1" x14ac:dyDescent="0.6">
      <c r="A20" s="165" t="s">
        <v>26</v>
      </c>
      <c r="B20" s="140">
        <v>1</v>
      </c>
      <c r="C20" s="226"/>
      <c r="D20" s="85"/>
      <c r="E20" s="105"/>
      <c r="F20" s="178" t="str">
        <f>IF(COUNT(F21)=0,"",SUM(F21)/COUNT(F21))</f>
        <v/>
      </c>
      <c r="G20" s="179" t="str">
        <f t="shared" si="0"/>
        <v/>
      </c>
      <c r="H20" s="226"/>
      <c r="I20" s="85"/>
      <c r="J20" s="85"/>
      <c r="K20" s="105"/>
      <c r="L20" s="178" t="str">
        <f>IF(COUNT(L21)=0,"",SUM(L21)/COUNT(L21))</f>
        <v/>
      </c>
      <c r="M20" s="194" t="str">
        <f t="shared" si="1"/>
        <v/>
      </c>
      <c r="N20" s="172"/>
      <c r="O20" s="110"/>
      <c r="P20" s="110"/>
      <c r="Q20" s="110"/>
      <c r="R20" s="111"/>
      <c r="S20" s="178" t="str">
        <f>IF(COUNT(S21)=0,"",SUM(S21)/COUNT(S21))</f>
        <v/>
      </c>
      <c r="T20" s="202" t="str">
        <f t="shared" si="2"/>
        <v/>
      </c>
      <c r="U20" s="203" t="str">
        <f>IF(COUNT(U21)=0,"",SUM(U21)/COUNT(U21))</f>
        <v/>
      </c>
      <c r="V20" s="204" t="str">
        <f t="shared" si="3"/>
        <v/>
      </c>
      <c r="W20" s="215"/>
      <c r="X20" s="85"/>
      <c r="Y20" s="105"/>
      <c r="Z20" s="178" t="str">
        <f>IF(COUNT(Z21)=0,"",SUM(Z21)/COUNT(Z21))</f>
        <v/>
      </c>
      <c r="AA20" s="179" t="str">
        <f t="shared" si="4"/>
        <v/>
      </c>
      <c r="AB20" s="226"/>
      <c r="AC20" s="85"/>
      <c r="AD20" s="85"/>
      <c r="AE20" s="105"/>
      <c r="AF20" s="178" t="str">
        <f>IF(COUNT(AF21)=0,"",SUM(AF21)/COUNT(AF21))</f>
        <v/>
      </c>
      <c r="AG20" s="194" t="str">
        <f t="shared" si="5"/>
        <v/>
      </c>
      <c r="AH20" s="172"/>
      <c r="AI20" s="110"/>
      <c r="AJ20" s="110"/>
      <c r="AK20" s="110"/>
      <c r="AL20" s="111"/>
      <c r="AM20" s="178" t="str">
        <f>IF(COUNT(AM21)=0,"",SUM(AM21)/COUNT(AM21))</f>
        <v/>
      </c>
      <c r="AN20" s="202" t="str">
        <f t="shared" si="6"/>
        <v/>
      </c>
      <c r="AO20" s="203" t="str">
        <f>IF(COUNT(AO21)=0,"",SUM(AO21)/COUNT(AO21))</f>
        <v/>
      </c>
      <c r="AP20" s="204" t="str">
        <f t="shared" si="7"/>
        <v/>
      </c>
      <c r="AQ20" s="215"/>
      <c r="AR20" s="85"/>
      <c r="AS20" s="105"/>
      <c r="AT20" s="178" t="str">
        <f>IF(COUNT(AT21)=0,"",SUM(AT21)/COUNT(AT21))</f>
        <v/>
      </c>
      <c r="AU20" s="179" t="str">
        <f t="shared" si="8"/>
        <v/>
      </c>
      <c r="AV20" s="226"/>
      <c r="AW20" s="85"/>
      <c r="AX20" s="85"/>
      <c r="AY20" s="105"/>
      <c r="AZ20" s="178" t="str">
        <f>IF(COUNT(AZ21)=0,"",SUM(AZ21)/COUNT(AZ21))</f>
        <v/>
      </c>
      <c r="BA20" s="194" t="str">
        <f t="shared" si="9"/>
        <v/>
      </c>
      <c r="BB20" s="172"/>
      <c r="BC20" s="110"/>
      <c r="BD20" s="110"/>
      <c r="BE20" s="110"/>
      <c r="BF20" s="111"/>
      <c r="BG20" s="178" t="str">
        <f>IF(COUNT(BG21)=0,"",SUM(BG21)/COUNT(BG21))</f>
        <v/>
      </c>
      <c r="BH20" s="202" t="str">
        <f t="shared" si="10"/>
        <v/>
      </c>
      <c r="BI20" s="203" t="str">
        <f>IF(COUNT(BI21)=0,"",SUM(BI21)/COUNT(BI21))</f>
        <v/>
      </c>
      <c r="BJ20" s="204" t="str">
        <f t="shared" si="11"/>
        <v/>
      </c>
      <c r="BK20" s="215"/>
      <c r="BL20" s="85"/>
      <c r="BM20" s="105"/>
      <c r="BN20" s="178" t="str">
        <f>IF(COUNT(BN21)=0,"",SUM(BN21)/COUNT(BN21))</f>
        <v/>
      </c>
      <c r="BO20" s="179" t="str">
        <f t="shared" si="12"/>
        <v/>
      </c>
      <c r="BP20" s="226"/>
      <c r="BQ20" s="85"/>
      <c r="BR20" s="85"/>
      <c r="BS20" s="105"/>
      <c r="BT20" s="178" t="str">
        <f>IF(COUNT(BT21)=0,"",SUM(BT21)/COUNT(BT21))</f>
        <v/>
      </c>
      <c r="BU20" s="194" t="str">
        <f t="shared" si="13"/>
        <v/>
      </c>
      <c r="BV20" s="172"/>
      <c r="BW20" s="110"/>
      <c r="BX20" s="110"/>
      <c r="BY20" s="110"/>
      <c r="BZ20" s="111"/>
      <c r="CA20" s="178" t="str">
        <f>IF(COUNT(CA21)=0,"",SUM(CA21)/COUNT(CA21))</f>
        <v/>
      </c>
      <c r="CB20" s="202" t="str">
        <f t="shared" si="14"/>
        <v/>
      </c>
      <c r="CC20" s="203" t="str">
        <f>IF(COUNT(CC21)=0,"",SUM(CC21)/COUNT(CC21))</f>
        <v/>
      </c>
      <c r="CD20" s="204" t="str">
        <f t="shared" si="15"/>
        <v/>
      </c>
      <c r="CE20" s="215"/>
      <c r="CF20" s="85"/>
      <c r="CG20" s="105"/>
      <c r="CH20" s="178" t="str">
        <f>IF(COUNT(CH21)=0,"",SUM(CH21)/COUNT(CH21))</f>
        <v/>
      </c>
      <c r="CI20" s="179" t="str">
        <f t="shared" si="16"/>
        <v/>
      </c>
      <c r="CJ20" s="226"/>
      <c r="CK20" s="85"/>
      <c r="CL20" s="85"/>
      <c r="CM20" s="105"/>
      <c r="CN20" s="178" t="str">
        <f>IF(COUNT(CN21)=0,"",SUM(CN21)/COUNT(CN21))</f>
        <v/>
      </c>
      <c r="CO20" s="194" t="str">
        <f t="shared" si="17"/>
        <v/>
      </c>
      <c r="CP20" s="172"/>
      <c r="CQ20" s="110"/>
      <c r="CR20" s="110"/>
      <c r="CS20" s="110"/>
      <c r="CT20" s="111"/>
      <c r="CU20" s="178" t="str">
        <f>IF(COUNT(CU21)=0,"",SUM(CU21)/COUNT(CU21))</f>
        <v/>
      </c>
      <c r="CV20" s="202" t="str">
        <f t="shared" si="18"/>
        <v/>
      </c>
      <c r="CW20" s="203" t="str">
        <f>IF(COUNT(CW21)=0,"",SUM(CW21)/COUNT(CW21))</f>
        <v/>
      </c>
      <c r="CX20" s="204" t="str">
        <f t="shared" si="19"/>
        <v/>
      </c>
      <c r="CY20" s="215"/>
      <c r="CZ20" s="85"/>
      <c r="DA20" s="105"/>
      <c r="DB20" s="178" t="str">
        <f>IF(COUNT(DB21)=0,"",SUM(DB21)/COUNT(DB21))</f>
        <v/>
      </c>
      <c r="DC20" s="179" t="str">
        <f t="shared" si="20"/>
        <v/>
      </c>
      <c r="DD20" s="226"/>
      <c r="DE20" s="85"/>
      <c r="DF20" s="85"/>
      <c r="DG20" s="105"/>
      <c r="DH20" s="178" t="str">
        <f>IF(COUNT(DH21)=0,"",SUM(DH21)/COUNT(DH21))</f>
        <v/>
      </c>
      <c r="DI20" s="194" t="str">
        <f t="shared" si="21"/>
        <v/>
      </c>
      <c r="DJ20" s="172"/>
      <c r="DK20" s="110"/>
      <c r="DL20" s="110"/>
      <c r="DM20" s="110"/>
      <c r="DN20" s="111"/>
      <c r="DO20" s="178" t="str">
        <f>IF(COUNT(DO21)=0,"",SUM(DO21)/COUNT(DO21))</f>
        <v/>
      </c>
      <c r="DP20" s="202" t="str">
        <f t="shared" si="22"/>
        <v/>
      </c>
      <c r="DQ20" s="203" t="str">
        <f>IF(COUNT(DQ21)=0,"",SUM(DQ21)/COUNT(DQ21))</f>
        <v/>
      </c>
      <c r="DR20" s="204" t="str">
        <f t="shared" si="23"/>
        <v/>
      </c>
      <c r="DS20" s="215"/>
      <c r="DT20" s="85"/>
      <c r="DU20" s="105"/>
      <c r="DV20" s="178" t="str">
        <f>IF(COUNT(DV21)=0,"",SUM(DV21)/COUNT(DV21))</f>
        <v/>
      </c>
      <c r="DW20" s="179" t="str">
        <f t="shared" si="24"/>
        <v/>
      </c>
      <c r="DX20" s="226"/>
      <c r="DY20" s="85"/>
      <c r="DZ20" s="85"/>
      <c r="EA20" s="105"/>
      <c r="EB20" s="178" t="str">
        <f>IF(COUNT(EB21)=0,"",SUM(EB21)/COUNT(EB21))</f>
        <v/>
      </c>
      <c r="EC20" s="194" t="str">
        <f t="shared" si="25"/>
        <v/>
      </c>
      <c r="ED20" s="172"/>
      <c r="EE20" s="110"/>
      <c r="EF20" s="110"/>
      <c r="EG20" s="110"/>
      <c r="EH20" s="111"/>
      <c r="EI20" s="178" t="str">
        <f>IF(COUNT(EI21)=0,"",SUM(EI21)/COUNT(EI21))</f>
        <v/>
      </c>
      <c r="EJ20" s="202" t="str">
        <f t="shared" si="26"/>
        <v/>
      </c>
      <c r="EK20" s="203" t="str">
        <f>IF(COUNT(EK21)=0,"",SUM(EK21)/COUNT(EK21))</f>
        <v/>
      </c>
      <c r="EL20" s="204" t="str">
        <f t="shared" si="27"/>
        <v/>
      </c>
      <c r="EM20" s="215"/>
      <c r="EN20" s="85"/>
      <c r="EO20" s="105"/>
      <c r="EP20" s="178" t="str">
        <f>IF(COUNT(EP21)=0,"",SUM(EP21)/COUNT(EP21))</f>
        <v/>
      </c>
      <c r="EQ20" s="179" t="str">
        <f t="shared" si="28"/>
        <v/>
      </c>
      <c r="ER20" s="226"/>
      <c r="ES20" s="85"/>
      <c r="ET20" s="85"/>
      <c r="EU20" s="105"/>
      <c r="EV20" s="178" t="str">
        <f>IF(COUNT(EV21)=0,"",SUM(EV21)/COUNT(EV21))</f>
        <v/>
      </c>
      <c r="EW20" s="194" t="str">
        <f t="shared" si="29"/>
        <v/>
      </c>
      <c r="EX20" s="172"/>
      <c r="EY20" s="110"/>
      <c r="EZ20" s="110"/>
      <c r="FA20" s="110"/>
      <c r="FB20" s="111"/>
      <c r="FC20" s="178" t="str">
        <f>IF(COUNT(FC21)=0,"",SUM(FC21)/COUNT(FC21))</f>
        <v/>
      </c>
      <c r="FD20" s="202" t="str">
        <f t="shared" si="30"/>
        <v/>
      </c>
      <c r="FE20" s="203" t="str">
        <f>IF(COUNT(FE21)=0,"",SUM(FE21)/COUNT(FE21))</f>
        <v/>
      </c>
      <c r="FF20" s="204" t="str">
        <f t="shared" si="31"/>
        <v/>
      </c>
      <c r="FG20" s="215"/>
      <c r="FH20" s="85"/>
      <c r="FI20" s="105"/>
      <c r="FJ20" s="178" t="str">
        <f>IF(COUNT(FJ21)=0,"",SUM(FJ21)/COUNT(FJ21))</f>
        <v/>
      </c>
      <c r="FK20" s="179" t="str">
        <f t="shared" si="32"/>
        <v/>
      </c>
      <c r="FL20" s="226"/>
      <c r="FM20" s="85"/>
      <c r="FN20" s="85"/>
      <c r="FO20" s="105"/>
      <c r="FP20" s="178" t="str">
        <f>IF(COUNT(FP21)=0,"",SUM(FP21)/COUNT(FP21))</f>
        <v/>
      </c>
      <c r="FQ20" s="194" t="str">
        <f t="shared" si="33"/>
        <v/>
      </c>
      <c r="FR20" s="172"/>
      <c r="FS20" s="110"/>
      <c r="FT20" s="110"/>
      <c r="FU20" s="110"/>
      <c r="FV20" s="111"/>
      <c r="FW20" s="178" t="str">
        <f>IF(COUNT(FW21)=0,"",SUM(FW21)/COUNT(FW21))</f>
        <v/>
      </c>
      <c r="FX20" s="202" t="str">
        <f t="shared" si="34"/>
        <v/>
      </c>
      <c r="FY20" s="203" t="str">
        <f>IF(COUNT(FY21)=0,"",SUM(FY21)/COUNT(FY21))</f>
        <v/>
      </c>
      <c r="FZ20" s="204" t="str">
        <f t="shared" si="35"/>
        <v/>
      </c>
      <c r="GA20" s="215"/>
      <c r="GB20" s="85"/>
      <c r="GC20" s="105"/>
      <c r="GD20" s="178" t="str">
        <f>IF(COUNT(GD21)=0,"",SUM(GD21)/COUNT(GD21))</f>
        <v/>
      </c>
      <c r="GE20" s="179" t="str">
        <f t="shared" si="36"/>
        <v/>
      </c>
      <c r="GF20" s="226"/>
      <c r="GG20" s="85"/>
      <c r="GH20" s="85"/>
      <c r="GI20" s="105"/>
      <c r="GJ20" s="178" t="str">
        <f>IF(COUNT(GJ21)=0,"",SUM(GJ21)/COUNT(GJ21))</f>
        <v/>
      </c>
      <c r="GK20" s="194" t="str">
        <f t="shared" si="37"/>
        <v/>
      </c>
      <c r="GL20" s="172"/>
      <c r="GM20" s="110"/>
      <c r="GN20" s="110"/>
      <c r="GO20" s="110"/>
      <c r="GP20" s="111"/>
      <c r="GQ20" s="178" t="str">
        <f>IF(COUNT(GQ21)=0,"",SUM(GQ21)/COUNT(GQ21))</f>
        <v/>
      </c>
      <c r="GR20" s="202" t="str">
        <f t="shared" si="38"/>
        <v/>
      </c>
      <c r="GS20" s="203" t="str">
        <f>IF(COUNT(GS21)=0,"",SUM(GS21)/COUNT(GS21))</f>
        <v/>
      </c>
      <c r="GT20" s="204" t="str">
        <f t="shared" si="39"/>
        <v/>
      </c>
      <c r="GU20" s="215"/>
      <c r="GV20" s="85"/>
      <c r="GW20" s="105"/>
      <c r="GX20" s="178" t="str">
        <f>IF(COUNT(GX21)=0,"",SUM(GX21)/COUNT(GX21))</f>
        <v/>
      </c>
      <c r="GY20" s="179" t="str">
        <f t="shared" si="40"/>
        <v/>
      </c>
      <c r="GZ20" s="226"/>
      <c r="HA20" s="85"/>
      <c r="HB20" s="85"/>
      <c r="HC20" s="105"/>
      <c r="HD20" s="178" t="str">
        <f>IF(COUNT(HD21)=0,"",SUM(HD21)/COUNT(HD21))</f>
        <v/>
      </c>
      <c r="HE20" s="194" t="str">
        <f t="shared" si="41"/>
        <v/>
      </c>
      <c r="HF20" s="172"/>
      <c r="HG20" s="110"/>
      <c r="HH20" s="110"/>
      <c r="HI20" s="110"/>
      <c r="HJ20" s="111"/>
      <c r="HK20" s="178" t="str">
        <f>IF(COUNT(HK21)=0,"",SUM(HK21)/COUNT(HK21))</f>
        <v/>
      </c>
      <c r="HL20" s="202" t="str">
        <f t="shared" si="42"/>
        <v/>
      </c>
      <c r="HM20" s="203" t="str">
        <f>IF(COUNT(HM21)=0,"",SUM(HM21)/COUNT(HM21))</f>
        <v/>
      </c>
      <c r="HN20" s="204" t="str">
        <f t="shared" si="43"/>
        <v/>
      </c>
      <c r="HO20" s="215"/>
      <c r="HP20" s="85"/>
      <c r="HQ20" s="105"/>
      <c r="HR20" s="178" t="str">
        <f>IF(COUNT(HR21)=0,"",SUM(HR21)/COUNT(HR21))</f>
        <v/>
      </c>
      <c r="HS20" s="179" t="str">
        <f t="shared" si="44"/>
        <v/>
      </c>
      <c r="HT20" s="226"/>
      <c r="HU20" s="85"/>
      <c r="HV20" s="85"/>
      <c r="HW20" s="105"/>
      <c r="HX20" s="178" t="str">
        <f>IF(COUNT(HX21)=0,"",SUM(HX21)/COUNT(HX21))</f>
        <v/>
      </c>
      <c r="HY20" s="194" t="str">
        <f t="shared" si="45"/>
        <v/>
      </c>
      <c r="HZ20" s="172"/>
      <c r="IA20" s="110"/>
      <c r="IB20" s="110"/>
      <c r="IC20" s="110"/>
      <c r="ID20" s="111"/>
      <c r="IE20" s="178" t="str">
        <f>IF(COUNT(IE21)=0,"",SUM(IE21)/COUNT(IE21))</f>
        <v/>
      </c>
      <c r="IF20" s="202" t="str">
        <f t="shared" si="46"/>
        <v/>
      </c>
      <c r="IG20" s="203" t="str">
        <f>IF(COUNT(IG21)=0,"",SUM(IG21)/COUNT(IG21))</f>
        <v/>
      </c>
      <c r="IH20" s="204" t="str">
        <f t="shared" si="47"/>
        <v/>
      </c>
      <c r="II20" s="215"/>
      <c r="IJ20" s="85"/>
      <c r="IK20" s="105"/>
      <c r="IL20" s="178" t="str">
        <f>IF(COUNT(IL21)=0,"",SUM(IL21)/COUNT(IL21))</f>
        <v/>
      </c>
      <c r="IM20" s="179" t="str">
        <f t="shared" si="48"/>
        <v/>
      </c>
      <c r="IN20" s="226"/>
      <c r="IO20" s="85"/>
      <c r="IP20" s="85"/>
      <c r="IQ20" s="105"/>
      <c r="IR20" s="178" t="str">
        <f>IF(COUNT(IR21)=0,"",SUM(IR21)/COUNT(IR21))</f>
        <v/>
      </c>
      <c r="IS20" s="194" t="str">
        <f t="shared" si="49"/>
        <v/>
      </c>
      <c r="IT20" s="172"/>
      <c r="IU20" s="110"/>
      <c r="IV20" s="110"/>
      <c r="IW20" s="110"/>
      <c r="IX20" s="111"/>
      <c r="IY20" s="178" t="str">
        <f>IF(COUNT(IY21)=0,"",SUM(IY21)/COUNT(IY21))</f>
        <v/>
      </c>
      <c r="IZ20" s="202" t="str">
        <f t="shared" si="50"/>
        <v/>
      </c>
      <c r="JA20" s="203" t="str">
        <f>IF(COUNT(JA21)=0,"",SUM(JA21)/COUNT(JA21))</f>
        <v/>
      </c>
      <c r="JB20" s="204" t="str">
        <f t="shared" si="51"/>
        <v/>
      </c>
      <c r="JC20" s="215"/>
      <c r="JD20" s="85"/>
      <c r="JE20" s="105"/>
      <c r="JF20" s="178" t="str">
        <f>IF(COUNT(JF21)=0,"",SUM(JF21)/COUNT(JF21))</f>
        <v/>
      </c>
      <c r="JG20" s="179" t="str">
        <f t="shared" si="52"/>
        <v/>
      </c>
      <c r="JH20" s="226"/>
      <c r="JI20" s="85"/>
      <c r="JJ20" s="85"/>
      <c r="JK20" s="105"/>
      <c r="JL20" s="178" t="str">
        <f>IF(COUNT(JL21)=0,"",SUM(JL21)/COUNT(JL21))</f>
        <v/>
      </c>
      <c r="JM20" s="194" t="str">
        <f t="shared" si="53"/>
        <v/>
      </c>
      <c r="JN20" s="172"/>
      <c r="JO20" s="110"/>
      <c r="JP20" s="110"/>
      <c r="JQ20" s="110"/>
      <c r="JR20" s="111"/>
      <c r="JS20" s="178" t="str">
        <f>IF(COUNT(JS21)=0,"",SUM(JS21)/COUNT(JS21))</f>
        <v/>
      </c>
      <c r="JT20" s="202" t="str">
        <f t="shared" si="54"/>
        <v/>
      </c>
      <c r="JU20" s="203" t="str">
        <f>IF(COUNT(JU21)=0,"",SUM(JU21)/COUNT(JU21))</f>
        <v/>
      </c>
      <c r="JV20" s="204" t="str">
        <f t="shared" si="55"/>
        <v/>
      </c>
      <c r="JW20" s="215"/>
      <c r="JX20" s="85"/>
      <c r="JY20" s="105"/>
      <c r="JZ20" s="178" t="str">
        <f>IF(COUNT(JZ21)=0,"",SUM(JZ21)/COUNT(JZ21))</f>
        <v/>
      </c>
      <c r="KA20" s="179" t="str">
        <f t="shared" si="56"/>
        <v/>
      </c>
      <c r="KB20" s="226"/>
      <c r="KC20" s="85"/>
      <c r="KD20" s="85"/>
      <c r="KE20" s="105"/>
      <c r="KF20" s="178" t="str">
        <f>IF(COUNT(KF21)=0,"",SUM(KF21)/COUNT(KF21))</f>
        <v/>
      </c>
      <c r="KG20" s="194" t="str">
        <f t="shared" si="57"/>
        <v/>
      </c>
      <c r="KH20" s="172"/>
      <c r="KI20" s="110"/>
      <c r="KJ20" s="110"/>
      <c r="KK20" s="110"/>
      <c r="KL20" s="111"/>
      <c r="KM20" s="178" t="str">
        <f>IF(COUNT(KM21)=0,"",SUM(KM21)/COUNT(KM21))</f>
        <v/>
      </c>
      <c r="KN20" s="202" t="str">
        <f t="shared" si="58"/>
        <v/>
      </c>
      <c r="KO20" s="203" t="str">
        <f>IF(COUNT(KO21)=0,"",SUM(KO21)/COUNT(KO21))</f>
        <v/>
      </c>
      <c r="KP20" s="204" t="str">
        <f t="shared" si="59"/>
        <v/>
      </c>
      <c r="KQ20" s="215"/>
      <c r="KR20" s="85"/>
      <c r="KS20" s="105"/>
      <c r="KT20" s="178" t="str">
        <f>IF(COUNT(KT21)=0,"",SUM(KT21)/COUNT(KT21))</f>
        <v/>
      </c>
      <c r="KU20" s="179" t="str">
        <f t="shared" si="60"/>
        <v/>
      </c>
      <c r="KV20" s="226"/>
      <c r="KW20" s="85"/>
      <c r="KX20" s="85"/>
      <c r="KY20" s="105"/>
      <c r="KZ20" s="178" t="str">
        <f>IF(COUNT(KZ21)=0,"",SUM(KZ21)/COUNT(KZ21))</f>
        <v/>
      </c>
      <c r="LA20" s="194" t="str">
        <f t="shared" si="61"/>
        <v/>
      </c>
      <c r="LB20" s="172"/>
      <c r="LC20" s="110"/>
      <c r="LD20" s="110"/>
      <c r="LE20" s="110"/>
      <c r="LF20" s="111"/>
      <c r="LG20" s="178" t="str">
        <f>IF(COUNT(LG21)=0,"",SUM(LG21)/COUNT(LG21))</f>
        <v/>
      </c>
      <c r="LH20" s="202" t="str">
        <f t="shared" si="62"/>
        <v/>
      </c>
      <c r="LI20" s="203" t="str">
        <f>IF(COUNT(LI21)=0,"",SUM(LI21)/COUNT(LI21))</f>
        <v/>
      </c>
      <c r="LJ20" s="204" t="str">
        <f t="shared" si="63"/>
        <v/>
      </c>
      <c r="LK20" s="215"/>
      <c r="LL20" s="85"/>
      <c r="LM20" s="105"/>
      <c r="LN20" s="178" t="str">
        <f>IF(COUNT(LN21)=0,"",SUM(LN21)/COUNT(LN21))</f>
        <v/>
      </c>
      <c r="LO20" s="179" t="str">
        <f t="shared" si="64"/>
        <v/>
      </c>
      <c r="LP20" s="226"/>
      <c r="LQ20" s="85"/>
      <c r="LR20" s="85"/>
      <c r="LS20" s="105"/>
      <c r="LT20" s="178" t="str">
        <f>IF(COUNT(LT21)=0,"",SUM(LT21)/COUNT(LT21))</f>
        <v/>
      </c>
      <c r="LU20" s="194" t="str">
        <f t="shared" si="65"/>
        <v/>
      </c>
      <c r="LV20" s="172"/>
      <c r="LW20" s="110"/>
      <c r="LX20" s="110"/>
      <c r="LY20" s="110"/>
      <c r="LZ20" s="111"/>
      <c r="MA20" s="178" t="str">
        <f>IF(COUNT(MA21)=0,"",SUM(MA21)/COUNT(MA21))</f>
        <v/>
      </c>
      <c r="MB20" s="202" t="str">
        <f t="shared" si="66"/>
        <v/>
      </c>
      <c r="MC20" s="203" t="str">
        <f>IF(COUNT(MC21)=0,"",SUM(MC21)/COUNT(MC21))</f>
        <v/>
      </c>
      <c r="MD20" s="204" t="str">
        <f t="shared" si="67"/>
        <v/>
      </c>
      <c r="ME20" s="215"/>
      <c r="MF20" s="85"/>
      <c r="MG20" s="105"/>
      <c r="MH20" s="178" t="str">
        <f>IF(COUNT(MH21)=0,"",SUM(MH21)/COUNT(MH21))</f>
        <v/>
      </c>
      <c r="MI20" s="179" t="str">
        <f t="shared" si="68"/>
        <v/>
      </c>
      <c r="MJ20" s="226"/>
      <c r="MK20" s="85"/>
      <c r="ML20" s="85"/>
      <c r="MM20" s="105"/>
      <c r="MN20" s="178" t="str">
        <f>IF(COUNT(MN21)=0,"",SUM(MN21)/COUNT(MN21))</f>
        <v/>
      </c>
      <c r="MO20" s="194" t="str">
        <f t="shared" si="69"/>
        <v/>
      </c>
      <c r="MP20" s="172"/>
      <c r="MQ20" s="110"/>
      <c r="MR20" s="110"/>
      <c r="MS20" s="110"/>
      <c r="MT20" s="111"/>
      <c r="MU20" s="178" t="str">
        <f>IF(COUNT(MU21)=0,"",SUM(MU21)/COUNT(MU21))</f>
        <v/>
      </c>
      <c r="MV20" s="202" t="str">
        <f t="shared" si="70"/>
        <v/>
      </c>
      <c r="MW20" s="203" t="str">
        <f>IF(COUNT(MW21)=0,"",SUM(MW21)/COUNT(MW21))</f>
        <v/>
      </c>
      <c r="MX20" s="204" t="str">
        <f t="shared" si="71"/>
        <v/>
      </c>
      <c r="MY20" s="215"/>
      <c r="MZ20" s="85"/>
      <c r="NA20" s="105"/>
      <c r="NB20" s="178" t="str">
        <f>IF(COUNT(NB21)=0,"",SUM(NB21)/COUNT(NB21))</f>
        <v/>
      </c>
      <c r="NC20" s="179" t="str">
        <f t="shared" si="72"/>
        <v/>
      </c>
      <c r="ND20" s="226"/>
      <c r="NE20" s="85"/>
      <c r="NF20" s="85"/>
      <c r="NG20" s="105"/>
      <c r="NH20" s="178" t="str">
        <f>IF(COUNT(NH21)=0,"",SUM(NH21)/COUNT(NH21))</f>
        <v/>
      </c>
      <c r="NI20" s="194" t="str">
        <f t="shared" si="73"/>
        <v/>
      </c>
      <c r="NJ20" s="172"/>
      <c r="NK20" s="110"/>
      <c r="NL20" s="110"/>
      <c r="NM20" s="110"/>
      <c r="NN20" s="111"/>
      <c r="NO20" s="178" t="str">
        <f>IF(COUNT(NO21)=0,"",SUM(NO21)/COUNT(NO21))</f>
        <v/>
      </c>
      <c r="NP20" s="202" t="str">
        <f t="shared" si="74"/>
        <v/>
      </c>
      <c r="NQ20" s="203" t="str">
        <f>IF(COUNT(NQ21)=0,"",SUM(NQ21)/COUNT(NQ21))</f>
        <v/>
      </c>
      <c r="NR20" s="204" t="str">
        <f t="shared" si="75"/>
        <v/>
      </c>
      <c r="NS20" s="215"/>
      <c r="NT20" s="85"/>
      <c r="NU20" s="105"/>
      <c r="NV20" s="178" t="str">
        <f>IF(COUNT(NV21)=0,"",SUM(NV21)/COUNT(NV21))</f>
        <v/>
      </c>
      <c r="NW20" s="179" t="str">
        <f t="shared" si="76"/>
        <v/>
      </c>
      <c r="NX20" s="226"/>
      <c r="NY20" s="85"/>
      <c r="NZ20" s="85"/>
      <c r="OA20" s="105"/>
      <c r="OB20" s="178" t="str">
        <f>IF(COUNT(OB21)=0,"",SUM(OB21)/COUNT(OB21))</f>
        <v/>
      </c>
      <c r="OC20" s="194" t="str">
        <f t="shared" si="77"/>
        <v/>
      </c>
      <c r="OD20" s="172"/>
      <c r="OE20" s="110"/>
      <c r="OF20" s="110"/>
      <c r="OG20" s="110"/>
      <c r="OH20" s="111"/>
      <c r="OI20" s="178" t="str">
        <f>IF(COUNT(OI21)=0,"",SUM(OI21)/COUNT(OI21))</f>
        <v/>
      </c>
      <c r="OJ20" s="202" t="str">
        <f t="shared" si="78"/>
        <v/>
      </c>
      <c r="OK20" s="203" t="str">
        <f>IF(COUNT(OK21)=0,"",SUM(OK21)/COUNT(OK21))</f>
        <v/>
      </c>
      <c r="OL20" s="204" t="str">
        <f t="shared" si="79"/>
        <v/>
      </c>
      <c r="OM20" s="215"/>
      <c r="ON20" s="85"/>
      <c r="OO20" s="105"/>
      <c r="OP20" s="178" t="str">
        <f>IF(COUNT(OP21)=0,"",SUM(OP21)/COUNT(OP21))</f>
        <v/>
      </c>
      <c r="OQ20" s="179" t="str">
        <f t="shared" si="80"/>
        <v/>
      </c>
      <c r="OR20" s="226"/>
      <c r="OS20" s="85"/>
      <c r="OT20" s="85"/>
      <c r="OU20" s="105"/>
      <c r="OV20" s="178" t="str">
        <f>IF(COUNT(OV21)=0,"",SUM(OV21)/COUNT(OV21))</f>
        <v/>
      </c>
      <c r="OW20" s="194" t="str">
        <f t="shared" si="81"/>
        <v/>
      </c>
      <c r="OX20" s="172"/>
      <c r="OY20" s="110"/>
      <c r="OZ20" s="110"/>
      <c r="PA20" s="110"/>
      <c r="PB20" s="111"/>
      <c r="PC20" s="178" t="str">
        <f>IF(COUNT(PC21)=0,"",SUM(PC21)/COUNT(PC21))</f>
        <v/>
      </c>
      <c r="PD20" s="202" t="str">
        <f t="shared" si="82"/>
        <v/>
      </c>
      <c r="PE20" s="203" t="str">
        <f>IF(COUNT(PE21)=0,"",SUM(PE21)/COUNT(PE21))</f>
        <v/>
      </c>
      <c r="PF20" s="204" t="str">
        <f t="shared" si="83"/>
        <v/>
      </c>
      <c r="PG20" s="215"/>
      <c r="PH20" s="85"/>
      <c r="PI20" s="105"/>
      <c r="PJ20" s="178" t="str">
        <f>IF(COUNT(PJ21)=0,"",SUM(PJ21)/COUNT(PJ21))</f>
        <v/>
      </c>
      <c r="PK20" s="179" t="str">
        <f t="shared" si="84"/>
        <v/>
      </c>
      <c r="PL20" s="226"/>
      <c r="PM20" s="85"/>
      <c r="PN20" s="85"/>
      <c r="PO20" s="105"/>
      <c r="PP20" s="178" t="str">
        <f>IF(COUNT(PP21)=0,"",SUM(PP21)/COUNT(PP21))</f>
        <v/>
      </c>
      <c r="PQ20" s="194" t="str">
        <f t="shared" si="85"/>
        <v/>
      </c>
      <c r="PR20" s="172"/>
      <c r="PS20" s="110"/>
      <c r="PT20" s="110"/>
      <c r="PU20" s="110"/>
      <c r="PV20" s="111"/>
      <c r="PW20" s="178" t="str">
        <f>IF(COUNT(PW21)=0,"",SUM(PW21)/COUNT(PW21))</f>
        <v/>
      </c>
      <c r="PX20" s="202" t="str">
        <f t="shared" si="86"/>
        <v/>
      </c>
      <c r="PY20" s="203" t="str">
        <f>IF(COUNT(PY21)=0,"",SUM(PY21)/COUNT(PY21))</f>
        <v/>
      </c>
      <c r="PZ20" s="204" t="str">
        <f t="shared" si="87"/>
        <v/>
      </c>
      <c r="QA20" s="215"/>
      <c r="QB20" s="85"/>
      <c r="QC20" s="105"/>
      <c r="QD20" s="178" t="str">
        <f>IF(COUNT(QD21)=0,"",SUM(QD21)/COUNT(QD21))</f>
        <v/>
      </c>
      <c r="QE20" s="179" t="str">
        <f t="shared" si="88"/>
        <v/>
      </c>
      <c r="QF20" s="226"/>
      <c r="QG20" s="85"/>
      <c r="QH20" s="85"/>
      <c r="QI20" s="105"/>
      <c r="QJ20" s="178" t="str">
        <f>IF(COUNT(QJ21)=0,"",SUM(QJ21)/COUNT(QJ21))</f>
        <v/>
      </c>
      <c r="QK20" s="194" t="str">
        <f t="shared" si="89"/>
        <v/>
      </c>
      <c r="QL20" s="172"/>
      <c r="QM20" s="110"/>
      <c r="QN20" s="110"/>
      <c r="QO20" s="110"/>
      <c r="QP20" s="111"/>
      <c r="QQ20" s="178" t="str">
        <f>IF(COUNT(QQ21)=0,"",SUM(QQ21)/COUNT(QQ21))</f>
        <v/>
      </c>
      <c r="QR20" s="202" t="str">
        <f t="shared" si="90"/>
        <v/>
      </c>
      <c r="QS20" s="203" t="str">
        <f>IF(COUNT(QS21)=0,"",SUM(QS21)/COUNT(QS21))</f>
        <v/>
      </c>
      <c r="QT20" s="204" t="str">
        <f t="shared" si="91"/>
        <v/>
      </c>
      <c r="QU20" s="215"/>
      <c r="QV20" s="85"/>
      <c r="QW20" s="105"/>
      <c r="QX20" s="178" t="str">
        <f>IF(COUNT(QX21)=0,"",SUM(QX21)/COUNT(QX21))</f>
        <v/>
      </c>
      <c r="QY20" s="179" t="str">
        <f t="shared" si="92"/>
        <v/>
      </c>
      <c r="QZ20" s="226"/>
      <c r="RA20" s="85"/>
      <c r="RB20" s="85"/>
      <c r="RC20" s="105"/>
      <c r="RD20" s="178" t="str">
        <f>IF(COUNT(RD21)=0,"",SUM(RD21)/COUNT(RD21))</f>
        <v/>
      </c>
      <c r="RE20" s="194" t="str">
        <f t="shared" si="93"/>
        <v/>
      </c>
      <c r="RF20" s="172"/>
      <c r="RG20" s="110"/>
      <c r="RH20" s="110"/>
      <c r="RI20" s="110"/>
      <c r="RJ20" s="111"/>
      <c r="RK20" s="178" t="str">
        <f>IF(COUNT(RK21)=0,"",SUM(RK21)/COUNT(RK21))</f>
        <v/>
      </c>
      <c r="RL20" s="202" t="str">
        <f t="shared" si="94"/>
        <v/>
      </c>
      <c r="RM20" s="203" t="str">
        <f>IF(COUNT(RM21)=0,"",SUM(RM21)/COUNT(RM21))</f>
        <v/>
      </c>
      <c r="RN20" s="204" t="str">
        <f t="shared" si="95"/>
        <v/>
      </c>
      <c r="RO20" s="215"/>
      <c r="RP20" s="85"/>
      <c r="RQ20" s="105"/>
      <c r="RR20" s="178" t="str">
        <f>IF(COUNT(RR21)=0,"",SUM(RR21)/COUNT(RR21))</f>
        <v/>
      </c>
      <c r="RS20" s="179" t="str">
        <f t="shared" si="96"/>
        <v/>
      </c>
      <c r="RT20" s="226"/>
      <c r="RU20" s="85"/>
      <c r="RV20" s="85"/>
      <c r="RW20" s="105"/>
      <c r="RX20" s="178" t="str">
        <f>IF(COUNT(RX21)=0,"",SUM(RX21)/COUNT(RX21))</f>
        <v/>
      </c>
      <c r="RY20" s="194" t="str">
        <f t="shared" si="97"/>
        <v/>
      </c>
      <c r="RZ20" s="172"/>
      <c r="SA20" s="110"/>
      <c r="SB20" s="110"/>
      <c r="SC20" s="110"/>
      <c r="SD20" s="111"/>
      <c r="SE20" s="178" t="str">
        <f>IF(COUNT(SE21)=0,"",SUM(SE21)/COUNT(SE21))</f>
        <v/>
      </c>
      <c r="SF20" s="202" t="str">
        <f t="shared" si="98"/>
        <v/>
      </c>
      <c r="SG20" s="203" t="str">
        <f>IF(COUNT(SG21)=0,"",SUM(SG21)/COUNT(SG21))</f>
        <v/>
      </c>
      <c r="SH20" s="204" t="str">
        <f t="shared" si="99"/>
        <v/>
      </c>
      <c r="SI20" s="215"/>
      <c r="SJ20" s="85"/>
      <c r="SK20" s="105"/>
      <c r="SL20" s="178" t="str">
        <f>IF(COUNT(SL21)=0,"",SUM(SL21)/COUNT(SL21))</f>
        <v/>
      </c>
      <c r="SM20" s="179" t="str">
        <f t="shared" si="100"/>
        <v/>
      </c>
      <c r="SN20" s="226"/>
      <c r="SO20" s="85"/>
      <c r="SP20" s="85"/>
      <c r="SQ20" s="105"/>
      <c r="SR20" s="178" t="str">
        <f>IF(COUNT(SR21)=0,"",SUM(SR21)/COUNT(SR21))</f>
        <v/>
      </c>
      <c r="SS20" s="194" t="str">
        <f t="shared" si="101"/>
        <v/>
      </c>
      <c r="ST20" s="172"/>
      <c r="SU20" s="110"/>
      <c r="SV20" s="110"/>
      <c r="SW20" s="110"/>
      <c r="SX20" s="111"/>
      <c r="SY20" s="178" t="str">
        <f>IF(COUNT(SY21)=0,"",SUM(SY21)/COUNT(SY21))</f>
        <v/>
      </c>
      <c r="SZ20" s="202" t="str">
        <f t="shared" si="102"/>
        <v/>
      </c>
      <c r="TA20" s="203" t="str">
        <f>IF(COUNT(TA21)=0,"",SUM(TA21)/COUNT(TA21))</f>
        <v/>
      </c>
      <c r="TB20" s="204" t="str">
        <f t="shared" si="103"/>
        <v/>
      </c>
      <c r="TC20" s="215"/>
      <c r="TD20" s="85"/>
      <c r="TE20" s="105"/>
      <c r="TF20" s="178" t="str">
        <f>IF(COUNT(TF21)=0,"",SUM(TF21)/COUNT(TF21))</f>
        <v/>
      </c>
      <c r="TG20" s="179" t="str">
        <f t="shared" si="104"/>
        <v/>
      </c>
      <c r="TH20" s="226"/>
      <c r="TI20" s="85"/>
      <c r="TJ20" s="85"/>
      <c r="TK20" s="105"/>
      <c r="TL20" s="178" t="str">
        <f>IF(COUNT(TL21)=0,"",SUM(TL21)/COUNT(TL21))</f>
        <v/>
      </c>
      <c r="TM20" s="194" t="str">
        <f t="shared" si="105"/>
        <v/>
      </c>
      <c r="TN20" s="172"/>
      <c r="TO20" s="110"/>
      <c r="TP20" s="110"/>
      <c r="TQ20" s="110"/>
      <c r="TR20" s="111"/>
      <c r="TS20" s="178" t="str">
        <f>IF(COUNT(TS21)=0,"",SUM(TS21)/COUNT(TS21))</f>
        <v/>
      </c>
      <c r="TT20" s="202" t="str">
        <f t="shared" si="106"/>
        <v/>
      </c>
      <c r="TU20" s="203" t="str">
        <f>IF(COUNT(TU21)=0,"",SUM(TU21)/COUNT(TU21))</f>
        <v/>
      </c>
      <c r="TV20" s="204" t="str">
        <f t="shared" si="107"/>
        <v/>
      </c>
      <c r="TW20" s="141"/>
      <c r="TX20" s="85"/>
      <c r="TY20" s="105"/>
      <c r="TZ20" s="106" t="str">
        <f>IF(COUNT(TZ21)=0,"",SUM(TZ21)/COUNT(TZ21))</f>
        <v/>
      </c>
      <c r="UA20" s="107" t="str">
        <f t="shared" si="108"/>
        <v/>
      </c>
      <c r="UB20" s="104"/>
      <c r="UC20" s="85"/>
      <c r="UD20" s="105"/>
      <c r="UE20" s="106" t="str">
        <f>IF(COUNT(UE21)=0,"",SUM(UE21)/COUNT(UE21))</f>
        <v/>
      </c>
      <c r="UF20" s="108" t="str">
        <f t="shared" si="109"/>
        <v/>
      </c>
      <c r="UG20" s="109"/>
      <c r="UH20" s="110"/>
      <c r="UI20" s="111"/>
      <c r="UJ20" s="106" t="str">
        <f>IF(COUNT(UJ21)=0,"",SUM(UJ21)/COUNT(UJ21))</f>
        <v/>
      </c>
      <c r="UK20" s="112" t="str">
        <f t="shared" si="110"/>
        <v/>
      </c>
      <c r="UL20" s="113" t="str">
        <f>IF(COUNT(UL21)=0,"",SUM(UL21)/COUNT(UL21))</f>
        <v/>
      </c>
      <c r="UM20" s="114" t="str">
        <f t="shared" si="111"/>
        <v/>
      </c>
      <c r="UN20" s="141"/>
      <c r="UO20" s="85"/>
      <c r="UP20" s="105"/>
      <c r="UQ20" s="106" t="str">
        <f>IF(COUNT(UQ21)=0,"",SUM(UQ21)/COUNT(UQ21))</f>
        <v/>
      </c>
      <c r="UR20" s="107" t="str">
        <f t="shared" si="112"/>
        <v/>
      </c>
      <c r="US20" s="104"/>
      <c r="UT20" s="85"/>
      <c r="UU20" s="105"/>
      <c r="UV20" s="106" t="str">
        <f>IF(COUNT(UV21)=0,"",SUM(UV21)/COUNT(UV21))</f>
        <v/>
      </c>
      <c r="UW20" s="108" t="str">
        <f t="shared" si="113"/>
        <v/>
      </c>
      <c r="UX20" s="109"/>
      <c r="UY20" s="110"/>
      <c r="UZ20" s="111"/>
      <c r="VA20" s="106" t="str">
        <f>IF(COUNT(VA21)=0,"",SUM(VA21)/COUNT(VA21))</f>
        <v/>
      </c>
      <c r="VB20" s="112" t="str">
        <f t="shared" si="114"/>
        <v/>
      </c>
      <c r="VC20" s="113" t="str">
        <f>IF(COUNT(VC21)=0,"",SUM(VC21)/COUNT(VC21))</f>
        <v/>
      </c>
      <c r="VD20" s="114" t="str">
        <f t="shared" si="115"/>
        <v/>
      </c>
      <c r="VE20" s="141"/>
      <c r="VF20" s="85"/>
      <c r="VG20" s="105"/>
      <c r="VH20" s="106" t="str">
        <f>IF(COUNT(VH21)=0,"",SUM(VH21)/COUNT(VH21))</f>
        <v/>
      </c>
      <c r="VI20" s="107" t="str">
        <f t="shared" si="116"/>
        <v/>
      </c>
      <c r="VJ20" s="104"/>
      <c r="VK20" s="85"/>
      <c r="VL20" s="105"/>
      <c r="VM20" s="106" t="str">
        <f>IF(COUNT(VM21)=0,"",SUM(VM21)/COUNT(VM21))</f>
        <v/>
      </c>
      <c r="VN20" s="108" t="str">
        <f t="shared" si="117"/>
        <v/>
      </c>
      <c r="VO20" s="109"/>
      <c r="VP20" s="110"/>
      <c r="VQ20" s="111"/>
      <c r="VR20" s="106" t="str">
        <f>IF(COUNT(VR21)=0,"",SUM(VR21)/COUNT(VR21))</f>
        <v/>
      </c>
      <c r="VS20" s="112" t="str">
        <f t="shared" si="118"/>
        <v/>
      </c>
      <c r="VT20" s="113" t="str">
        <f>IF(COUNT(VT21)=0,"",SUM(VT21)/COUNT(VT21))</f>
        <v/>
      </c>
      <c r="VU20" s="114" t="str">
        <f t="shared" si="119"/>
        <v/>
      </c>
    </row>
    <row r="21" spans="1:593" ht="18" customHeight="1" thickBot="1" x14ac:dyDescent="0.6">
      <c r="A21" s="252" t="s">
        <v>27</v>
      </c>
      <c r="B21" s="253"/>
      <c r="C21" s="144"/>
      <c r="D21" s="145"/>
      <c r="E21" s="146"/>
      <c r="F21" s="186" t="str">
        <f>IFERROR((((COUNTIF('Elève (4ème2)'!C21:E21,"A"))*4)+((COUNTIF('Elève (4ème2)'!C21:E21,"B"))*3)+((COUNTIF('Elève (4ème2)'!C21:E21,"C"))*2)+((COUNTIF('Elève (4ème2)'!C21:E21,"D"))*1))/(COUNTA(C21:E21)),"")</f>
        <v/>
      </c>
      <c r="G21" s="187" t="str">
        <f t="shared" si="0"/>
        <v/>
      </c>
      <c r="H21" s="144"/>
      <c r="I21" s="145"/>
      <c r="J21" s="146"/>
      <c r="K21" s="146"/>
      <c r="L21" s="186" t="str">
        <f>IFERROR((((COUNTIF('Elève (4ème2)'!H21:K21,"A"))*4)+((COUNTIF('Elève (4ème2)'!H21:K21,"B"))*3)+((COUNTIF('Elève (4ème2)'!H21:K21,"C"))*2)+((COUNTIF('Elève (4ème2)'!H21:K21,"D"))*1))/(COUNTA(H21:K21)),"")</f>
        <v/>
      </c>
      <c r="M21" s="187" t="str">
        <f t="shared" si="1"/>
        <v/>
      </c>
      <c r="N21" s="144"/>
      <c r="O21" s="220"/>
      <c r="P21" s="220"/>
      <c r="Q21" s="220"/>
      <c r="R21" s="146"/>
      <c r="S21" s="186" t="str">
        <f>IFERROR((((COUNTIF('Elève (4ème2)'!N21:R21,"A"))*4)+((COUNTIF('Elève (4ème2)'!N21:R21,"B"))*3)+((COUNTIF('Elève (4ème2)'!N21:R21,"C"))*2)+((COUNTIF('Elève (4ème2)'!N21:R21,"D"))*1))/(COUNTA(N21:R21)),"")</f>
        <v/>
      </c>
      <c r="T21" s="187" t="str">
        <f t="shared" si="2"/>
        <v/>
      </c>
      <c r="U21" s="186" t="str">
        <f>IF(COUNT(F21,L21,S21)=0,"",SUM(F21,L21,S21)/COUNT(F21,L21,S21))</f>
        <v/>
      </c>
      <c r="V21" s="211" t="str">
        <f t="shared" si="3"/>
        <v/>
      </c>
      <c r="W21" s="144"/>
      <c r="X21" s="145"/>
      <c r="Y21" s="146"/>
      <c r="Z21" s="186" t="str">
        <f>IFERROR((((COUNTIF('Elève (4ème2)'!W21:Y21,"A"))*4)+((COUNTIF('Elève (4ème2)'!W21:Y21,"B"))*3)+((COUNTIF('Elève (4ème2)'!W21:Y21,"C"))*2)+((COUNTIF('Elève (4ème2)'!W21:Y21,"D"))*1))/(COUNTA(W21:Y21)),"")</f>
        <v/>
      </c>
      <c r="AA21" s="187" t="str">
        <f t="shared" si="4"/>
        <v/>
      </c>
      <c r="AB21" s="144"/>
      <c r="AC21" s="145"/>
      <c r="AD21" s="146"/>
      <c r="AE21" s="146"/>
      <c r="AF21" s="186" t="str">
        <f>IFERROR((((COUNTIF('Elève (4ème2)'!AB21:AE21,"A"))*4)+((COUNTIF('Elève (4ème2)'!AB21:AE21,"B"))*3)+((COUNTIF('Elève (4ème2)'!AB21:AE21,"C"))*2)+((COUNTIF('Elève (4ème2)'!AB21:AE21,"D"))*1))/(COUNTA(AB21:AE21)),"")</f>
        <v/>
      </c>
      <c r="AG21" s="187" t="str">
        <f t="shared" si="5"/>
        <v/>
      </c>
      <c r="AH21" s="144"/>
      <c r="AI21" s="220"/>
      <c r="AJ21" s="220"/>
      <c r="AK21" s="220"/>
      <c r="AL21" s="150"/>
      <c r="AM21" s="186" t="str">
        <f>IFERROR((((COUNTIF('Elève (4ème2)'!AH21:AL21,"A"))*4)+((COUNTIF('Elève (4ème2)'!AH21:AL21,"B"))*3)+((COUNTIF('Elève (4ème2)'!AH21:AL21,"C"))*2)+((COUNTIF('Elève (4ème2)'!AH21:AL21,"D"))*1))/(COUNTA(AH21:AL21)),"")</f>
        <v/>
      </c>
      <c r="AN21" s="187" t="str">
        <f t="shared" si="6"/>
        <v/>
      </c>
      <c r="AO21" s="186" t="str">
        <f>IF(COUNT(Z21,AF21,AM21)=0,"",SUM(Z21,AF21,AM21)/COUNT(Z21,AF21,AM21))</f>
        <v/>
      </c>
      <c r="AP21" s="211" t="str">
        <f t="shared" si="7"/>
        <v/>
      </c>
      <c r="AQ21" s="144"/>
      <c r="AR21" s="145"/>
      <c r="AS21" s="146"/>
      <c r="AT21" s="186" t="str">
        <f>IFERROR((((COUNTIF('Elève (4ème2)'!AQ21:AS21,"A"))*4)+((COUNTIF('Elève (4ème2)'!AQ21:AS21,"B"))*3)+((COUNTIF('Elève (4ème2)'!AQ21:AS21,"C"))*2)+((COUNTIF('Elève (4ème2)'!AQ21:AS21,"D"))*1))/(COUNTA(AQ21:AS21)),"")</f>
        <v/>
      </c>
      <c r="AU21" s="187" t="str">
        <f t="shared" si="8"/>
        <v/>
      </c>
      <c r="AV21" s="144"/>
      <c r="AW21" s="145"/>
      <c r="AX21" s="146"/>
      <c r="AY21" s="146"/>
      <c r="AZ21" s="186" t="str">
        <f>IFERROR((((COUNTIF('Elève (4ème2)'!AV21:AY21,"A"))*4)+((COUNTIF('Elève (4ème2)'!AV21:AY21,"B"))*3)+((COUNTIF('Elève (4ème2)'!AV21:AY21,"C"))*2)+((COUNTIF('Elève (4ème2)'!AV21:AY21,"D"))*1))/(COUNTA(AV21:AY21)),"")</f>
        <v/>
      </c>
      <c r="BA21" s="187" t="str">
        <f t="shared" si="9"/>
        <v/>
      </c>
      <c r="BB21" s="144"/>
      <c r="BC21" s="220"/>
      <c r="BD21" s="220"/>
      <c r="BE21" s="220"/>
      <c r="BF21" s="150"/>
      <c r="BG21" s="186" t="str">
        <f>IFERROR((((COUNTIF('Elève (4ème2)'!BB21:BF21,"A"))*4)+((COUNTIF('Elève (4ème2)'!BB21:BF21,"B"))*3)+((COUNTIF('Elève (4ème2)'!BB21:BF21,"C"))*2)+((COUNTIF('Elève (4ème2)'!BB21:BF21,"D"))*1))/(COUNTA(BB21:BF21)),"")</f>
        <v/>
      </c>
      <c r="BH21" s="187" t="str">
        <f t="shared" si="10"/>
        <v/>
      </c>
      <c r="BI21" s="186" t="str">
        <f>IF(COUNT(AT21,AZ21,BG21)=0,"",SUM(AT21,AZ21,BG21)/COUNT(AT21,AZ21,BG21))</f>
        <v/>
      </c>
      <c r="BJ21" s="211" t="str">
        <f t="shared" si="11"/>
        <v/>
      </c>
      <c r="BK21" s="144"/>
      <c r="BL21" s="145"/>
      <c r="BM21" s="146"/>
      <c r="BN21" s="186" t="str">
        <f>IFERROR((((COUNTIF('Elève (4ème2)'!BK21:BM21,"A"))*4)+((COUNTIF('Elève (4ème2)'!BK21:BM21,"B"))*3)+((COUNTIF('Elève (4ème2)'!BK21:BM21,"C"))*2)+((COUNTIF('Elève (4ème2)'!BK21:BM21,"D"))*1))/(COUNTA(BK21:BM21)),"")</f>
        <v/>
      </c>
      <c r="BO21" s="187" t="str">
        <f t="shared" si="12"/>
        <v/>
      </c>
      <c r="BP21" s="144"/>
      <c r="BQ21" s="145"/>
      <c r="BR21" s="146"/>
      <c r="BS21" s="146"/>
      <c r="BT21" s="186" t="str">
        <f>IFERROR((((COUNTIF('Elève (4ème2)'!BP21:BS21,"A"))*4)+((COUNTIF('Elève (4ème2)'!BP21:BS21,"B"))*3)+((COUNTIF('Elève (4ème2)'!BP21:BS21,"C"))*2)+((COUNTIF('Elève (4ème2)'!BP21:BS21,"D"))*1))/(COUNTA(BP21:BS21)),"")</f>
        <v/>
      </c>
      <c r="BU21" s="187" t="str">
        <f t="shared" si="13"/>
        <v/>
      </c>
      <c r="BV21" s="144"/>
      <c r="BW21" s="220"/>
      <c r="BX21" s="220"/>
      <c r="BY21" s="220"/>
      <c r="BZ21" s="150"/>
      <c r="CA21" s="186" t="str">
        <f>IFERROR((((COUNTIF('Elève (4ème2)'!BV21:BZ21,"A"))*4)+((COUNTIF('Elève (4ème2)'!BV21:BZ21,"B"))*3)+((COUNTIF('Elève (4ème2)'!BV21:BZ21,"C"))*2)+((COUNTIF('Elève (4ème2)'!BV21:BZ21,"D"))*1))/(COUNTA(BV21:BZ21)),"")</f>
        <v/>
      </c>
      <c r="CB21" s="187" t="str">
        <f t="shared" si="14"/>
        <v/>
      </c>
      <c r="CC21" s="186" t="str">
        <f>IF(COUNT(BN21,BT21,CA21)=0,"",SUM(BN21,BT21,CA21)/COUNT(BN21,BT21,CA21))</f>
        <v/>
      </c>
      <c r="CD21" s="211" t="str">
        <f t="shared" si="15"/>
        <v/>
      </c>
      <c r="CE21" s="144"/>
      <c r="CF21" s="145"/>
      <c r="CG21" s="146"/>
      <c r="CH21" s="186" t="str">
        <f>IFERROR((((COUNTIF('Elève (4ème2)'!CE21:CG21,"A"))*4)+((COUNTIF('Elève (4ème2)'!CE21:CG21,"B"))*3)+((COUNTIF('Elève (4ème2)'!CE21:CG21,"C"))*2)+((COUNTIF('Elève (4ème2)'!CE21:CG21,"D"))*1))/(COUNTA(CE21:CG21)),"")</f>
        <v/>
      </c>
      <c r="CI21" s="187" t="str">
        <f t="shared" si="16"/>
        <v/>
      </c>
      <c r="CJ21" s="144"/>
      <c r="CK21" s="145"/>
      <c r="CL21" s="146"/>
      <c r="CM21" s="146"/>
      <c r="CN21" s="186" t="str">
        <f>IFERROR((((COUNTIF('Elève (4ème2)'!CJ21:CM21,"A"))*4)+((COUNTIF('Elève (4ème2)'!CJ21:CM21,"B"))*3)+((COUNTIF('Elève (4ème2)'!CJ21:CM21,"C"))*2)+((COUNTIF('Elève (4ème2)'!CJ21:CM21,"D"))*1))/(COUNTA(CJ21:CM21)),"")</f>
        <v/>
      </c>
      <c r="CO21" s="187" t="str">
        <f t="shared" si="17"/>
        <v/>
      </c>
      <c r="CP21" s="144"/>
      <c r="CQ21" s="220"/>
      <c r="CR21" s="220"/>
      <c r="CS21" s="220"/>
      <c r="CT21" s="150"/>
      <c r="CU21" s="186" t="str">
        <f>IFERROR((((COUNTIF('Elève (4ème2)'!CP21:CT21,"A"))*4)+((COUNTIF('Elève (4ème2)'!CP21:CT21,"B"))*3)+((COUNTIF('Elève (4ème2)'!CP21:CT21,"C"))*2)+((COUNTIF('Elève (4ème2)'!CP21:CT21,"D"))*1))/(COUNTA(CP21:CT21)),"")</f>
        <v/>
      </c>
      <c r="CV21" s="187" t="str">
        <f t="shared" si="18"/>
        <v/>
      </c>
      <c r="CW21" s="186" t="str">
        <f>IF(COUNT(CH21,CN21,CU21)=0,"",SUM(CH21,CN21,CU21)/COUNT(CH21,CN21,CU21))</f>
        <v/>
      </c>
      <c r="CX21" s="211" t="str">
        <f t="shared" si="19"/>
        <v/>
      </c>
      <c r="CY21" s="144"/>
      <c r="CZ21" s="145"/>
      <c r="DA21" s="146"/>
      <c r="DB21" s="186" t="str">
        <f>IFERROR((((COUNTIF('Elève (4ème2)'!CY21:DA21,"A"))*4)+((COUNTIF('Elève (4ème2)'!CY21:DA21,"B"))*3)+((COUNTIF('Elève (4ème2)'!CY21:DA21,"C"))*2)+((COUNTIF('Elève (4ème2)'!CY21:DA21,"D"))*1))/(COUNTA(CY21:DA21)),"")</f>
        <v/>
      </c>
      <c r="DC21" s="187" t="str">
        <f t="shared" si="20"/>
        <v/>
      </c>
      <c r="DD21" s="144"/>
      <c r="DE21" s="145"/>
      <c r="DF21" s="146"/>
      <c r="DG21" s="146"/>
      <c r="DH21" s="186" t="str">
        <f>IFERROR((((COUNTIF('Elève (4ème2)'!DD21:DG21,"A"))*4)+((COUNTIF('Elève (4ème2)'!DD21:DG21,"B"))*3)+((COUNTIF('Elève (4ème2)'!DD21:DG21,"C"))*2)+((COUNTIF('Elève (4ème2)'!DD21:DG21,"D"))*1))/(COUNTA(DD21:DG21)),"")</f>
        <v/>
      </c>
      <c r="DI21" s="187" t="str">
        <f t="shared" si="21"/>
        <v/>
      </c>
      <c r="DJ21" s="144"/>
      <c r="DK21" s="220"/>
      <c r="DL21" s="220"/>
      <c r="DM21" s="220"/>
      <c r="DN21" s="150"/>
      <c r="DO21" s="186" t="str">
        <f>IFERROR((((COUNTIF('Elève (4ème2)'!DJ21:DN21,"A"))*4)+((COUNTIF('Elève (4ème2)'!DJ21:DN21,"B"))*3)+((COUNTIF('Elève (4ème2)'!DJ21:DN21,"C"))*2)+((COUNTIF('Elève (4ème2)'!DJ21:DN21,"D"))*1))/(COUNTA(DJ21:DN21)),"")</f>
        <v/>
      </c>
      <c r="DP21" s="187" t="str">
        <f t="shared" si="22"/>
        <v/>
      </c>
      <c r="DQ21" s="186" t="str">
        <f>IF(COUNT(DB21,DH21,DO21)=0,"",SUM(DB21,DH21,DO21)/COUNT(DB21,DH21,DO21))</f>
        <v/>
      </c>
      <c r="DR21" s="211" t="str">
        <f t="shared" si="23"/>
        <v/>
      </c>
      <c r="DS21" s="144"/>
      <c r="DT21" s="145"/>
      <c r="DU21" s="146"/>
      <c r="DV21" s="186" t="str">
        <f>IFERROR((((COUNTIF('Elève (4ème2)'!DS21:DU21,"A"))*4)+((COUNTIF('Elève (4ème2)'!DS21:DU21,"B"))*3)+((COUNTIF('Elève (4ème2)'!DS21:DU21,"C"))*2)+((COUNTIF('Elève (4ème2)'!DS21:DU21,"D"))*1))/(COUNTA(DS21:DU21)),"")</f>
        <v/>
      </c>
      <c r="DW21" s="187" t="str">
        <f t="shared" si="24"/>
        <v/>
      </c>
      <c r="DX21" s="144"/>
      <c r="DY21" s="145"/>
      <c r="DZ21" s="146"/>
      <c r="EA21" s="146"/>
      <c r="EB21" s="186" t="str">
        <f>IFERROR((((COUNTIF('Elève (4ème2)'!DX21:EA21,"A"))*4)+((COUNTIF('Elève (4ème2)'!DX21:EA21,"B"))*3)+((COUNTIF('Elève (4ème2)'!DX21:EA21,"C"))*2)+((COUNTIF('Elève (4ème2)'!DX21:EA21,"D"))*1))/(COUNTA(DX21:EA21)),"")</f>
        <v/>
      </c>
      <c r="EC21" s="187" t="str">
        <f t="shared" si="25"/>
        <v/>
      </c>
      <c r="ED21" s="144"/>
      <c r="EE21" s="220"/>
      <c r="EF21" s="220"/>
      <c r="EG21" s="220"/>
      <c r="EH21" s="150"/>
      <c r="EI21" s="186" t="str">
        <f>IFERROR((((COUNTIF('Elève (4ème2)'!ED21:EH21,"A"))*4)+((COUNTIF('Elève (4ème2)'!ED21:EH21,"B"))*3)+((COUNTIF('Elève (4ème2)'!ED21:EH21,"C"))*2)+((COUNTIF('Elève (4ème2)'!ED21:EH21,"D"))*1))/(COUNTA(ED21:EH21)),"")</f>
        <v/>
      </c>
      <c r="EJ21" s="187" t="str">
        <f t="shared" si="26"/>
        <v/>
      </c>
      <c r="EK21" s="186" t="str">
        <f>IF(COUNT(DV21,EB21,EI21)=0,"",SUM(DV21,EB21,EI21)/COUNT(DV21,EB21,EI21))</f>
        <v/>
      </c>
      <c r="EL21" s="211" t="str">
        <f t="shared" si="27"/>
        <v/>
      </c>
      <c r="EM21" s="144"/>
      <c r="EN21" s="145"/>
      <c r="EO21" s="146"/>
      <c r="EP21" s="186" t="str">
        <f>IFERROR((((COUNTIF('Elève (4ème2)'!EM21:EO21,"A"))*4)+((COUNTIF('Elève (4ème2)'!EM21:EO21,"B"))*3)+((COUNTIF('Elève (4ème2)'!EM21:EO21,"C"))*2)+((COUNTIF('Elève (4ème2)'!EM21:EO21,"D"))*1))/(COUNTA(EM21:EO21)),"")</f>
        <v/>
      </c>
      <c r="EQ21" s="187" t="str">
        <f t="shared" si="28"/>
        <v/>
      </c>
      <c r="ER21" s="144"/>
      <c r="ES21" s="145"/>
      <c r="ET21" s="146"/>
      <c r="EU21" s="146"/>
      <c r="EV21" s="186" t="str">
        <f>IFERROR((((COUNTIF('Elève (4ème2)'!ER21:EU21,"A"))*4)+((COUNTIF('Elève (4ème2)'!ER21:EU21,"B"))*3)+((COUNTIF('Elève (4ème2)'!ER21:EU21,"C"))*2)+((COUNTIF('Elève (4ème2)'!ER21:EU21,"D"))*1))/(COUNTA(ER21:EU21)),"")</f>
        <v/>
      </c>
      <c r="EW21" s="187" t="str">
        <f t="shared" si="29"/>
        <v/>
      </c>
      <c r="EX21" s="144"/>
      <c r="EY21" s="220"/>
      <c r="EZ21" s="220"/>
      <c r="FA21" s="220"/>
      <c r="FB21" s="150"/>
      <c r="FC21" s="186" t="str">
        <f>IFERROR((((COUNTIF('Elève (4ème2)'!EX21:FB21,"A"))*4)+((COUNTIF('Elève (4ème2)'!EX21:FB21,"B"))*3)+((COUNTIF('Elève (4ème2)'!EX21:FB21,"C"))*2)+((COUNTIF('Elève (4ème2)'!EX21:FB21,"D"))*1))/(COUNTA(EX21:FB21)),"")</f>
        <v/>
      </c>
      <c r="FD21" s="187" t="str">
        <f t="shared" si="30"/>
        <v/>
      </c>
      <c r="FE21" s="186" t="str">
        <f>IF(COUNT(EP21,EV21,FC21)=0,"",SUM(EP21,EV21,FC21)/COUNT(EP21,EV21,FC21))</f>
        <v/>
      </c>
      <c r="FF21" s="211" t="str">
        <f t="shared" si="31"/>
        <v/>
      </c>
      <c r="FG21" s="144"/>
      <c r="FH21" s="145"/>
      <c r="FI21" s="146"/>
      <c r="FJ21" s="186" t="str">
        <f>IFERROR((((COUNTIF('Elève (4ème2)'!FG21:FI21,"A"))*4)+((COUNTIF('Elève (4ème2)'!FG21:FI21,"B"))*3)+((COUNTIF('Elève (4ème2)'!FG21:FI21,"C"))*2)+((COUNTIF('Elève (4ème2)'!FG21:FI21,"D"))*1))/(COUNTA(FG21:FI21)),"")</f>
        <v/>
      </c>
      <c r="FK21" s="187" t="str">
        <f t="shared" si="32"/>
        <v/>
      </c>
      <c r="FL21" s="144"/>
      <c r="FM21" s="145"/>
      <c r="FN21" s="146"/>
      <c r="FO21" s="146"/>
      <c r="FP21" s="186" t="str">
        <f>IFERROR((((COUNTIF('Elève (4ème2)'!FL21:FO21,"A"))*4)+((COUNTIF('Elève (4ème2)'!FL21:FO21,"B"))*3)+((COUNTIF('Elève (4ème2)'!FL21:FO21,"C"))*2)+((COUNTIF('Elève (4ème2)'!FL21:FO21,"D"))*1))/(COUNTA(FL21:FO21)),"")</f>
        <v/>
      </c>
      <c r="FQ21" s="187" t="str">
        <f t="shared" si="33"/>
        <v/>
      </c>
      <c r="FR21" s="144"/>
      <c r="FS21" s="220"/>
      <c r="FT21" s="220"/>
      <c r="FU21" s="220"/>
      <c r="FV21" s="150"/>
      <c r="FW21" s="186" t="str">
        <f>IFERROR((((COUNTIF('Elève (4ème2)'!FR21:FV21,"A"))*4)+((COUNTIF('Elève (4ème2)'!FR21:FV21,"B"))*3)+((COUNTIF('Elève (4ème2)'!FR21:FV21,"C"))*2)+((COUNTIF('Elève (4ème2)'!FR21:FV21,"D"))*1))/(COUNTA(FR21:FV21)),"")</f>
        <v/>
      </c>
      <c r="FX21" s="187" t="str">
        <f t="shared" si="34"/>
        <v/>
      </c>
      <c r="FY21" s="186" t="str">
        <f>IF(COUNT(FJ21,FP21,FW21)=0,"",SUM(FJ21,FP21,FW21)/COUNT(FJ21,FP21,FW21))</f>
        <v/>
      </c>
      <c r="FZ21" s="211" t="str">
        <f t="shared" si="35"/>
        <v/>
      </c>
      <c r="GA21" s="144"/>
      <c r="GB21" s="145"/>
      <c r="GC21" s="146"/>
      <c r="GD21" s="186" t="str">
        <f>IFERROR((((COUNTIF('Elève (4ème2)'!GA21:GC21,"A"))*4)+((COUNTIF('Elève (4ème2)'!GA21:GC21,"B"))*3)+((COUNTIF('Elève (4ème2)'!GA21:GC21,"C"))*2)+((COUNTIF('Elève (4ème2)'!GA21:GC21,"D"))*1))/(COUNTA(GA21:GC21)),"")</f>
        <v/>
      </c>
      <c r="GE21" s="187" t="str">
        <f t="shared" si="36"/>
        <v/>
      </c>
      <c r="GF21" s="144"/>
      <c r="GG21" s="145"/>
      <c r="GH21" s="146"/>
      <c r="GI21" s="146"/>
      <c r="GJ21" s="186" t="str">
        <f>IFERROR((((COUNTIF('Elève (4ème2)'!GF21:GI21,"A"))*4)+((COUNTIF('Elève (4ème2)'!GF21:GI21,"B"))*3)+((COUNTIF('Elève (4ème2)'!GF21:GI21,"C"))*2)+((COUNTIF('Elève (4ème2)'!GF21:GI21,"D"))*1))/(COUNTA(GF21:GI21)),"")</f>
        <v/>
      </c>
      <c r="GK21" s="187" t="str">
        <f t="shared" si="37"/>
        <v/>
      </c>
      <c r="GL21" s="144"/>
      <c r="GM21" s="220"/>
      <c r="GN21" s="220"/>
      <c r="GO21" s="220"/>
      <c r="GP21" s="150"/>
      <c r="GQ21" s="186" t="str">
        <f>IFERROR((((COUNTIF('Elève (4ème2)'!GL21:GP21,"A"))*4)+((COUNTIF('Elève (4ème2)'!GL21:GP21,"B"))*3)+((COUNTIF('Elève (4ème2)'!GL21:GP21,"C"))*2)+((COUNTIF('Elève (4ème2)'!GL21:GP21,"D"))*1))/(COUNTA(GL21:GP21)),"")</f>
        <v/>
      </c>
      <c r="GR21" s="187" t="str">
        <f t="shared" si="38"/>
        <v/>
      </c>
      <c r="GS21" s="186" t="str">
        <f>IF(COUNT(GD21,GJ21,GQ21)=0,"",SUM(GD21,GJ21,GQ21)/COUNT(GD21,GJ21,GQ21))</f>
        <v/>
      </c>
      <c r="GT21" s="211" t="str">
        <f t="shared" si="39"/>
        <v/>
      </c>
      <c r="GU21" s="144"/>
      <c r="GV21" s="145"/>
      <c r="GW21" s="146"/>
      <c r="GX21" s="186" t="str">
        <f>IFERROR((((COUNTIF('Elève (4ème2)'!GU21:GW21,"A"))*4)+((COUNTIF('Elève (4ème2)'!GU21:GW21,"B"))*3)+((COUNTIF('Elève (4ème2)'!GU21:GW21,"C"))*2)+((COUNTIF('Elève (4ème2)'!GU21:GW21,"D"))*1))/(COUNTA(GU21:GW21)),"")</f>
        <v/>
      </c>
      <c r="GY21" s="187" t="str">
        <f t="shared" si="40"/>
        <v/>
      </c>
      <c r="GZ21" s="144"/>
      <c r="HA21" s="145"/>
      <c r="HB21" s="146"/>
      <c r="HC21" s="146"/>
      <c r="HD21" s="186" t="str">
        <f>IFERROR((((COUNTIF('Elève (4ème2)'!GZ21:HC21,"A"))*4)+((COUNTIF('Elève (4ème2)'!GZ21:HC21,"B"))*3)+((COUNTIF('Elève (4ème2)'!GZ21:HC21,"C"))*2)+((COUNTIF('Elève (4ème2)'!GZ21:HC21,"D"))*1))/(COUNTA(GZ21:HC21)),"")</f>
        <v/>
      </c>
      <c r="HE21" s="187" t="str">
        <f t="shared" si="41"/>
        <v/>
      </c>
      <c r="HF21" s="144"/>
      <c r="HG21" s="220"/>
      <c r="HH21" s="220"/>
      <c r="HI21" s="220"/>
      <c r="HJ21" s="150"/>
      <c r="HK21" s="186" t="str">
        <f>IFERROR((((COUNTIF('Elève (4ème2)'!HF21:HJ21,"A"))*4)+((COUNTIF('Elève (4ème2)'!HF21:HJ21,"B"))*3)+((COUNTIF('Elève (4ème2)'!HF21:HJ21,"C"))*2)+((COUNTIF('Elève (4ème2)'!HF21:HJ21,"D"))*1))/(COUNTA(HF21:HJ21)),"")</f>
        <v/>
      </c>
      <c r="HL21" s="187" t="str">
        <f t="shared" si="42"/>
        <v/>
      </c>
      <c r="HM21" s="186" t="str">
        <f>IF(COUNT(GX21,HD21,HK21)=0,"",SUM(GX21,HD21,HK21)/COUNT(GX21,HD21,HK21))</f>
        <v/>
      </c>
      <c r="HN21" s="211" t="str">
        <f t="shared" si="43"/>
        <v/>
      </c>
      <c r="HO21" s="144"/>
      <c r="HP21" s="145"/>
      <c r="HQ21" s="146"/>
      <c r="HR21" s="186" t="str">
        <f>IFERROR((((COUNTIF('Elève (4ème2)'!HO21:HQ21,"A"))*4)+((COUNTIF('Elève (4ème2)'!HO21:HQ21,"B"))*3)+((COUNTIF('Elève (4ème2)'!HO21:HQ21,"C"))*2)+((COUNTIF('Elève (4ème2)'!HO21:HQ21,"D"))*1))/(COUNTA(HO21:HQ21)),"")</f>
        <v/>
      </c>
      <c r="HS21" s="187" t="str">
        <f t="shared" si="44"/>
        <v/>
      </c>
      <c r="HT21" s="144"/>
      <c r="HU21" s="145"/>
      <c r="HV21" s="146"/>
      <c r="HW21" s="146"/>
      <c r="HX21" s="186" t="str">
        <f>IFERROR((((COUNTIF('Elève (4ème2)'!HT21:HW21,"A"))*4)+((COUNTIF('Elève (4ème2)'!HT21:HW21,"B"))*3)+((COUNTIF('Elève (4ème2)'!HT21:HW21,"C"))*2)+((COUNTIF('Elève (4ème2)'!HT21:HW21,"D"))*1))/(COUNTA(HT21:HW21)),"")</f>
        <v/>
      </c>
      <c r="HY21" s="187" t="str">
        <f t="shared" si="45"/>
        <v/>
      </c>
      <c r="HZ21" s="144"/>
      <c r="IA21" s="220"/>
      <c r="IB21" s="220"/>
      <c r="IC21" s="220"/>
      <c r="ID21" s="150"/>
      <c r="IE21" s="186" t="str">
        <f>IFERROR((((COUNTIF('Elève (4ème2)'!HZ21:ID21,"A"))*4)+((COUNTIF('Elève (4ème2)'!HZ21:ID21,"B"))*3)+((COUNTIF('Elève (4ème2)'!HZ21:ID21,"C"))*2)+((COUNTIF('Elève (4ème2)'!HZ21:ID21,"D"))*1))/(COUNTA(HZ21:ID21)),"")</f>
        <v/>
      </c>
      <c r="IF21" s="187" t="str">
        <f t="shared" si="46"/>
        <v/>
      </c>
      <c r="IG21" s="186" t="str">
        <f>IF(COUNT(HR21,HX21,IE21)=0,"",SUM(HR21,HX21,IE21)/COUNT(HR21,HX21,IE21))</f>
        <v/>
      </c>
      <c r="IH21" s="211" t="str">
        <f t="shared" si="47"/>
        <v/>
      </c>
      <c r="II21" s="144"/>
      <c r="IJ21" s="145"/>
      <c r="IK21" s="146"/>
      <c r="IL21" s="186" t="str">
        <f>IFERROR((((COUNTIF('Elève (4ème2)'!II21:IK21,"A"))*4)+((COUNTIF('Elève (4ème2)'!II21:IK21,"B"))*3)+((COUNTIF('Elève (4ème2)'!II21:IK21,"C"))*2)+((COUNTIF('Elève (4ème2)'!II21:IK21,"D"))*1))/(COUNTA(II21:IK21)),"")</f>
        <v/>
      </c>
      <c r="IM21" s="187" t="str">
        <f t="shared" si="48"/>
        <v/>
      </c>
      <c r="IN21" s="144"/>
      <c r="IO21" s="145"/>
      <c r="IP21" s="146"/>
      <c r="IQ21" s="146"/>
      <c r="IR21" s="186" t="str">
        <f>IFERROR((((COUNTIF('Elève (4ème2)'!IN21:IQ21,"A"))*4)+((COUNTIF('Elève (4ème2)'!IN21:IQ21,"B"))*3)+((COUNTIF('Elève (4ème2)'!IN21:IQ21,"C"))*2)+((COUNTIF('Elève (4ème2)'!IN21:IQ21,"D"))*1))/(COUNTA(IN21:IQ21)),"")</f>
        <v/>
      </c>
      <c r="IS21" s="187" t="str">
        <f t="shared" si="49"/>
        <v/>
      </c>
      <c r="IT21" s="144"/>
      <c r="IU21" s="220"/>
      <c r="IV21" s="220"/>
      <c r="IW21" s="220"/>
      <c r="IX21" s="150"/>
      <c r="IY21" s="186" t="str">
        <f>IFERROR((((COUNTIF('Elève (4ème2)'!IT21:IX21,"A"))*4)+((COUNTIF('Elève (4ème2)'!IT21:IX21,"B"))*3)+((COUNTIF('Elève (4ème2)'!IT21:IX21,"C"))*2)+((COUNTIF('Elève (4ème2)'!IT21:IX21,"D"))*1))/(COUNTA(IT21:IX21)),"")</f>
        <v/>
      </c>
      <c r="IZ21" s="187" t="str">
        <f t="shared" si="50"/>
        <v/>
      </c>
      <c r="JA21" s="186" t="str">
        <f>IF(COUNT(IL21,IR21,IY21)=0,"",SUM(IL21,IR21,IY21)/COUNT(IL21,IR21,IY21))</f>
        <v/>
      </c>
      <c r="JB21" s="211" t="str">
        <f t="shared" si="51"/>
        <v/>
      </c>
      <c r="JC21" s="144"/>
      <c r="JD21" s="145"/>
      <c r="JE21" s="146"/>
      <c r="JF21" s="186" t="str">
        <f>IFERROR((((COUNTIF('Elève (4ème2)'!JC21:JE21,"A"))*4)+((COUNTIF('Elève (4ème2)'!JC21:JE21,"B"))*3)+((COUNTIF('Elève (4ème2)'!JC21:JE21,"C"))*2)+((COUNTIF('Elève (4ème2)'!JC21:JE21,"D"))*1))/(COUNTA(JC21:JE21)),"")</f>
        <v/>
      </c>
      <c r="JG21" s="187" t="str">
        <f t="shared" si="52"/>
        <v/>
      </c>
      <c r="JH21" s="144"/>
      <c r="JI21" s="145"/>
      <c r="JJ21" s="146"/>
      <c r="JK21" s="146"/>
      <c r="JL21" s="186" t="str">
        <f>IFERROR((((COUNTIF('Elève (4ème2)'!JH21:JK21,"A"))*4)+((COUNTIF('Elève (4ème2)'!JH21:JK21,"B"))*3)+((COUNTIF('Elève (4ème2)'!JH21:JK21,"C"))*2)+((COUNTIF('Elève (4ème2)'!JH21:JK21,"D"))*1))/(COUNTA(JH21:JK21)),"")</f>
        <v/>
      </c>
      <c r="JM21" s="187" t="str">
        <f t="shared" si="53"/>
        <v/>
      </c>
      <c r="JN21" s="144"/>
      <c r="JO21" s="220"/>
      <c r="JP21" s="220"/>
      <c r="JQ21" s="220"/>
      <c r="JR21" s="150"/>
      <c r="JS21" s="186" t="str">
        <f>IFERROR((((COUNTIF('Elève (4ème2)'!JN21:JR21,"A"))*4)+((COUNTIF('Elève (4ème2)'!JN21:JR21,"B"))*3)+((COUNTIF('Elève (4ème2)'!JN21:JR21,"C"))*2)+((COUNTIF('Elève (4ème2)'!JN21:JR21,"D"))*1))/(COUNTA(JN21:JR21)),"")</f>
        <v/>
      </c>
      <c r="JT21" s="187" t="str">
        <f t="shared" si="54"/>
        <v/>
      </c>
      <c r="JU21" s="186" t="str">
        <f>IF(COUNT(JF21,JL21,JS21)=0,"",SUM(JF21,JL21,JS21)/COUNT(JF21,JL21,JS21))</f>
        <v/>
      </c>
      <c r="JV21" s="211" t="str">
        <f t="shared" si="55"/>
        <v/>
      </c>
      <c r="JW21" s="144"/>
      <c r="JX21" s="145"/>
      <c r="JY21" s="146"/>
      <c r="JZ21" s="186" t="str">
        <f>IFERROR((((COUNTIF('Elève (4ème2)'!JW21:JY21,"A"))*4)+((COUNTIF('Elève (4ème2)'!JW21:JY21,"B"))*3)+((COUNTIF('Elève (4ème2)'!JW21:JY21,"C"))*2)+((COUNTIF('Elève (4ème2)'!JW21:JY21,"D"))*1))/(COUNTA(JW21:JY21)),"")</f>
        <v/>
      </c>
      <c r="KA21" s="187" t="str">
        <f t="shared" si="56"/>
        <v/>
      </c>
      <c r="KB21" s="144"/>
      <c r="KC21" s="145"/>
      <c r="KD21" s="146"/>
      <c r="KE21" s="146"/>
      <c r="KF21" s="186" t="str">
        <f>IFERROR((((COUNTIF('Elève (4ème2)'!KB21:KE21,"A"))*4)+((COUNTIF('Elève (4ème2)'!KB21:KE21,"B"))*3)+((COUNTIF('Elève (4ème2)'!KB21:KE21,"C"))*2)+((COUNTIF('Elève (4ème2)'!KB21:KE21,"D"))*1))/(COUNTA(KB21:KE21)),"")</f>
        <v/>
      </c>
      <c r="KG21" s="187" t="str">
        <f t="shared" si="57"/>
        <v/>
      </c>
      <c r="KH21" s="144"/>
      <c r="KI21" s="220"/>
      <c r="KJ21" s="220"/>
      <c r="KK21" s="220"/>
      <c r="KL21" s="150"/>
      <c r="KM21" s="186" t="str">
        <f>IFERROR((((COUNTIF('Elève (4ème2)'!KH21:KL21,"A"))*4)+((COUNTIF('Elève (4ème2)'!KH21:KL21,"B"))*3)+((COUNTIF('Elève (4ème2)'!KH21:KL21,"C"))*2)+((COUNTIF('Elève (4ème2)'!KH21:KL21,"D"))*1))/(COUNTA(KH21:KL21)),"")</f>
        <v/>
      </c>
      <c r="KN21" s="187" t="str">
        <f t="shared" si="58"/>
        <v/>
      </c>
      <c r="KO21" s="186" t="str">
        <f>IF(COUNT(JZ21,KF21,KM21)=0,"",SUM(JZ21,KF21,KM21)/COUNT(JZ21,KF21,KM21))</f>
        <v/>
      </c>
      <c r="KP21" s="211" t="str">
        <f t="shared" si="59"/>
        <v/>
      </c>
      <c r="KQ21" s="144"/>
      <c r="KR21" s="145"/>
      <c r="KS21" s="146"/>
      <c r="KT21" s="186" t="str">
        <f>IFERROR((((COUNTIF('Elève (4ème2)'!KQ21:KS21,"A"))*4)+((COUNTIF('Elève (4ème2)'!KQ21:KS21,"B"))*3)+((COUNTIF('Elève (4ème2)'!KQ21:KS21,"C"))*2)+((COUNTIF('Elève (4ème2)'!KQ21:KS21,"D"))*1))/(COUNTA(KQ21:KS21)),"")</f>
        <v/>
      </c>
      <c r="KU21" s="187" t="str">
        <f t="shared" si="60"/>
        <v/>
      </c>
      <c r="KV21" s="144"/>
      <c r="KW21" s="145"/>
      <c r="KX21" s="146"/>
      <c r="KY21" s="146"/>
      <c r="KZ21" s="186" t="str">
        <f>IFERROR((((COUNTIF('Elève (4ème2)'!KV21:KY21,"A"))*4)+((COUNTIF('Elève (4ème2)'!KV21:KY21,"B"))*3)+((COUNTIF('Elève (4ème2)'!KV21:KY21,"C"))*2)+((COUNTIF('Elève (4ème2)'!KV21:KY21,"D"))*1))/(COUNTA(KV21:KY21)),"")</f>
        <v/>
      </c>
      <c r="LA21" s="187" t="str">
        <f t="shared" si="61"/>
        <v/>
      </c>
      <c r="LB21" s="144"/>
      <c r="LC21" s="220"/>
      <c r="LD21" s="220"/>
      <c r="LE21" s="220"/>
      <c r="LF21" s="150"/>
      <c r="LG21" s="186" t="str">
        <f>IFERROR((((COUNTIF('Elève (4ème2)'!LB21:LF21,"A"))*4)+((COUNTIF('Elève (4ème2)'!LB21:LF21,"B"))*3)+((COUNTIF('Elève (4ème2)'!LB21:LF21,"C"))*2)+((COUNTIF('Elève (4ème2)'!LB21:LF21,"D"))*1))/(COUNTA(LB21:LF21)),"")</f>
        <v/>
      </c>
      <c r="LH21" s="187" t="str">
        <f t="shared" si="62"/>
        <v/>
      </c>
      <c r="LI21" s="186" t="str">
        <f>IF(COUNT(KT21,KZ21,LG21)=0,"",SUM(KT21,KZ21,LG21)/COUNT(KT21,KZ21,LG21))</f>
        <v/>
      </c>
      <c r="LJ21" s="211" t="str">
        <f t="shared" si="63"/>
        <v/>
      </c>
      <c r="LK21" s="144"/>
      <c r="LL21" s="145"/>
      <c r="LM21" s="146"/>
      <c r="LN21" s="186" t="str">
        <f>IFERROR((((COUNTIF('Elève (4ème2)'!LK21:LM21,"A"))*4)+((COUNTIF('Elève (4ème2)'!LK21:LM21,"B"))*3)+((COUNTIF('Elève (4ème2)'!LK21:LM21,"C"))*2)+((COUNTIF('Elève (4ème2)'!LK21:LM21,"D"))*1))/(COUNTA(LK21:LM21)),"")</f>
        <v/>
      </c>
      <c r="LO21" s="187" t="str">
        <f t="shared" si="64"/>
        <v/>
      </c>
      <c r="LP21" s="144"/>
      <c r="LQ21" s="145"/>
      <c r="LR21" s="146"/>
      <c r="LS21" s="146"/>
      <c r="LT21" s="186" t="str">
        <f>IFERROR((((COUNTIF('Elève (4ème2)'!LP21:LS21,"A"))*4)+((COUNTIF('Elève (4ème2)'!LP21:LS21,"B"))*3)+((COUNTIF('Elève (4ème2)'!LP21:LS21,"C"))*2)+((COUNTIF('Elève (4ème2)'!LP21:LS21,"D"))*1))/(COUNTA(LP21:LS21)),"")</f>
        <v/>
      </c>
      <c r="LU21" s="187" t="str">
        <f t="shared" si="65"/>
        <v/>
      </c>
      <c r="LV21" s="144"/>
      <c r="LW21" s="220"/>
      <c r="LX21" s="220"/>
      <c r="LY21" s="220"/>
      <c r="LZ21" s="150"/>
      <c r="MA21" s="186" t="str">
        <f>IFERROR((((COUNTIF('Elève (4ème2)'!LV21:LZ21,"A"))*4)+((COUNTIF('Elève (4ème2)'!LV21:LZ21,"B"))*3)+((COUNTIF('Elève (4ème2)'!LV21:LZ21,"C"))*2)+((COUNTIF('Elève (4ème2)'!LV21:LZ21,"D"))*1))/(COUNTA(LV21:LZ21)),"")</f>
        <v/>
      </c>
      <c r="MB21" s="187" t="str">
        <f t="shared" si="66"/>
        <v/>
      </c>
      <c r="MC21" s="186" t="str">
        <f>IF(COUNT(LN21,LT21,MA21)=0,"",SUM(LN21,LT21,MA21)/COUNT(LN21,LT21,MA21))</f>
        <v/>
      </c>
      <c r="MD21" s="211" t="str">
        <f t="shared" si="67"/>
        <v/>
      </c>
      <c r="ME21" s="144"/>
      <c r="MF21" s="145"/>
      <c r="MG21" s="146"/>
      <c r="MH21" s="186" t="str">
        <f>IFERROR((((COUNTIF('Elève (4ème2)'!ME21:MG21,"A"))*4)+((COUNTIF('Elève (4ème2)'!ME21:MG21,"B"))*3)+((COUNTIF('Elève (4ème2)'!ME21:MG21,"C"))*2)+((COUNTIF('Elève (4ème2)'!ME21:MG21,"D"))*1))/(COUNTA(ME21:MG21)),"")</f>
        <v/>
      </c>
      <c r="MI21" s="187" t="str">
        <f t="shared" si="68"/>
        <v/>
      </c>
      <c r="MJ21" s="144"/>
      <c r="MK21" s="145"/>
      <c r="ML21" s="146"/>
      <c r="MM21" s="146"/>
      <c r="MN21" s="186" t="str">
        <f>IFERROR((((COUNTIF('Elève (4ème2)'!MJ21:MM21,"A"))*4)+((COUNTIF('Elève (4ème2)'!MJ21:MM21,"B"))*3)+((COUNTIF('Elève (4ème2)'!MJ21:MM21,"C"))*2)+((COUNTIF('Elève (4ème2)'!MJ21:MM21,"D"))*1))/(COUNTA(MJ21:MM21)),"")</f>
        <v/>
      </c>
      <c r="MO21" s="187" t="str">
        <f t="shared" si="69"/>
        <v/>
      </c>
      <c r="MP21" s="144"/>
      <c r="MQ21" s="220"/>
      <c r="MR21" s="220"/>
      <c r="MS21" s="220"/>
      <c r="MT21" s="150"/>
      <c r="MU21" s="186" t="str">
        <f>IFERROR((((COUNTIF('Elève (4ème2)'!MP21:MT21,"A"))*4)+((COUNTIF('Elève (4ème2)'!MP21:MT21,"B"))*3)+((COUNTIF('Elève (4ème2)'!MP21:MT21,"C"))*2)+((COUNTIF('Elève (4ème2)'!MP21:MT21,"D"))*1))/(COUNTA(MP21:MT21)),"")</f>
        <v/>
      </c>
      <c r="MV21" s="187" t="str">
        <f t="shared" si="70"/>
        <v/>
      </c>
      <c r="MW21" s="186" t="str">
        <f>IF(COUNT(MH21,MN21,MU21)=0,"",SUM(MH21,MN21,MU21)/COUNT(MH21,MN21,MU21))</f>
        <v/>
      </c>
      <c r="MX21" s="211" t="str">
        <f t="shared" si="71"/>
        <v/>
      </c>
      <c r="MY21" s="144"/>
      <c r="MZ21" s="145"/>
      <c r="NA21" s="146"/>
      <c r="NB21" s="186" t="str">
        <f>IFERROR((((COUNTIF('Elève (4ème2)'!MY21:NA21,"A"))*4)+((COUNTIF('Elève (4ème2)'!MY21:NA21,"B"))*3)+((COUNTIF('Elève (4ème2)'!MY21:NA21,"C"))*2)+((COUNTIF('Elève (4ème2)'!MY21:NA21,"D"))*1))/(COUNTA(MY21:NA21)),"")</f>
        <v/>
      </c>
      <c r="NC21" s="187" t="str">
        <f t="shared" si="72"/>
        <v/>
      </c>
      <c r="ND21" s="144"/>
      <c r="NE21" s="145"/>
      <c r="NF21" s="146"/>
      <c r="NG21" s="146"/>
      <c r="NH21" s="186" t="str">
        <f>IFERROR((((COUNTIF('Elève (4ème2)'!ND21:NG21,"A"))*4)+((COUNTIF('Elève (4ème2)'!ND21:NG21,"B"))*3)+((COUNTIF('Elève (4ème2)'!ND21:NG21,"C"))*2)+((COUNTIF('Elève (4ème2)'!ND21:NG21,"D"))*1))/(COUNTA(ND21:NG21)),"")</f>
        <v/>
      </c>
      <c r="NI21" s="187" t="str">
        <f t="shared" si="73"/>
        <v/>
      </c>
      <c r="NJ21" s="144"/>
      <c r="NK21" s="220"/>
      <c r="NL21" s="220"/>
      <c r="NM21" s="220"/>
      <c r="NN21" s="150"/>
      <c r="NO21" s="186" t="str">
        <f>IFERROR((((COUNTIF('Elève (4ème2)'!NJ21:NN21,"A"))*4)+((COUNTIF('Elève (4ème2)'!NJ21:NN21,"B"))*3)+((COUNTIF('Elève (4ème2)'!NJ21:NN21,"C"))*2)+((COUNTIF('Elève (4ème2)'!NJ21:NN21,"D"))*1))/(COUNTA(NJ21:NN21)),"")</f>
        <v/>
      </c>
      <c r="NP21" s="187" t="str">
        <f t="shared" si="74"/>
        <v/>
      </c>
      <c r="NQ21" s="186" t="str">
        <f>IF(COUNT(NB21,NH21,NO21)=0,"",SUM(NB21,NH21,NO21)/COUNT(NB21,NH21,NO21))</f>
        <v/>
      </c>
      <c r="NR21" s="211" t="str">
        <f t="shared" si="75"/>
        <v/>
      </c>
      <c r="NS21" s="144"/>
      <c r="NT21" s="145"/>
      <c r="NU21" s="146"/>
      <c r="NV21" s="186" t="str">
        <f>IFERROR((((COUNTIF('Elève (4ème2)'!NS21:NU21,"A"))*4)+((COUNTIF('Elève (4ème2)'!NS21:NU21,"B"))*3)+((COUNTIF('Elève (4ème2)'!NS21:NU21,"C"))*2)+((COUNTIF('Elève (4ème2)'!NS21:NU21,"D"))*1))/(COUNTA(NS21:NU21)),"")</f>
        <v/>
      </c>
      <c r="NW21" s="187" t="str">
        <f t="shared" si="76"/>
        <v/>
      </c>
      <c r="NX21" s="144"/>
      <c r="NY21" s="145"/>
      <c r="NZ21" s="146"/>
      <c r="OA21" s="146"/>
      <c r="OB21" s="186" t="str">
        <f>IFERROR((((COUNTIF('Elève (4ème2)'!NX21:OA21,"A"))*4)+((COUNTIF('Elève (4ème2)'!NX21:OA21,"B"))*3)+((COUNTIF('Elève (4ème2)'!NX21:OA21,"C"))*2)+((COUNTIF('Elève (4ème2)'!NX21:OA21,"D"))*1))/(COUNTA(NX21:OA21)),"")</f>
        <v/>
      </c>
      <c r="OC21" s="187" t="str">
        <f t="shared" si="77"/>
        <v/>
      </c>
      <c r="OD21" s="144"/>
      <c r="OE21" s="220"/>
      <c r="OF21" s="220"/>
      <c r="OG21" s="220"/>
      <c r="OH21" s="150"/>
      <c r="OI21" s="186" t="str">
        <f>IFERROR((((COUNTIF('Elève (4ème2)'!OD21:OH21,"A"))*4)+((COUNTIF('Elève (4ème2)'!OD21:OH21,"B"))*3)+((COUNTIF('Elève (4ème2)'!OD21:OH21,"C"))*2)+((COUNTIF('Elève (4ème2)'!OD21:OH21,"D"))*1))/(COUNTA(OD21:OH21)),"")</f>
        <v/>
      </c>
      <c r="OJ21" s="187" t="str">
        <f t="shared" si="78"/>
        <v/>
      </c>
      <c r="OK21" s="186" t="str">
        <f>IF(COUNT(NV21,OB21,OI21)=0,"",SUM(NV21,OB21,OI21)/COUNT(NV21,OB21,OI21))</f>
        <v/>
      </c>
      <c r="OL21" s="211" t="str">
        <f t="shared" si="79"/>
        <v/>
      </c>
      <c r="OM21" s="144"/>
      <c r="ON21" s="145"/>
      <c r="OO21" s="146"/>
      <c r="OP21" s="186" t="str">
        <f>IFERROR((((COUNTIF('Elève (4ème2)'!OM21:OO21,"A"))*4)+((COUNTIF('Elève (4ème2)'!OM21:OO21,"B"))*3)+((COUNTIF('Elève (4ème2)'!OM21:OO21,"C"))*2)+((COUNTIF('Elève (4ème2)'!OM21:OO21,"D"))*1))/(COUNTA(OM21:OO21)),"")</f>
        <v/>
      </c>
      <c r="OQ21" s="187" t="str">
        <f t="shared" si="80"/>
        <v/>
      </c>
      <c r="OR21" s="144"/>
      <c r="OS21" s="145"/>
      <c r="OT21" s="146"/>
      <c r="OU21" s="146"/>
      <c r="OV21" s="186" t="str">
        <f>IFERROR((((COUNTIF('Elève (4ème2)'!OR21:OU21,"A"))*4)+((COUNTIF('Elève (4ème2)'!OR21:OU21,"B"))*3)+((COUNTIF('Elève (4ème2)'!OR21:OU21,"C"))*2)+((COUNTIF('Elève (4ème2)'!OR21:OU21,"D"))*1))/(COUNTA(OR21:OU21)),"")</f>
        <v/>
      </c>
      <c r="OW21" s="187" t="str">
        <f t="shared" si="81"/>
        <v/>
      </c>
      <c r="OX21" s="144"/>
      <c r="OY21" s="220"/>
      <c r="OZ21" s="220"/>
      <c r="PA21" s="220"/>
      <c r="PB21" s="150"/>
      <c r="PC21" s="186" t="str">
        <f>IFERROR((((COUNTIF('Elève (4ème2)'!OX21:PB21,"A"))*4)+((COUNTIF('Elève (4ème2)'!OX21:PB21,"B"))*3)+((COUNTIF('Elève (4ème2)'!OX21:PB21,"C"))*2)+((COUNTIF('Elève (4ème2)'!OX21:PB21,"D"))*1))/(COUNTA(OX21:PB21)),"")</f>
        <v/>
      </c>
      <c r="PD21" s="187" t="str">
        <f t="shared" si="82"/>
        <v/>
      </c>
      <c r="PE21" s="186" t="str">
        <f>IF(COUNT(OP21,OV21,PC21)=0,"",SUM(OP21,OV21,PC21)/COUNT(OP21,OV21,PC21))</f>
        <v/>
      </c>
      <c r="PF21" s="211" t="str">
        <f t="shared" si="83"/>
        <v/>
      </c>
      <c r="PG21" s="144"/>
      <c r="PH21" s="145"/>
      <c r="PI21" s="146"/>
      <c r="PJ21" s="186" t="str">
        <f>IFERROR((((COUNTIF('Elève (4ème2)'!PG21:PI21,"A"))*4)+((COUNTIF('Elève (4ème2)'!PG21:PI21,"B"))*3)+((COUNTIF('Elève (4ème2)'!PG21:PI21,"C"))*2)+((COUNTIF('Elève (4ème2)'!PG21:PI21,"D"))*1))/(COUNTA(PG21:PI21)),"")</f>
        <v/>
      </c>
      <c r="PK21" s="187" t="str">
        <f t="shared" si="84"/>
        <v/>
      </c>
      <c r="PL21" s="144"/>
      <c r="PM21" s="145"/>
      <c r="PN21" s="146"/>
      <c r="PO21" s="146"/>
      <c r="PP21" s="186" t="str">
        <f>IFERROR((((COUNTIF('Elève (4ème2)'!PL21:PO21,"A"))*4)+((COUNTIF('Elève (4ème2)'!PL21:PO21,"B"))*3)+((COUNTIF('Elève (4ème2)'!PL21:PO21,"C"))*2)+((COUNTIF('Elève (4ème2)'!PL21:PO21,"D"))*1))/(COUNTA(PL21:PO21)),"")</f>
        <v/>
      </c>
      <c r="PQ21" s="187" t="str">
        <f t="shared" si="85"/>
        <v/>
      </c>
      <c r="PR21" s="144"/>
      <c r="PS21" s="220"/>
      <c r="PT21" s="220"/>
      <c r="PU21" s="220"/>
      <c r="PV21" s="150"/>
      <c r="PW21" s="186" t="str">
        <f>IFERROR((((COUNTIF('Elève (4ème2)'!PR21:PV21,"A"))*4)+((COUNTIF('Elève (4ème2)'!PR21:PV21,"B"))*3)+((COUNTIF('Elève (4ème2)'!PR21:PV21,"C"))*2)+((COUNTIF('Elève (4ème2)'!PR21:PV21,"D"))*1))/(COUNTA(PR21:PV21)),"")</f>
        <v/>
      </c>
      <c r="PX21" s="187" t="str">
        <f t="shared" si="86"/>
        <v/>
      </c>
      <c r="PY21" s="186" t="str">
        <f>IF(COUNT(PJ21,PP21,PW21)=0,"",SUM(PJ21,PP21,PW21)/COUNT(PJ21,PP21,PW21))</f>
        <v/>
      </c>
      <c r="PZ21" s="211" t="str">
        <f t="shared" si="87"/>
        <v/>
      </c>
      <c r="QA21" s="144"/>
      <c r="QB21" s="145"/>
      <c r="QC21" s="146"/>
      <c r="QD21" s="186" t="str">
        <f>IFERROR((((COUNTIF('Elève (4ème2)'!QA21:QC21,"A"))*4)+((COUNTIF('Elève (4ème2)'!QA21:QC21,"B"))*3)+((COUNTIF('Elève (4ème2)'!QA21:QC21,"C"))*2)+((COUNTIF('Elève (4ème2)'!QA21:QC21,"D"))*1))/(COUNTA(QA21:QC21)),"")</f>
        <v/>
      </c>
      <c r="QE21" s="187" t="str">
        <f t="shared" si="88"/>
        <v/>
      </c>
      <c r="QF21" s="144"/>
      <c r="QG21" s="145"/>
      <c r="QH21" s="146"/>
      <c r="QI21" s="146"/>
      <c r="QJ21" s="186" t="str">
        <f>IFERROR((((COUNTIF('Elève (4ème2)'!QF21:QI21,"A"))*4)+((COUNTIF('Elève (4ème2)'!QF21:QI21,"B"))*3)+((COUNTIF('Elève (4ème2)'!QF21:QI21,"C"))*2)+((COUNTIF('Elève (4ème2)'!QF21:QI21,"D"))*1))/(COUNTA(QF21:QI21)),"")</f>
        <v/>
      </c>
      <c r="QK21" s="187" t="str">
        <f t="shared" si="89"/>
        <v/>
      </c>
      <c r="QL21" s="144"/>
      <c r="QM21" s="220"/>
      <c r="QN21" s="220"/>
      <c r="QO21" s="220"/>
      <c r="QP21" s="150"/>
      <c r="QQ21" s="186" t="str">
        <f>IFERROR((((COUNTIF('Elève (4ème2)'!QL21:QP21,"A"))*4)+((COUNTIF('Elève (4ème2)'!QL21:QP21,"B"))*3)+((COUNTIF('Elève (4ème2)'!QL21:QP21,"C"))*2)+((COUNTIF('Elève (4ème2)'!QL21:QP21,"D"))*1))/(COUNTA(QL21:QP21)),"")</f>
        <v/>
      </c>
      <c r="QR21" s="187" t="str">
        <f t="shared" si="90"/>
        <v/>
      </c>
      <c r="QS21" s="186" t="str">
        <f>IF(COUNT(QD21,QJ21,QQ21)=0,"",SUM(QD21,QJ21,QQ21)/COUNT(QD21,QJ21,QQ21))</f>
        <v/>
      </c>
      <c r="QT21" s="211" t="str">
        <f t="shared" si="91"/>
        <v/>
      </c>
      <c r="QU21" s="144"/>
      <c r="QV21" s="145"/>
      <c r="QW21" s="146"/>
      <c r="QX21" s="186" t="str">
        <f>IFERROR((((COUNTIF('Elève (4ème2)'!QU21:QW21,"A"))*4)+((COUNTIF('Elève (4ème2)'!QU21:QW21,"B"))*3)+((COUNTIF('Elève (4ème2)'!QU21:QW21,"C"))*2)+((COUNTIF('Elève (4ème2)'!QU21:QW21,"D"))*1))/(COUNTA(QU21:QW21)),"")</f>
        <v/>
      </c>
      <c r="QY21" s="187" t="str">
        <f t="shared" si="92"/>
        <v/>
      </c>
      <c r="QZ21" s="144"/>
      <c r="RA21" s="145"/>
      <c r="RB21" s="146"/>
      <c r="RC21" s="146"/>
      <c r="RD21" s="186" t="str">
        <f>IFERROR((((COUNTIF('Elève (4ème2)'!QZ21:RC21,"A"))*4)+((COUNTIF('Elève (4ème2)'!QZ21:RC21,"B"))*3)+((COUNTIF('Elève (4ème2)'!QZ21:RC21,"C"))*2)+((COUNTIF('Elève (4ème2)'!QZ21:RC21,"D"))*1))/(COUNTA(QZ21:RC21)),"")</f>
        <v/>
      </c>
      <c r="RE21" s="187" t="str">
        <f t="shared" si="93"/>
        <v/>
      </c>
      <c r="RF21" s="144"/>
      <c r="RG21" s="220"/>
      <c r="RH21" s="220"/>
      <c r="RI21" s="220"/>
      <c r="RJ21" s="150"/>
      <c r="RK21" s="186" t="str">
        <f>IFERROR((((COUNTIF('Elève (4ème2)'!RF21:RJ21,"A"))*4)+((COUNTIF('Elève (4ème2)'!RF21:RJ21,"B"))*3)+((COUNTIF('Elève (4ème2)'!RF21:RJ21,"C"))*2)+((COUNTIF('Elève (4ème2)'!RF21:RJ21,"D"))*1))/(COUNTA(RF21:RJ21)),"")</f>
        <v/>
      </c>
      <c r="RL21" s="187" t="str">
        <f t="shared" si="94"/>
        <v/>
      </c>
      <c r="RM21" s="186" t="str">
        <f>IF(COUNT(QX21,RD21,RK21)=0,"",SUM(QX21,RD21,RK21)/COUNT(QX21,RD21,RK21))</f>
        <v/>
      </c>
      <c r="RN21" s="211" t="str">
        <f t="shared" si="95"/>
        <v/>
      </c>
      <c r="RO21" s="144"/>
      <c r="RP21" s="145"/>
      <c r="RQ21" s="146"/>
      <c r="RR21" s="186" t="str">
        <f>IFERROR((((COUNTIF('Elève (4ème2)'!RO21:RQ21,"A"))*4)+((COUNTIF('Elève (4ème2)'!RO21:RQ21,"B"))*3)+((COUNTIF('Elève (4ème2)'!RO21:RQ21,"C"))*2)+((COUNTIF('Elève (4ème2)'!RO21:RQ21,"D"))*1))/(COUNTA(RO21:RQ21)),"")</f>
        <v/>
      </c>
      <c r="RS21" s="187" t="str">
        <f t="shared" si="96"/>
        <v/>
      </c>
      <c r="RT21" s="144"/>
      <c r="RU21" s="145"/>
      <c r="RV21" s="146"/>
      <c r="RW21" s="146"/>
      <c r="RX21" s="186" t="str">
        <f>IFERROR((((COUNTIF('Elève (4ème2)'!RT21:RW21,"A"))*4)+((COUNTIF('Elève (4ème2)'!RT21:RW21,"B"))*3)+((COUNTIF('Elève (4ème2)'!RT21:RW21,"C"))*2)+((COUNTIF('Elève (4ème2)'!RT21:RW21,"D"))*1))/(COUNTA(RT21:RW21)),"")</f>
        <v/>
      </c>
      <c r="RY21" s="187" t="str">
        <f t="shared" si="97"/>
        <v/>
      </c>
      <c r="RZ21" s="144"/>
      <c r="SA21" s="220"/>
      <c r="SB21" s="220"/>
      <c r="SC21" s="220"/>
      <c r="SD21" s="150"/>
      <c r="SE21" s="186" t="str">
        <f>IFERROR((((COUNTIF('Elève (4ème2)'!RZ21:SD21,"A"))*4)+((COUNTIF('Elève (4ème2)'!RZ21:SD21,"B"))*3)+((COUNTIF('Elève (4ème2)'!RZ21:SD21,"C"))*2)+((COUNTIF('Elève (4ème2)'!RZ21:SD21,"D"))*1))/(COUNTA(RZ21:SD21)),"")</f>
        <v/>
      </c>
      <c r="SF21" s="187" t="str">
        <f t="shared" si="98"/>
        <v/>
      </c>
      <c r="SG21" s="186" t="str">
        <f>IF(COUNT(RR21,RX21,SE21)=0,"",SUM(RR21,RX21,SE21)/COUNT(RR21,RX21,SE21))</f>
        <v/>
      </c>
      <c r="SH21" s="211" t="str">
        <f t="shared" si="99"/>
        <v/>
      </c>
      <c r="SI21" s="144"/>
      <c r="SJ21" s="145"/>
      <c r="SK21" s="146"/>
      <c r="SL21" s="186" t="str">
        <f>IFERROR((((COUNTIF('Elève (4ème2)'!SI21:SK21,"A"))*4)+((COUNTIF('Elève (4ème2)'!SI21:SK21,"B"))*3)+((COUNTIF('Elève (4ème2)'!SI21:SK21,"C"))*2)+((COUNTIF('Elève (4ème2)'!SI21:SK21,"D"))*1))/(COUNTA(SI21:SK21)),"")</f>
        <v/>
      </c>
      <c r="SM21" s="187" t="str">
        <f t="shared" si="100"/>
        <v/>
      </c>
      <c r="SN21" s="144"/>
      <c r="SO21" s="145"/>
      <c r="SP21" s="146"/>
      <c r="SQ21" s="146"/>
      <c r="SR21" s="186" t="str">
        <f>IFERROR((((COUNTIF('Elève (4ème2)'!SN21:SQ21,"A"))*4)+((COUNTIF('Elève (4ème2)'!SN21:SQ21,"B"))*3)+((COUNTIF('Elève (4ème2)'!SN21:SQ21,"C"))*2)+((COUNTIF('Elève (4ème2)'!SN21:SQ21,"D"))*1))/(COUNTA(SN21:SQ21)),"")</f>
        <v/>
      </c>
      <c r="SS21" s="187" t="str">
        <f t="shared" si="101"/>
        <v/>
      </c>
      <c r="ST21" s="144"/>
      <c r="SU21" s="220"/>
      <c r="SV21" s="220"/>
      <c r="SW21" s="220"/>
      <c r="SX21" s="150"/>
      <c r="SY21" s="186" t="str">
        <f>IFERROR((((COUNTIF('Elève (4ème2)'!ST21:SX21,"A"))*4)+((COUNTIF('Elève (4ème2)'!ST21:SX21,"B"))*3)+((COUNTIF('Elève (4ème2)'!ST21:SX21,"C"))*2)+((COUNTIF('Elève (4ème2)'!ST21:SX21,"D"))*1))/(COUNTA(ST21:SX21)),"")</f>
        <v/>
      </c>
      <c r="SZ21" s="187" t="str">
        <f t="shared" si="102"/>
        <v/>
      </c>
      <c r="TA21" s="186" t="str">
        <f>IF(COUNT(SL21,SR21,SY21)=0,"",SUM(SL21,SR21,SY21)/COUNT(SL21,SR21,SY21))</f>
        <v/>
      </c>
      <c r="TB21" s="211" t="str">
        <f t="shared" si="103"/>
        <v/>
      </c>
      <c r="TC21" s="144"/>
      <c r="TD21" s="145"/>
      <c r="TE21" s="146"/>
      <c r="TF21" s="186" t="str">
        <f>IFERROR((((COUNTIF('Elève (4ème2)'!TC21:TE21,"A"))*4)+((COUNTIF('Elève (4ème2)'!TC21:TE21,"B"))*3)+((COUNTIF('Elève (4ème2)'!TC21:TE21,"C"))*2)+((COUNTIF('Elève (4ème2)'!TC21:TE21,"D"))*1))/(COUNTA(TC21:TE21)),"")</f>
        <v/>
      </c>
      <c r="TG21" s="187" t="str">
        <f t="shared" si="104"/>
        <v/>
      </c>
      <c r="TH21" s="144"/>
      <c r="TI21" s="145"/>
      <c r="TJ21" s="146"/>
      <c r="TK21" s="146"/>
      <c r="TL21" s="186" t="str">
        <f>IFERROR((((COUNTIF('Elève (4ème2)'!TH21:TK21,"A"))*4)+((COUNTIF('Elève (4ème2)'!TH21:TK21,"B"))*3)+((COUNTIF('Elève (4ème2)'!TH21:TK21,"C"))*2)+((COUNTIF('Elève (4ème2)'!TH21:TK21,"D"))*1))/(COUNTA(TH21:TK21)),"")</f>
        <v/>
      </c>
      <c r="TM21" s="187" t="str">
        <f t="shared" si="105"/>
        <v/>
      </c>
      <c r="TN21" s="144"/>
      <c r="TO21" s="220"/>
      <c r="TP21" s="220"/>
      <c r="TQ21" s="220"/>
      <c r="TR21" s="150"/>
      <c r="TS21" s="186" t="str">
        <f>IFERROR((((COUNTIF('Elève (4ème2)'!TN21:TR21,"A"))*4)+((COUNTIF('Elève (4ème2)'!TN21:TR21,"B"))*3)+((COUNTIF('Elève (4ème2)'!TN21:TR21,"C"))*2)+((COUNTIF('Elève (4ème2)'!TN21:TR21,"D"))*1))/(COUNTA(TN21:TR21)),"")</f>
        <v/>
      </c>
      <c r="TT21" s="187" t="str">
        <f t="shared" si="106"/>
        <v/>
      </c>
      <c r="TU21" s="186" t="str">
        <f>IF(COUNT(TF21,TL21,TS21)=0,"",SUM(TF21,TL21,TS21)/COUNT(TF21,TL21,TS21))</f>
        <v/>
      </c>
      <c r="TV21" s="211" t="str">
        <f t="shared" si="107"/>
        <v/>
      </c>
      <c r="TW21" s="144"/>
      <c r="TX21" s="145"/>
      <c r="TY21" s="146"/>
      <c r="TZ21" s="147" t="str">
        <f>IFERROR((((COUNTIF('Elève (4ème2)'!TW21:TY21,"A"))*4)+((COUNTIF('Elève (4ème2)'!TW21:TY21,"B"))*3)+((COUNTIF('Elève (4ème2)'!TW21:TY21,"C"))*2)+((COUNTIF('Elève (4ème2)'!TW21:TY21,"D"))*1))/(COUNTA(TW21:TY21)),"")</f>
        <v/>
      </c>
      <c r="UA21" s="148" t="str">
        <f t="shared" si="108"/>
        <v/>
      </c>
      <c r="UB21" s="144"/>
      <c r="UC21" s="145"/>
      <c r="UD21" s="146"/>
      <c r="UE21" s="147" t="str">
        <f>IFERROR((((COUNTIF('Elève (4ème2)'!UB21:UD21,"A"))*4)+((COUNTIF('Elève (4ème2)'!UB21:UD21,"B"))*3)+((COUNTIF('Elève (4ème2)'!UB21:UD21,"C"))*2)+((COUNTIF('Elève (4ème2)'!UB21:UD21,"D"))*1))/(COUNTA(UB21:UD21)),"")</f>
        <v/>
      </c>
      <c r="UF21" s="148" t="str">
        <f t="shared" si="109"/>
        <v/>
      </c>
      <c r="UG21" s="144"/>
      <c r="UH21" s="145"/>
      <c r="UI21" s="150"/>
      <c r="UJ21" s="147" t="str">
        <f>IFERROR((((COUNTIF('Elève (4ème2)'!UG21:UI21,"A"))*4)+((COUNTIF('Elève (4ème2)'!UG21:UI21,"B"))*3)+((COUNTIF('Elève (4ème2)'!UG21:UI21,"C"))*2)+((COUNTIF('Elève (4ème2)'!UG21:UI21,"D"))*1))/(COUNTA(UG21:UI21)),"")</f>
        <v/>
      </c>
      <c r="UK21" s="148" t="str">
        <f t="shared" si="110"/>
        <v/>
      </c>
      <c r="UL21" s="147" t="str">
        <f>IF(COUNT(TZ21,UE21,UJ21)=0,"",SUM(TZ21,UE21,UJ21)/COUNT(TZ21,UE21,UJ21))</f>
        <v/>
      </c>
      <c r="UM21" s="149" t="str">
        <f t="shared" si="111"/>
        <v/>
      </c>
      <c r="UN21" s="144"/>
      <c r="UO21" s="145"/>
      <c r="UP21" s="146"/>
      <c r="UQ21" s="147" t="str">
        <f>IFERROR((((COUNTIF('Elève (4ème2)'!UN21:UP21,"A"))*4)+((COUNTIF('Elève (4ème2)'!UN21:UP21,"B"))*3)+((COUNTIF('Elève (4ème2)'!UN21:UP21,"C"))*2)+((COUNTIF('Elève (4ème2)'!UN21:UP21,"D"))*1))/(COUNTA(UN21:UP21)),"")</f>
        <v/>
      </c>
      <c r="UR21" s="148" t="str">
        <f t="shared" si="112"/>
        <v/>
      </c>
      <c r="US21" s="144"/>
      <c r="UT21" s="145"/>
      <c r="UU21" s="146"/>
      <c r="UV21" s="147" t="str">
        <f>IFERROR((((COUNTIF('Elève (4ème2)'!US21:UU21,"A"))*4)+((COUNTIF('Elève (4ème2)'!US21:UU21,"B"))*3)+((COUNTIF('Elève (4ème2)'!US21:UU21,"C"))*2)+((COUNTIF('Elève (4ème2)'!US21:UU21,"D"))*1))/(COUNTA(US21:UU21)),"")</f>
        <v/>
      </c>
      <c r="UW21" s="148" t="str">
        <f t="shared" si="113"/>
        <v/>
      </c>
      <c r="UX21" s="144"/>
      <c r="UY21" s="145"/>
      <c r="UZ21" s="150"/>
      <c r="VA21" s="147" t="str">
        <f>IFERROR((((COUNTIF('Elève (4ème2)'!UX21:UZ21,"A"))*4)+((COUNTIF('Elève (4ème2)'!UX21:UZ21,"B"))*3)+((COUNTIF('Elève (4ème2)'!UX21:UZ21,"C"))*2)+((COUNTIF('Elève (4ème2)'!UX21:UZ21,"D"))*1))/(COUNTA(UX21:UZ21)),"")</f>
        <v/>
      </c>
      <c r="VB21" s="148" t="str">
        <f t="shared" si="114"/>
        <v/>
      </c>
      <c r="VC21" s="147" t="str">
        <f>IF(COUNT(UQ21,UV21,VA21)=0,"",SUM(UQ21,UV21,VA21)/COUNT(UQ21,UV21,VA21))</f>
        <v/>
      </c>
      <c r="VD21" s="149" t="str">
        <f t="shared" si="115"/>
        <v/>
      </c>
      <c r="VE21" s="144"/>
      <c r="VF21" s="145"/>
      <c r="VG21" s="146"/>
      <c r="VH21" s="147" t="str">
        <f>IFERROR((((COUNTIF('Elève (4ème2)'!VE21:VG21,"A"))*4)+((COUNTIF('Elève (4ème2)'!VE21:VG21,"B"))*3)+((COUNTIF('Elève (4ème2)'!VE21:VG21,"C"))*2)+((COUNTIF('Elève (4ème2)'!VE21:VG21,"D"))*1))/(COUNTA(VE21:VG21)),"")</f>
        <v/>
      </c>
      <c r="VI21" s="148" t="str">
        <f t="shared" si="116"/>
        <v/>
      </c>
      <c r="VJ21" s="144"/>
      <c r="VK21" s="145"/>
      <c r="VL21" s="146"/>
      <c r="VM21" s="147" t="str">
        <f>IFERROR((((COUNTIF('Elève (4ème2)'!VJ21:VL21,"A"))*4)+((COUNTIF('Elève (4ème2)'!VJ21:VL21,"B"))*3)+((COUNTIF('Elève (4ème2)'!VJ21:VL21,"C"))*2)+((COUNTIF('Elève (4ème2)'!VJ21:VL21,"D"))*1))/(COUNTA(VJ21:VL21)),"")</f>
        <v/>
      </c>
      <c r="VN21" s="148" t="str">
        <f t="shared" si="117"/>
        <v/>
      </c>
      <c r="VO21" s="144"/>
      <c r="VP21" s="145"/>
      <c r="VQ21" s="150"/>
      <c r="VR21" s="147" t="str">
        <f>IFERROR((((COUNTIF('Elève (4ème2)'!VO21:VQ21,"A"))*4)+((COUNTIF('Elève (4ème2)'!VO21:VQ21,"B"))*3)+((COUNTIF('Elève (4ème2)'!VO21:VQ21,"C"))*2)+((COUNTIF('Elève (4ème2)'!VO21:VQ21,"D"))*1))/(COUNTA(VO21:VQ21)),"")</f>
        <v/>
      </c>
      <c r="VS21" s="148" t="str">
        <f t="shared" si="118"/>
        <v/>
      </c>
      <c r="VT21" s="147" t="str">
        <f>IF(COUNT(VH21,VM21,VR21)=0,"",SUM(VH21,VM21,VR21)/COUNT(VH21,VM21,VR21))</f>
        <v/>
      </c>
      <c r="VU21" s="149" t="str">
        <f t="shared" si="119"/>
        <v/>
      </c>
    </row>
    <row r="22" spans="1:593" ht="14.7" thickBot="1" x14ac:dyDescent="0.6">
      <c r="A22" s="254" t="s">
        <v>28</v>
      </c>
      <c r="B22" s="255"/>
      <c r="C22" s="151"/>
      <c r="D22" s="151"/>
      <c r="E22" s="151"/>
      <c r="F22" s="188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1.4444444444444444</v>
      </c>
      <c r="G22" s="189">
        <f>IF(F22="","",F22*5)</f>
        <v>7.2222222222222223</v>
      </c>
      <c r="H22" s="82"/>
      <c r="I22" s="82"/>
      <c r="J22" s="82"/>
      <c r="K22" s="82"/>
      <c r="L22" s="188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2.6</v>
      </c>
      <c r="M22" s="195">
        <f>IF(L22="","",L22*5)</f>
        <v>13</v>
      </c>
      <c r="N22" s="82"/>
      <c r="O22" s="82"/>
      <c r="P22" s="82"/>
      <c r="Q22" s="82"/>
      <c r="R22" s="82"/>
      <c r="S22" s="188">
        <f>IF(COUNT(S20,S16,S13,S10,S4)=0,"",SUM($B$4*IF(COUNT(S4)=0,0,S4),$B$10*IF(COUNT(S10)=0,0,S10),$B$13*IF(COUNT(S13)=0,0,S13),$B$16*IF(COUNT(S16)=0,0,S16),$B$20*IF(COUNT(S20)=0,0,S20))/SUM($B$4*COUNT(S4),$B$10*COUNT(S10),$B$13*COUNT(S13),$B$16*COUNT(S16),$B$20*COUNT(S20)))</f>
        <v>2.5092592592592595</v>
      </c>
      <c r="T22" s="212">
        <f>IF(S22="","",S22*5)</f>
        <v>12.546296296296298</v>
      </c>
      <c r="U22" s="175"/>
      <c r="V22" s="175"/>
      <c r="W22" s="151"/>
      <c r="X22" s="151"/>
      <c r="Y22" s="151"/>
      <c r="Z22" s="188">
        <f>IF(COUNT(Z20,Z16,Z13,Z10,Z4)=0,"",SUM($B$4*IF(COUNT(Z4)=0,0,Z4),$B$10*IF(COUNT(Z10)=0,0,Z10),$B$13*IF(COUNT(Z13)=0,0,Z13),$B$16*IF(COUNT(Z16)=0,0,Z16),$B$20*IF(COUNT(Z20)=0,0,Z20))/SUM($B$4*COUNT(Z4),$B$10*COUNT(Z10),$B$13*COUNT(Z13),$B$16*COUNT(Z16),$B$20*COUNT(Z20)))</f>
        <v>2.0555555555555558</v>
      </c>
      <c r="AA22" s="189">
        <f>IF(Z22="","",Z22*5)</f>
        <v>10.277777777777779</v>
      </c>
      <c r="AB22" s="82"/>
      <c r="AC22" s="82"/>
      <c r="AD22" s="82"/>
      <c r="AE22" s="82"/>
      <c r="AF22" s="188">
        <f>IF(COUNT(AF20,AF16,AF13,AF10,AF4)=0,"",SUM($B$4*IF(COUNT(AF4)=0,0,AF4),$B$10*IF(COUNT(AF10)=0,0,AF10),$B$13*IF(COUNT(AF13)=0,0,AF13),$B$16*IF(COUNT(AF16)=0,0,AF16),$B$20*IF(COUNT(AF20)=0,0,AF20))/SUM($B$4*COUNT(AF4),$B$10*COUNT(AF10),$B$13*COUNT(AF13),$B$16*COUNT(AF16),$B$20*COUNT(AF20)))</f>
        <v>2.4</v>
      </c>
      <c r="AG22" s="195">
        <f>IF(AF22="","",AF22*5)</f>
        <v>12</v>
      </c>
      <c r="AH22" s="82"/>
      <c r="AI22" s="82"/>
      <c r="AJ22" s="82"/>
      <c r="AK22" s="82"/>
      <c r="AL22" s="82"/>
      <c r="AM22" s="188">
        <f>IF(COUNT(AM20,AM16,AM13,AM10,AM4)=0,"",SUM($B$4*IF(COUNT(AM4)=0,0,AM4),$B$10*IF(COUNT(AM10)=0,0,AM10),$B$13*IF(COUNT(AM13)=0,0,AM13),$B$16*IF(COUNT(AM16)=0,0,AM16),$B$20*IF(COUNT(AM20)=0,0,AM20))/SUM($B$4*COUNT(AM4),$B$10*COUNT(AM10),$B$13*COUNT(AM13),$B$16*COUNT(AM16),$B$20*COUNT(AM20)))</f>
        <v>3.0347222222222219</v>
      </c>
      <c r="AN22" s="212">
        <f>IF(AM22="","",AM22*5)</f>
        <v>15.173611111111109</v>
      </c>
      <c r="AO22" s="175"/>
      <c r="AP22" s="175"/>
      <c r="AQ22" s="151"/>
      <c r="AR22" s="151"/>
      <c r="AS22" s="151"/>
      <c r="AT22" s="188">
        <f>IF(COUNT(AT20,AT16,AT13,AT10,AT4)=0,"",SUM($B$4*IF(COUNT(AT4)=0,0,AT4),$B$10*IF(COUNT(AT10)=0,0,AT10),$B$13*IF(COUNT(AT13)=0,0,AT13),$B$16*IF(COUNT(AT16)=0,0,AT16),$B$20*IF(COUNT(AT20)=0,0,AT20))/SUM($B$4*COUNT(AT4),$B$10*COUNT(AT10),$B$13*COUNT(AT13),$B$16*COUNT(AT16),$B$20*COUNT(AT20)))</f>
        <v>2.6111111111111112</v>
      </c>
      <c r="AU22" s="189">
        <f>IF(AT22="","",AT22*5)</f>
        <v>13.055555555555555</v>
      </c>
      <c r="AV22" s="82"/>
      <c r="AW22" s="82"/>
      <c r="AX22" s="82"/>
      <c r="AY22" s="82"/>
      <c r="AZ22" s="188">
        <f>IF(COUNT(AZ20,AZ16,AZ13,AZ10,AZ4)=0,"",SUM($B$4*IF(COUNT(AZ4)=0,0,AZ4),$B$10*IF(COUNT(AZ10)=0,0,AZ10),$B$13*IF(COUNT(AZ13)=0,0,AZ13),$B$16*IF(COUNT(AZ16)=0,0,AZ16),$B$20*IF(COUNT(AZ20)=0,0,AZ20))/SUM($B$4*COUNT(AZ4),$B$10*COUNT(AZ10),$B$13*COUNT(AZ13),$B$16*COUNT(AZ16),$B$20*COUNT(AZ20)))</f>
        <v>2.4</v>
      </c>
      <c r="BA22" s="195">
        <f>IF(AZ22="","",AZ22*5)</f>
        <v>12</v>
      </c>
      <c r="BB22" s="82"/>
      <c r="BC22" s="82"/>
      <c r="BD22" s="82"/>
      <c r="BE22" s="82"/>
      <c r="BF22" s="82"/>
      <c r="BG22" s="188">
        <f>IF(COUNT(BG20,BG16,BG13,BG10,BG4)=0,"",SUM($B$4*IF(COUNT(BG4)=0,0,BG4),$B$10*IF(COUNT(BG10)=0,0,BG10),$B$13*IF(COUNT(BG13)=0,0,BG13),$B$16*IF(COUNT(BG16)=0,0,BG16),$B$20*IF(COUNT(BG20)=0,0,BG20))/SUM($B$4*COUNT(BG4),$B$10*COUNT(BG10),$B$13*COUNT(BG13),$B$16*COUNT(BG16),$B$20*COUNT(BG20)))</f>
        <v>2.1666666666666665</v>
      </c>
      <c r="BH22" s="212">
        <f>IF(BG22="","",BG22*5)</f>
        <v>10.833333333333332</v>
      </c>
      <c r="BI22" s="175"/>
      <c r="BJ22" s="175"/>
      <c r="BK22" s="151"/>
      <c r="BL22" s="151"/>
      <c r="BM22" s="151"/>
      <c r="BN22" s="188">
        <f>IF(COUNT(BN20,BN16,BN13,BN10,BN4)=0,"",SUM($B$4*IF(COUNT(BN4)=0,0,BN4),$B$10*IF(COUNT(BN10)=0,0,BN10),$B$13*IF(COUNT(BN13)=0,0,BN13),$B$16*IF(COUNT(BN16)=0,0,BN16),$B$20*IF(COUNT(BN20)=0,0,BN20))/SUM($B$4*COUNT(BN4),$B$10*COUNT(BN10),$B$13*COUNT(BN13),$B$16*COUNT(BN16),$B$20*COUNT(BN20)))</f>
        <v>2.2777777777777781</v>
      </c>
      <c r="BO22" s="189">
        <f>IF(BN22="","",BN22*5)</f>
        <v>11.388888888888891</v>
      </c>
      <c r="BP22" s="82"/>
      <c r="BQ22" s="82"/>
      <c r="BR22" s="82"/>
      <c r="BS22" s="82"/>
      <c r="BT22" s="188">
        <f>IF(COUNT(BT20,BT16,BT13,BT10,BT4)=0,"",SUM($B$4*IF(COUNT(BT4)=0,0,BT4),$B$10*IF(COUNT(BT10)=0,0,BT10),$B$13*IF(COUNT(BT13)=0,0,BT13),$B$16*IF(COUNT(BT16)=0,0,BT16),$B$20*IF(COUNT(BT20)=0,0,BT20))/SUM($B$4*COUNT(BT4),$B$10*COUNT(BT10),$B$13*COUNT(BT13),$B$16*COUNT(BT16),$B$20*COUNT(BT20)))</f>
        <v>3.2</v>
      </c>
      <c r="BU22" s="195">
        <f>IF(BT22="","",BT22*5)</f>
        <v>16</v>
      </c>
      <c r="BV22" s="82"/>
      <c r="BW22" s="82"/>
      <c r="BX22" s="82"/>
      <c r="BY22" s="82"/>
      <c r="BZ22" s="82"/>
      <c r="CA22" s="188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>2.7060185185185186</v>
      </c>
      <c r="CB22" s="212">
        <f>IF(CA22="","",CA22*5)</f>
        <v>13.530092592592593</v>
      </c>
      <c r="CC22" s="175"/>
      <c r="CD22" s="175"/>
      <c r="CE22" s="151"/>
      <c r="CF22" s="151"/>
      <c r="CG22" s="151"/>
      <c r="CH22" s="188">
        <f>IF(COUNT(CH20,CH16,CH13,CH10,CH4)=0,"",SUM($B$4*IF(COUNT(CH4)=0,0,CH4),$B$10*IF(COUNT(CH10)=0,0,CH10),$B$13*IF(COUNT(CH13)=0,0,CH13),$B$16*IF(COUNT(CH16)=0,0,CH16),$B$20*IF(COUNT(CH20)=0,0,CH20))/SUM($B$4*COUNT(CH4),$B$10*COUNT(CH10),$B$13*COUNT(CH13),$B$16*COUNT(CH16),$B$20*COUNT(CH20)))</f>
        <v>3.0555555555555554</v>
      </c>
      <c r="CI22" s="189">
        <f>IF(CH22="","",CH22*5)</f>
        <v>15.277777777777777</v>
      </c>
      <c r="CJ22" s="82"/>
      <c r="CK22" s="82"/>
      <c r="CL22" s="82"/>
      <c r="CM22" s="82"/>
      <c r="CN22" s="188">
        <f>IF(COUNT(CN20,CN16,CN13,CN10,CN4)=0,"",SUM($B$4*IF(COUNT(CN4)=0,0,CN4),$B$10*IF(COUNT(CN10)=0,0,CN10),$B$13*IF(COUNT(CN13)=0,0,CN13),$B$16*IF(COUNT(CN16)=0,0,CN16),$B$20*IF(COUNT(CN20)=0,0,CN20))/SUM($B$4*COUNT(CN4),$B$10*COUNT(CN10),$B$13*COUNT(CN13),$B$16*COUNT(CN16),$B$20*COUNT(CN20)))</f>
        <v>3.8</v>
      </c>
      <c r="CO22" s="195">
        <f>IF(CN22="","",CN22*5)</f>
        <v>19</v>
      </c>
      <c r="CP22" s="82"/>
      <c r="CQ22" s="82"/>
      <c r="CR22" s="82"/>
      <c r="CS22" s="82"/>
      <c r="CT22" s="82"/>
      <c r="CU22" s="188">
        <f>IF(COUNT(CU20,CU16,CU13,CU10,CU4)=0,"",SUM($B$4*IF(COUNT(CU4)=0,0,CU4),$B$10*IF(COUNT(CU10)=0,0,CU10),$B$13*IF(COUNT(CU13)=0,0,CU13),$B$16*IF(COUNT(CU16)=0,0,CU16),$B$20*IF(COUNT(CU20)=0,0,CU20))/SUM($B$4*COUNT(CU4),$B$10*COUNT(CU10),$B$13*COUNT(CU13),$B$16*COUNT(CU16),$B$20*COUNT(CU20)))</f>
        <v>3.407407407407407</v>
      </c>
      <c r="CV22" s="212">
        <f>IF(CU22="","",CU22*5)</f>
        <v>17.037037037037035</v>
      </c>
      <c r="CW22" s="175"/>
      <c r="CX22" s="175"/>
      <c r="CY22" s="151"/>
      <c r="CZ22" s="151"/>
      <c r="DA22" s="151"/>
      <c r="DB22" s="188">
        <f>IF(COUNT(DB20,DB16,DB13,DB10,DB4)=0,"",SUM($B$4*IF(COUNT(DB4)=0,0,DB4),$B$10*IF(COUNT(DB10)=0,0,DB10),$B$13*IF(COUNT(DB13)=0,0,DB13),$B$16*IF(COUNT(DB16)=0,0,DB16),$B$20*IF(COUNT(DB20)=0,0,DB20))/SUM($B$4*COUNT(DB4),$B$10*COUNT(DB10),$B$13*COUNT(DB13),$B$16*COUNT(DB16),$B$20*COUNT(DB20)))</f>
        <v>2.5555555555555554</v>
      </c>
      <c r="DC22" s="189">
        <f>IF(DB22="","",DB22*5)</f>
        <v>12.777777777777777</v>
      </c>
      <c r="DD22" s="82"/>
      <c r="DE22" s="82"/>
      <c r="DF22" s="82"/>
      <c r="DG22" s="82"/>
      <c r="DH22" s="188">
        <f>IF(COUNT(DH20,DH16,DH13,DH10,DH4)=0,"",SUM($B$4*IF(COUNT(DH4)=0,0,DH4),$B$10*IF(COUNT(DH10)=0,0,DH10),$B$13*IF(COUNT(DH13)=0,0,DH13),$B$16*IF(COUNT(DH16)=0,0,DH16),$B$20*IF(COUNT(DH20)=0,0,DH20))/SUM($B$4*COUNT(DH4),$B$10*COUNT(DH10),$B$13*COUNT(DH13),$B$16*COUNT(DH16),$B$20*COUNT(DH20)))</f>
        <v>2.4</v>
      </c>
      <c r="DI22" s="195">
        <f>IF(DH22="","",DH22*5)</f>
        <v>12</v>
      </c>
      <c r="DJ22" s="82"/>
      <c r="DK22" s="82"/>
      <c r="DL22" s="82"/>
      <c r="DM22" s="82"/>
      <c r="DN22" s="82"/>
      <c r="DO22" s="188">
        <f>IF(COUNT(DO20,DO16,DO13,DO10,DO4)=0,"",SUM($B$4*IF(COUNT(DO4)=0,0,DO4),$B$10*IF(COUNT(DO10)=0,0,DO10),$B$13*IF(COUNT(DO13)=0,0,DO13),$B$16*IF(COUNT(DO16)=0,0,DO16),$B$20*IF(COUNT(DO20)=0,0,DO20))/SUM($B$4*COUNT(DO4),$B$10*COUNT(DO10),$B$13*COUNT(DO13),$B$16*COUNT(DO16),$B$20*COUNT(DO20)))</f>
        <v>2.2037037037037037</v>
      </c>
      <c r="DP22" s="212">
        <f>IF(DO22="","",DO22*5)</f>
        <v>11.018518518518519</v>
      </c>
      <c r="DQ22" s="175"/>
      <c r="DR22" s="175"/>
      <c r="DS22" s="151"/>
      <c r="DT22" s="151"/>
      <c r="DU22" s="151"/>
      <c r="DV22" s="188">
        <f>IF(COUNT(DV20,DV16,DV13,DV10,DV4)=0,"",SUM($B$4*IF(COUNT(DV4)=0,0,DV4),$B$10*IF(COUNT(DV10)=0,0,DV10),$B$13*IF(COUNT(DV13)=0,0,DV13),$B$16*IF(COUNT(DV16)=0,0,DV16),$B$20*IF(COUNT(DV20)=0,0,DV20))/SUM($B$4*COUNT(DV4),$B$10*COUNT(DV10),$B$13*COUNT(DV13),$B$16*COUNT(DV16),$B$20*COUNT(DV20)))</f>
        <v>1.7222222222222223</v>
      </c>
      <c r="DW22" s="189">
        <f>IF(DV22="","",DV22*5)</f>
        <v>8.6111111111111107</v>
      </c>
      <c r="DX22" s="82"/>
      <c r="DY22" s="82"/>
      <c r="DZ22" s="82"/>
      <c r="EA22" s="82"/>
      <c r="EB22" s="188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3.2</v>
      </c>
      <c r="EC22" s="195">
        <f>IF(EB22="","",EB22*5)</f>
        <v>16</v>
      </c>
      <c r="ED22" s="82"/>
      <c r="EE22" s="82"/>
      <c r="EF22" s="82"/>
      <c r="EG22" s="82"/>
      <c r="EH22" s="82"/>
      <c r="EI22" s="188">
        <f>IF(COUNT(EI20,EI16,EI13,EI10,EI4)=0,"",SUM($B$4*IF(COUNT(EI4)=0,0,EI4),$B$10*IF(COUNT(EI10)=0,0,EI10),$B$13*IF(COUNT(EI13)=0,0,EI13),$B$16*IF(COUNT(EI16)=0,0,EI16),$B$20*IF(COUNT(EI20)=0,0,EI20))/SUM($B$4*COUNT(EI4),$B$10*COUNT(EI10),$B$13*COUNT(EI13),$B$16*COUNT(EI16),$B$20*COUNT(EI20)))</f>
        <v>2.9791666666666665</v>
      </c>
      <c r="EJ22" s="212">
        <f>IF(EI22="","",EI22*5)</f>
        <v>14.895833333333332</v>
      </c>
      <c r="EK22" s="175"/>
      <c r="EL22" s="175"/>
      <c r="EM22" s="151"/>
      <c r="EN22" s="151"/>
      <c r="EO22" s="151"/>
      <c r="EP22" s="188">
        <f>IF(COUNT(EP20,EP16,EP13,EP10,EP4)=0,"",SUM($B$4*IF(COUNT(EP4)=0,0,EP4),$B$10*IF(COUNT(EP10)=0,0,EP10),$B$13*IF(COUNT(EP13)=0,0,EP13),$B$16*IF(COUNT(EP16)=0,0,EP16),$B$20*IF(COUNT(EP20)=0,0,EP20))/SUM($B$4*COUNT(EP4),$B$10*COUNT(EP10),$B$13*COUNT(EP13),$B$16*COUNT(EP16),$B$20*COUNT(EP20)))</f>
        <v>3.1666666666666665</v>
      </c>
      <c r="EQ22" s="189">
        <f>IF(EP22="","",EP22*5)</f>
        <v>15.833333333333332</v>
      </c>
      <c r="ER22" s="82"/>
      <c r="ES22" s="82"/>
      <c r="ET22" s="82"/>
      <c r="EU22" s="82"/>
      <c r="EV22" s="188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>2.8</v>
      </c>
      <c r="EW22" s="195">
        <f>IF(EV22="","",EV22*5)</f>
        <v>14</v>
      </c>
      <c r="EX22" s="82"/>
      <c r="EY22" s="82"/>
      <c r="EZ22" s="82"/>
      <c r="FA22" s="82"/>
      <c r="FB22" s="82"/>
      <c r="FC22" s="188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3.3587962962962958</v>
      </c>
      <c r="FD22" s="212">
        <f>IF(FC22="","",FC22*5)</f>
        <v>16.793981481481481</v>
      </c>
      <c r="FE22" s="175"/>
      <c r="FF22" s="175"/>
      <c r="FG22" s="151"/>
      <c r="FH22" s="151"/>
      <c r="FI22" s="151"/>
      <c r="FJ22" s="188">
        <f>IF(COUNT(FJ20,FJ16,FJ13,FJ10,FJ4)=0,"",SUM($B$4*IF(COUNT(FJ4)=0,0,FJ4),$B$10*IF(COUNT(FJ10)=0,0,FJ10),$B$13*IF(COUNT(FJ13)=0,0,FJ13),$B$16*IF(COUNT(FJ16)=0,0,FJ16),$B$20*IF(COUNT(FJ20)=0,0,FJ20))/SUM($B$4*COUNT(FJ4),$B$10*COUNT(FJ10),$B$13*COUNT(FJ13),$B$16*COUNT(FJ16),$B$20*COUNT(FJ20)))</f>
        <v>2.4444444444444446</v>
      </c>
      <c r="FK22" s="189">
        <f>IF(FJ22="","",FJ22*5)</f>
        <v>12.222222222222223</v>
      </c>
      <c r="FL22" s="82"/>
      <c r="FM22" s="82"/>
      <c r="FN22" s="82"/>
      <c r="FO22" s="82"/>
      <c r="FP22" s="188">
        <f>IF(COUNT(FP20,FP16,FP13,FP10,FP4)=0,"",SUM($B$4*IF(COUNT(FP4)=0,0,FP4),$B$10*IF(COUNT(FP10)=0,0,FP10),$B$13*IF(COUNT(FP13)=0,0,FP13),$B$16*IF(COUNT(FP16)=0,0,FP16),$B$20*IF(COUNT(FP20)=0,0,FP20))/SUM($B$4*COUNT(FP4),$B$10*COUNT(FP10),$B$13*COUNT(FP13),$B$16*COUNT(FP16),$B$20*COUNT(FP20)))</f>
        <v>3.4</v>
      </c>
      <c r="FQ22" s="195">
        <f>IF(FP22="","",FP22*5)</f>
        <v>17</v>
      </c>
      <c r="FR22" s="82"/>
      <c r="FS22" s="82"/>
      <c r="FT22" s="82"/>
      <c r="FU22" s="82"/>
      <c r="FV22" s="82"/>
      <c r="FW22" s="188">
        <f>IF(COUNT(FW20,FW16,FW13,FW10,FW4)=0,"",SUM($B$4*IF(COUNT(FW4)=0,0,FW4),$B$10*IF(COUNT(FW10)=0,0,FW10),$B$13*IF(COUNT(FW13)=0,0,FW13),$B$16*IF(COUNT(FW16)=0,0,FW16),$B$20*IF(COUNT(FW20)=0,0,FW20))/SUM($B$4*COUNT(FW4),$B$10*COUNT(FW10),$B$13*COUNT(FW13),$B$16*COUNT(FW16),$B$20*COUNT(FW20)))</f>
        <v>2.4930555555555554</v>
      </c>
      <c r="FX22" s="212">
        <f>IF(FW22="","",FW22*5)</f>
        <v>12.465277777777777</v>
      </c>
      <c r="FY22" s="175"/>
      <c r="FZ22" s="175"/>
      <c r="GA22" s="151"/>
      <c r="GB22" s="151"/>
      <c r="GC22" s="151"/>
      <c r="GD22" s="188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>2.0555555555555554</v>
      </c>
      <c r="GE22" s="189">
        <f>IF(GD22="","",GD22*5)</f>
        <v>10.277777777777777</v>
      </c>
      <c r="GF22" s="82"/>
      <c r="GG22" s="82"/>
      <c r="GH22" s="82"/>
      <c r="GI22" s="82"/>
      <c r="GJ22" s="188" t="str">
        <f>IF(COUNT(GJ20,GJ16,GJ13,GJ10,GJ4)=0,"",SUM($B$4*IF(COUNT(GJ4)=0,0,GJ4),$B$10*IF(COUNT(GJ10)=0,0,GJ10),$B$13*IF(COUNT(GJ13)=0,0,GJ13),$B$16*IF(COUNT(GJ16)=0,0,GJ16),$B$20*IF(COUNT(GJ20)=0,0,GJ20))/SUM($B$4*COUNT(GJ4),$B$10*COUNT(GJ10),$B$13*COUNT(GJ13),$B$16*COUNT(GJ16),$B$20*COUNT(GJ20)))</f>
        <v/>
      </c>
      <c r="GK22" s="195" t="str">
        <f>IF(GJ22="","",GJ22*5)</f>
        <v/>
      </c>
      <c r="GL22" s="82"/>
      <c r="GM22" s="82"/>
      <c r="GN22" s="82"/>
      <c r="GO22" s="82"/>
      <c r="GP22" s="82"/>
      <c r="GQ22" s="188">
        <f>IF(COUNT(GQ20,GQ16,GQ13,GQ10,GQ4)=0,"",SUM($B$4*IF(COUNT(GQ4)=0,0,GQ4),$B$10*IF(COUNT(GQ10)=0,0,GQ10),$B$13*IF(COUNT(GQ13)=0,0,GQ13),$B$16*IF(COUNT(GQ16)=0,0,GQ16),$B$20*IF(COUNT(GQ20)=0,0,GQ20))/SUM($B$4*COUNT(GQ4),$B$10*COUNT(GQ10),$B$13*COUNT(GQ13),$B$16*COUNT(GQ16),$B$20*COUNT(GQ20)))</f>
        <v>2.886574074074074</v>
      </c>
      <c r="GR22" s="212">
        <f>IF(GQ22="","",GQ22*5)</f>
        <v>14.43287037037037</v>
      </c>
      <c r="GS22" s="175"/>
      <c r="GT22" s="175"/>
      <c r="GU22" s="151"/>
      <c r="GV22" s="151"/>
      <c r="GW22" s="151"/>
      <c r="GX22" s="188">
        <f>IF(COUNT(GX20,GX16,GX13,GX10,GX4)=0,"",SUM($B$4*IF(COUNT(GX4)=0,0,GX4),$B$10*IF(COUNT(GX10)=0,0,GX10),$B$13*IF(COUNT(GX13)=0,0,GX13),$B$16*IF(COUNT(GX16)=0,0,GX16),$B$20*IF(COUNT(GX20)=0,0,GX20))/SUM($B$4*COUNT(GX4),$B$10*COUNT(GX10),$B$13*COUNT(GX13),$B$16*COUNT(GX16),$B$20*COUNT(GX20)))</f>
        <v>2.2222222222222223</v>
      </c>
      <c r="GY22" s="189">
        <f>IF(GX22="","",GX22*5)</f>
        <v>11.111111111111111</v>
      </c>
      <c r="GZ22" s="82"/>
      <c r="HA22" s="82"/>
      <c r="HB22" s="82"/>
      <c r="HC22" s="82"/>
      <c r="HD22" s="188">
        <f>IF(COUNT(HD20,HD16,HD13,HD10,HD4)=0,"",SUM($B$4*IF(COUNT(HD4)=0,0,HD4),$B$10*IF(COUNT(HD10)=0,0,HD10),$B$13*IF(COUNT(HD13)=0,0,HD13),$B$16*IF(COUNT(HD16)=0,0,HD16),$B$20*IF(COUNT(HD20)=0,0,HD20))/SUM($B$4*COUNT(HD4),$B$10*COUNT(HD10),$B$13*COUNT(HD13),$B$16*COUNT(HD16),$B$20*COUNT(HD20)))</f>
        <v>2.8</v>
      </c>
      <c r="HE22" s="195">
        <f>IF(HD22="","",HD22*5)</f>
        <v>14</v>
      </c>
      <c r="HF22" s="82"/>
      <c r="HG22" s="82"/>
      <c r="HH22" s="82"/>
      <c r="HI22" s="82"/>
      <c r="HJ22" s="82"/>
      <c r="HK22" s="188">
        <f>IF(COUNT(HK20,HK16,HK13,HK10,HK4)=0,"",SUM($B$4*IF(COUNT(HK4)=0,0,HK4),$B$10*IF(COUNT(HK10)=0,0,HK10),$B$13*IF(COUNT(HK13)=0,0,HK13),$B$16*IF(COUNT(HK16)=0,0,HK16),$B$20*IF(COUNT(HK20)=0,0,HK20))/SUM($B$4*COUNT(HK4),$B$10*COUNT(HK10),$B$13*COUNT(HK13),$B$16*COUNT(HK16),$B$20*COUNT(HK20)))</f>
        <v>2.5787037037037037</v>
      </c>
      <c r="HL22" s="212">
        <f>IF(HK22="","",HK22*5)</f>
        <v>12.893518518518519</v>
      </c>
      <c r="HM22" s="175"/>
      <c r="HN22" s="175"/>
      <c r="HO22" s="151"/>
      <c r="HP22" s="151"/>
      <c r="HQ22" s="151"/>
      <c r="HR22" s="188">
        <f>IF(COUNT(HR20,HR16,HR13,HR10,HR4)=0,"",SUM($B$4*IF(COUNT(HR4)=0,0,HR4),$B$10*IF(COUNT(HR10)=0,0,HR10),$B$13*IF(COUNT(HR13)=0,0,HR13),$B$16*IF(COUNT(HR16)=0,0,HR16),$B$20*IF(COUNT(HR20)=0,0,HR20))/SUM($B$4*COUNT(HR4),$B$10*COUNT(HR10),$B$13*COUNT(HR13),$B$16*COUNT(HR16),$B$20*COUNT(HR20)))</f>
        <v>2.1666666666666665</v>
      </c>
      <c r="HS22" s="189">
        <f>IF(HR22="","",HR22*5)</f>
        <v>10.833333333333332</v>
      </c>
      <c r="HT22" s="82"/>
      <c r="HU22" s="82"/>
      <c r="HV22" s="82"/>
      <c r="HW22" s="82"/>
      <c r="HX22" s="188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>3.2</v>
      </c>
      <c r="HY22" s="195">
        <f>IF(HX22="","",HX22*5)</f>
        <v>16</v>
      </c>
      <c r="HZ22" s="82"/>
      <c r="IA22" s="82"/>
      <c r="IB22" s="82"/>
      <c r="IC22" s="82"/>
      <c r="ID22" s="82"/>
      <c r="IE22" s="188">
        <f>IF(COUNT(IE20,IE16,IE13,IE10,IE4)=0,"",SUM($B$4*IF(COUNT(IE4)=0,0,IE4),$B$10*IF(COUNT(IE10)=0,0,IE10),$B$13*IF(COUNT(IE13)=0,0,IE13),$B$16*IF(COUNT(IE16)=0,0,IE16),$B$20*IF(COUNT(IE20)=0,0,IE20))/SUM($B$4*COUNT(IE4),$B$10*COUNT(IE10),$B$13*COUNT(IE13),$B$16*COUNT(IE16),$B$20*COUNT(IE20)))</f>
        <v>3.1574074074074079</v>
      </c>
      <c r="IF22" s="212">
        <f>IF(IE22="","",IE22*5)</f>
        <v>15.78703703703704</v>
      </c>
      <c r="IG22" s="175"/>
      <c r="IH22" s="175"/>
      <c r="II22" s="151"/>
      <c r="IJ22" s="151"/>
      <c r="IK22" s="151"/>
      <c r="IL22" s="188">
        <f>IF(COUNT(IL20,IL16,IL13,IL10,IL4)=0,"",SUM($B$4*IF(COUNT(IL4)=0,0,IL4),$B$10*IF(COUNT(IL10)=0,0,IL10),$B$13*IF(COUNT(IL13)=0,0,IL13),$B$16*IF(COUNT(IL16)=0,0,IL16),$B$20*IF(COUNT(IL20)=0,0,IL20))/SUM($B$4*COUNT(IL4),$B$10*COUNT(IL10),$B$13*COUNT(IL13),$B$16*COUNT(IL16),$B$20*COUNT(IL20)))</f>
        <v>2.5555555555555558</v>
      </c>
      <c r="IM22" s="189">
        <f>IF(IL22="","",IL22*5)</f>
        <v>12.777777777777779</v>
      </c>
      <c r="IN22" s="82"/>
      <c r="IO22" s="82"/>
      <c r="IP22" s="82"/>
      <c r="IQ22" s="82"/>
      <c r="IR22" s="188" t="str">
        <f>IF(COUNT(IR20,IR16,IR13,IR10,IR4)=0,"",SUM($B$4*IF(COUNT(IR4)=0,0,IR4),$B$10*IF(COUNT(IR10)=0,0,IR10),$B$13*IF(COUNT(IR13)=0,0,IR13),$B$16*IF(COUNT(IR16)=0,0,IR16),$B$20*IF(COUNT(IR20)=0,0,IR20))/SUM($B$4*COUNT(IR4),$B$10*COUNT(IR10),$B$13*COUNT(IR13),$B$16*COUNT(IR16),$B$20*COUNT(IR20)))</f>
        <v/>
      </c>
      <c r="IS22" s="195" t="str">
        <f>IF(IR22="","",IR22*5)</f>
        <v/>
      </c>
      <c r="IT22" s="82"/>
      <c r="IU22" s="82"/>
      <c r="IV22" s="82"/>
      <c r="IW22" s="82"/>
      <c r="IX22" s="82"/>
      <c r="IY22" s="188">
        <f>IF(COUNT(IY20,IY16,IY13,IY10,IY4)=0,"",SUM($B$4*IF(COUNT(IY4)=0,0,IY4),$B$10*IF(COUNT(IY10)=0,0,IY10),$B$13*IF(COUNT(IY13)=0,0,IY13),$B$16*IF(COUNT(IY16)=0,0,IY16),$B$20*IF(COUNT(IY20)=0,0,IY20))/SUM($B$4*COUNT(IY4),$B$10*COUNT(IY10),$B$13*COUNT(IY13),$B$16*COUNT(IY16),$B$20*COUNT(IY20)))</f>
        <v>3.2013888888888888</v>
      </c>
      <c r="IZ22" s="212">
        <f>IF(IY22="","",IY22*5)</f>
        <v>16.006944444444443</v>
      </c>
      <c r="JA22" s="175"/>
      <c r="JB22" s="175"/>
      <c r="JC22" s="151"/>
      <c r="JD22" s="151"/>
      <c r="JE22" s="151"/>
      <c r="JF22" s="188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>3.0555555555555554</v>
      </c>
      <c r="JG22" s="189">
        <f>IF(JF22="","",JF22*5)</f>
        <v>15.277777777777777</v>
      </c>
      <c r="JH22" s="82"/>
      <c r="JI22" s="82"/>
      <c r="JJ22" s="82"/>
      <c r="JK22" s="82"/>
      <c r="JL22" s="188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3.4</v>
      </c>
      <c r="JM22" s="195">
        <f>IF(JL22="","",JL22*5)</f>
        <v>17</v>
      </c>
      <c r="JN22" s="82"/>
      <c r="JO22" s="82"/>
      <c r="JP22" s="82"/>
      <c r="JQ22" s="82"/>
      <c r="JR22" s="82"/>
      <c r="JS22" s="188">
        <f>IF(COUNT(JS20,JS16,JS13,JS10,JS4)=0,"",SUM($B$4*IF(COUNT(JS4)=0,0,JS4),$B$10*IF(COUNT(JS10)=0,0,JS10),$B$13*IF(COUNT(JS13)=0,0,JS13),$B$16*IF(COUNT(JS16)=0,0,JS16),$B$20*IF(COUNT(JS20)=0,0,JS20))/SUM($B$4*COUNT(JS4),$B$10*COUNT(JS10),$B$13*COUNT(JS13),$B$16*COUNT(JS16),$B$20*COUNT(JS20)))</f>
        <v>3.3587962962962958</v>
      </c>
      <c r="JT22" s="212">
        <f>IF(JS22="","",JS22*5)</f>
        <v>16.793981481481481</v>
      </c>
      <c r="JU22" s="175"/>
      <c r="JV22" s="175"/>
      <c r="JW22" s="151"/>
      <c r="JX22" s="151"/>
      <c r="JY22" s="151"/>
      <c r="JZ22" s="188">
        <f>IF(COUNT(JZ20,JZ16,JZ13,JZ10,JZ4)=0,"",SUM($B$4*IF(COUNT(JZ4)=0,0,JZ4),$B$10*IF(COUNT(JZ10)=0,0,JZ10),$B$13*IF(COUNT(JZ13)=0,0,JZ13),$B$16*IF(COUNT(JZ16)=0,0,JZ16),$B$20*IF(COUNT(JZ20)=0,0,JZ20))/SUM($B$4*COUNT(JZ4),$B$10*COUNT(JZ10),$B$13*COUNT(JZ13),$B$16*COUNT(JZ16),$B$20*COUNT(JZ20)))</f>
        <v>2.8333333333333335</v>
      </c>
      <c r="KA22" s="189">
        <f>IF(JZ22="","",JZ22*5)</f>
        <v>14.166666666666668</v>
      </c>
      <c r="KB22" s="82"/>
      <c r="KC22" s="82"/>
      <c r="KD22" s="82"/>
      <c r="KE22" s="82"/>
      <c r="KF22" s="188">
        <f>IF(COUNT(KF20,KF16,KF13,KF10,KF4)=0,"",SUM($B$4*IF(COUNT(KF4)=0,0,KF4),$B$10*IF(COUNT(KF10)=0,0,KF10),$B$13*IF(COUNT(KF13)=0,0,KF13),$B$16*IF(COUNT(KF16)=0,0,KF16),$B$20*IF(COUNT(KF20)=0,0,KF20))/SUM($B$4*COUNT(KF4),$B$10*COUNT(KF10),$B$13*COUNT(KF13),$B$16*COUNT(KF16),$B$20*COUNT(KF20)))</f>
        <v>3.4</v>
      </c>
      <c r="KG22" s="195">
        <f>IF(KF22="","",KF22*5)</f>
        <v>17</v>
      </c>
      <c r="KH22" s="82"/>
      <c r="KI22" s="82"/>
      <c r="KJ22" s="82"/>
      <c r="KK22" s="82"/>
      <c r="KL22" s="82"/>
      <c r="KM22" s="188">
        <f>IF(COUNT(KM20,KM16,KM13,KM10,KM4)=0,"",SUM($B$4*IF(COUNT(KM4)=0,0,KM4),$B$10*IF(COUNT(KM10)=0,0,KM10),$B$13*IF(COUNT(KM13)=0,0,KM13),$B$16*IF(COUNT(KM16)=0,0,KM16),$B$20*IF(COUNT(KM20)=0,0,KM20))/SUM($B$4*COUNT(KM4),$B$10*COUNT(KM10),$B$13*COUNT(KM13),$B$16*COUNT(KM16),$B$20*COUNT(KM20)))</f>
        <v>3.1921296296296298</v>
      </c>
      <c r="KN22" s="212">
        <f>IF(KM22="","",KM22*5)</f>
        <v>15.960648148148149</v>
      </c>
      <c r="KO22" s="175"/>
      <c r="KP22" s="175"/>
      <c r="KQ22" s="151"/>
      <c r="KR22" s="151"/>
      <c r="KS22" s="151"/>
      <c r="KT22" s="188">
        <f>IF(COUNT(KT20,KT16,KT13,KT10,KT4)=0,"",SUM($B$4*IF(COUNT(KT4)=0,0,KT4),$B$10*IF(COUNT(KT10)=0,0,KT10),$B$13*IF(COUNT(KT13)=0,0,KT13),$B$16*IF(COUNT(KT16)=0,0,KT16),$B$20*IF(COUNT(KT20)=0,0,KT20))/SUM($B$4*COUNT(KT4),$B$10*COUNT(KT10),$B$13*COUNT(KT13),$B$16*COUNT(KT16),$B$20*COUNT(KT20)))</f>
        <v>1.8888888888888891</v>
      </c>
      <c r="KU22" s="189">
        <f>IF(KT22="","",KT22*5)</f>
        <v>9.4444444444444446</v>
      </c>
      <c r="KV22" s="82"/>
      <c r="KW22" s="82"/>
      <c r="KX22" s="82"/>
      <c r="KY22" s="82"/>
      <c r="KZ22" s="188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3</v>
      </c>
      <c r="LA22" s="195">
        <f>IF(KZ22="","",KZ22*5)</f>
        <v>15</v>
      </c>
      <c r="LB22" s="82"/>
      <c r="LC22" s="82"/>
      <c r="LD22" s="82"/>
      <c r="LE22" s="82"/>
      <c r="LF22" s="82"/>
      <c r="LG22" s="188">
        <f>IF(COUNT(LG20,LG16,LG13,LG10,LG4)=0,"",SUM($B$4*IF(COUNT(LG4)=0,0,LG4),$B$10*IF(COUNT(LG10)=0,0,LG10),$B$13*IF(COUNT(LG13)=0,0,LG13),$B$16*IF(COUNT(LG16)=0,0,LG16),$B$20*IF(COUNT(LG20)=0,0,LG20))/SUM($B$4*COUNT(LG4),$B$10*COUNT(LG10),$B$13*COUNT(LG13),$B$16*COUNT(LG16),$B$20*COUNT(LG20)))</f>
        <v>2.8101851851851851</v>
      </c>
      <c r="LH22" s="212">
        <f>IF(LG22="","",LG22*5)</f>
        <v>14.050925925925926</v>
      </c>
      <c r="LI22" s="175"/>
      <c r="LJ22" s="175"/>
      <c r="LK22" s="151"/>
      <c r="LL22" s="151"/>
      <c r="LM22" s="151"/>
      <c r="LN22" s="188">
        <f>IF(COUNT(LN20,LN16,LN13,LN10,LN4)=0,"",SUM($B$4*IF(COUNT(LN4)=0,0,LN4),$B$10*IF(COUNT(LN10)=0,0,LN10),$B$13*IF(COUNT(LN13)=0,0,LN13),$B$16*IF(COUNT(LN16)=0,0,LN16),$B$20*IF(COUNT(LN20)=0,0,LN20))/SUM($B$4*COUNT(LN4),$B$10*COUNT(LN10),$B$13*COUNT(LN13),$B$16*COUNT(LN16),$B$20*COUNT(LN20)))</f>
        <v>2</v>
      </c>
      <c r="LO22" s="189">
        <f>IF(LN22="","",LN22*5)</f>
        <v>10</v>
      </c>
      <c r="LP22" s="82"/>
      <c r="LQ22" s="82"/>
      <c r="LR22" s="82"/>
      <c r="LS22" s="82"/>
      <c r="LT22" s="188">
        <f>IF(COUNT(LT20,LT16,LT13,LT10,LT4)=0,"",SUM($B$4*IF(COUNT(LT4)=0,0,LT4),$B$10*IF(COUNT(LT10)=0,0,LT10),$B$13*IF(COUNT(LT13)=0,0,LT13),$B$16*IF(COUNT(LT16)=0,0,LT16),$B$20*IF(COUNT(LT20)=0,0,LT20))/SUM($B$4*COUNT(LT4),$B$10*COUNT(LT10),$B$13*COUNT(LT13),$B$16*COUNT(LT16),$B$20*COUNT(LT20)))</f>
        <v>2</v>
      </c>
      <c r="LU22" s="195">
        <f>IF(LT22="","",LT22*5)</f>
        <v>10</v>
      </c>
      <c r="LV22" s="82"/>
      <c r="LW22" s="82"/>
      <c r="LX22" s="82"/>
      <c r="LY22" s="82"/>
      <c r="LZ22" s="82"/>
      <c r="MA22" s="188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>2.4282407407407405</v>
      </c>
      <c r="MB22" s="212">
        <f>IF(MA22="","",MA22*5)</f>
        <v>12.141203703703702</v>
      </c>
      <c r="MC22" s="175"/>
      <c r="MD22" s="175"/>
      <c r="ME22" s="151"/>
      <c r="MF22" s="151"/>
      <c r="MG22" s="151"/>
      <c r="MH22" s="188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2.3333333333333335</v>
      </c>
      <c r="MI22" s="189">
        <f>IF(MH22="","",MH22*5)</f>
        <v>11.666666666666668</v>
      </c>
      <c r="MJ22" s="82"/>
      <c r="MK22" s="82"/>
      <c r="ML22" s="82"/>
      <c r="MM22" s="82"/>
      <c r="MN22" s="188">
        <f>IF(COUNT(MN20,MN16,MN13,MN10,MN4)=0,"",SUM($B$4*IF(COUNT(MN4)=0,0,MN4),$B$10*IF(COUNT(MN10)=0,0,MN10),$B$13*IF(COUNT(MN13)=0,0,MN13),$B$16*IF(COUNT(MN16)=0,0,MN16),$B$20*IF(COUNT(MN20)=0,0,MN20))/SUM($B$4*COUNT(MN4),$B$10*COUNT(MN10),$B$13*COUNT(MN13),$B$16*COUNT(MN16),$B$20*COUNT(MN20)))</f>
        <v>2.2000000000000002</v>
      </c>
      <c r="MO22" s="195">
        <f>IF(MN22="","",MN22*5)</f>
        <v>11</v>
      </c>
      <c r="MP22" s="82"/>
      <c r="MQ22" s="82"/>
      <c r="MR22" s="82"/>
      <c r="MS22" s="82"/>
      <c r="MT22" s="82"/>
      <c r="MU22" s="188">
        <f>IF(COUNT(MU20,MU16,MU13,MU10,MU4)=0,"",SUM($B$4*IF(COUNT(MU4)=0,0,MU4),$B$10*IF(COUNT(MU10)=0,0,MU10),$B$13*IF(COUNT(MU13)=0,0,MU13),$B$16*IF(COUNT(MU16)=0,0,MU16),$B$20*IF(COUNT(MU20)=0,0,MU20))/SUM($B$4*COUNT(MU4),$B$10*COUNT(MU10),$B$13*COUNT(MU13),$B$16*COUNT(MU16),$B$20*COUNT(MU20)))</f>
        <v>2.4212962962962963</v>
      </c>
      <c r="MV22" s="212">
        <f>IF(MU22="","",MU22*5)</f>
        <v>12.106481481481481</v>
      </c>
      <c r="MW22" s="175"/>
      <c r="MX22" s="175"/>
      <c r="MY22" s="151"/>
      <c r="MZ22" s="151"/>
      <c r="NA22" s="151"/>
      <c r="NB22" s="188">
        <f>IF(COUNT(NB20,NB16,NB13,NB10,NB4)=0,"",SUM($B$4*IF(COUNT(NB4)=0,0,NB4),$B$10*IF(COUNT(NB10)=0,0,NB10),$B$13*IF(COUNT(NB13)=0,0,NB13),$B$16*IF(COUNT(NB16)=0,0,NB16),$B$20*IF(COUNT(NB20)=0,0,NB20))/SUM($B$4*COUNT(NB4),$B$10*COUNT(NB10),$B$13*COUNT(NB13),$B$16*COUNT(NB16),$B$20*COUNT(NB20)))</f>
        <v>2.8888888888888888</v>
      </c>
      <c r="NC22" s="189">
        <f>IF(NB22="","",NB22*5)</f>
        <v>14.444444444444445</v>
      </c>
      <c r="ND22" s="82"/>
      <c r="NE22" s="82"/>
      <c r="NF22" s="82"/>
      <c r="NG22" s="82"/>
      <c r="NH22" s="188">
        <f>IF(COUNT(NH20,NH16,NH13,NH10,NH4)=0,"",SUM($B$4*IF(COUNT(NH4)=0,0,NH4),$B$10*IF(COUNT(NH10)=0,0,NH10),$B$13*IF(COUNT(NH13)=0,0,NH13),$B$16*IF(COUNT(NH16)=0,0,NH16),$B$20*IF(COUNT(NH20)=0,0,NH20))/SUM($B$4*COUNT(NH4),$B$10*COUNT(NH10),$B$13*COUNT(NH13),$B$16*COUNT(NH16),$B$20*COUNT(NH20)))</f>
        <v>3.4</v>
      </c>
      <c r="NI22" s="195">
        <f>IF(NH22="","",NH22*5)</f>
        <v>17</v>
      </c>
      <c r="NJ22" s="82"/>
      <c r="NK22" s="82"/>
      <c r="NL22" s="82"/>
      <c r="NM22" s="82"/>
      <c r="NN22" s="82"/>
      <c r="NO22" s="188">
        <f>IF(COUNT(NO20,NO16,NO13,NO10,NO4)=0,"",SUM($B$4*IF(COUNT(NO4)=0,0,NO4),$B$10*IF(COUNT(NO10)=0,0,NO10),$B$13*IF(COUNT(NO13)=0,0,NO13),$B$16*IF(COUNT(NO16)=0,0,NO16),$B$20*IF(COUNT(NO20)=0,0,NO20))/SUM($B$4*COUNT(NO4),$B$10*COUNT(NO10),$B$13*COUNT(NO13),$B$16*COUNT(NO16),$B$20*COUNT(NO20)))</f>
        <v>2.7777777777777772</v>
      </c>
      <c r="NP22" s="212">
        <f>IF(NO22="","",NO22*5)</f>
        <v>13.888888888888886</v>
      </c>
      <c r="NQ22" s="175"/>
      <c r="NR22" s="175"/>
      <c r="NS22" s="151"/>
      <c r="NT22" s="151"/>
      <c r="NU22" s="151"/>
      <c r="NV22" s="188">
        <f>IF(COUNT(NV20,NV16,NV13,NV10,NV4)=0,"",SUM($B$4*IF(COUNT(NV4)=0,0,NV4),$B$10*IF(COUNT(NV10)=0,0,NV10),$B$13*IF(COUNT(NV13)=0,0,NV13),$B$16*IF(COUNT(NV16)=0,0,NV16),$B$20*IF(COUNT(NV20)=0,0,NV20))/SUM($B$4*COUNT(NV4),$B$10*COUNT(NV10),$B$13*COUNT(NV13),$B$16*COUNT(NV16),$B$20*COUNT(NV20)))</f>
        <v>3.1111111111111112</v>
      </c>
      <c r="NW22" s="189">
        <f>IF(NV22="","",NV22*5)</f>
        <v>15.555555555555555</v>
      </c>
      <c r="NX22" s="82"/>
      <c r="NY22" s="82"/>
      <c r="NZ22" s="82"/>
      <c r="OA22" s="82"/>
      <c r="OB22" s="188">
        <f>IF(COUNT(OB20,OB16,OB13,OB10,OB4)=0,"",SUM($B$4*IF(COUNT(OB4)=0,0,OB4),$B$10*IF(COUNT(OB10)=0,0,OB10),$B$13*IF(COUNT(OB13)=0,0,OB13),$B$16*IF(COUNT(OB16)=0,0,OB16),$B$20*IF(COUNT(OB20)=0,0,OB20))/SUM($B$4*COUNT(OB4),$B$10*COUNT(OB10),$B$13*COUNT(OB13),$B$16*COUNT(OB16),$B$20*COUNT(OB20)))</f>
        <v>3.4</v>
      </c>
      <c r="OC22" s="195">
        <f>IF(OB22="","",OB22*5)</f>
        <v>17</v>
      </c>
      <c r="OD22" s="82"/>
      <c r="OE22" s="82"/>
      <c r="OF22" s="82"/>
      <c r="OG22" s="82"/>
      <c r="OH22" s="82"/>
      <c r="OI22" s="188">
        <f>IF(COUNT(OI20,OI16,OI13,OI10,OI4)=0,"",SUM($B$4*IF(COUNT(OI4)=0,0,OI4),$B$10*IF(COUNT(OI10)=0,0,OI10),$B$13*IF(COUNT(OI13)=0,0,OI13),$B$16*IF(COUNT(OI16)=0,0,OI16),$B$20*IF(COUNT(OI20)=0,0,OI20))/SUM($B$4*COUNT(OI4),$B$10*COUNT(OI10),$B$13*COUNT(OI13),$B$16*COUNT(OI16),$B$20*COUNT(OI20)))</f>
        <v>3.2962962962962963</v>
      </c>
      <c r="OJ22" s="212">
        <f>IF(OI22="","",OI22*5)</f>
        <v>16.481481481481481</v>
      </c>
      <c r="OK22" s="175"/>
      <c r="OL22" s="175"/>
      <c r="OM22" s="151"/>
      <c r="ON22" s="151"/>
      <c r="OO22" s="151"/>
      <c r="OP22" s="188">
        <f>IF(COUNT(OP20,OP16,OP13,OP10,OP4)=0,"",SUM($B$4*IF(COUNT(OP4)=0,0,OP4),$B$10*IF(COUNT(OP10)=0,0,OP10),$B$13*IF(COUNT(OP13)=0,0,OP13),$B$16*IF(COUNT(OP16)=0,0,OP16),$B$20*IF(COUNT(OP20)=0,0,OP20))/SUM($B$4*COUNT(OP4),$B$10*COUNT(OP10),$B$13*COUNT(OP13),$B$16*COUNT(OP16),$B$20*COUNT(OP20)))</f>
        <v>2.4444444444444446</v>
      </c>
      <c r="OQ22" s="189">
        <f>IF(OP22="","",OP22*5)</f>
        <v>12.222222222222223</v>
      </c>
      <c r="OR22" s="82"/>
      <c r="OS22" s="82"/>
      <c r="OT22" s="82"/>
      <c r="OU22" s="82"/>
      <c r="OV22" s="188">
        <f>IF(COUNT(OV20,OV16,OV13,OV10,OV4)=0,"",SUM($B$4*IF(COUNT(OV4)=0,0,OV4),$B$10*IF(COUNT(OV10)=0,0,OV10),$B$13*IF(COUNT(OV13)=0,0,OV13),$B$16*IF(COUNT(OV16)=0,0,OV16),$B$20*IF(COUNT(OV20)=0,0,OV20))/SUM($B$4*COUNT(OV4),$B$10*COUNT(OV10),$B$13*COUNT(OV13),$B$16*COUNT(OV16),$B$20*COUNT(OV20)))</f>
        <v>2.6</v>
      </c>
      <c r="OW22" s="195">
        <f>IF(OV22="","",OV22*5)</f>
        <v>13</v>
      </c>
      <c r="OX22" s="82"/>
      <c r="OY22" s="82"/>
      <c r="OZ22" s="82"/>
      <c r="PA22" s="82"/>
      <c r="PB22" s="82"/>
      <c r="PC22" s="188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3.0902777777777781</v>
      </c>
      <c r="PD22" s="212">
        <f>IF(PC22="","",PC22*5)</f>
        <v>15.451388888888891</v>
      </c>
      <c r="PE22" s="175"/>
      <c r="PF22" s="175"/>
      <c r="PG22" s="151"/>
      <c r="PH22" s="151"/>
      <c r="PI22" s="151"/>
      <c r="PJ22" s="188">
        <f>IF(COUNT(PJ20,PJ16,PJ13,PJ10,PJ4)=0,"",SUM($B$4*IF(COUNT(PJ4)=0,0,PJ4),$B$10*IF(COUNT(PJ10)=0,0,PJ10),$B$13*IF(COUNT(PJ13)=0,0,PJ13),$B$16*IF(COUNT(PJ16)=0,0,PJ16),$B$20*IF(COUNT(PJ20)=0,0,PJ20))/SUM($B$4*COUNT(PJ4),$B$10*COUNT(PJ10),$B$13*COUNT(PJ13),$B$16*COUNT(PJ16),$B$20*COUNT(PJ20)))</f>
        <v>2.2222222222222223</v>
      </c>
      <c r="PK22" s="189">
        <f>IF(PJ22="","",PJ22*5)</f>
        <v>11.111111111111111</v>
      </c>
      <c r="PL22" s="82"/>
      <c r="PM22" s="82"/>
      <c r="PN22" s="82"/>
      <c r="PO22" s="82"/>
      <c r="PP22" s="188">
        <f>IF(COUNT(PP20,PP16,PP13,PP10,PP4)=0,"",SUM($B$4*IF(COUNT(PP4)=0,0,PP4),$B$10*IF(COUNT(PP10)=0,0,PP10),$B$13*IF(COUNT(PP13)=0,0,PP13),$B$16*IF(COUNT(PP16)=0,0,PP16),$B$20*IF(COUNT(PP20)=0,0,PP20))/SUM($B$4*COUNT(PP4),$B$10*COUNT(PP10),$B$13*COUNT(PP13),$B$16*COUNT(PP16),$B$20*COUNT(PP20)))</f>
        <v>2.8</v>
      </c>
      <c r="PQ22" s="195">
        <f>IF(PP22="","",PP22*5)</f>
        <v>14</v>
      </c>
      <c r="PR22" s="82"/>
      <c r="PS22" s="82"/>
      <c r="PT22" s="82"/>
      <c r="PU22" s="82"/>
      <c r="PV22" s="82"/>
      <c r="PW22" s="188">
        <f>IF(COUNT(PW20,PW16,PW13,PW10,PW4)=0,"",SUM($B$4*IF(COUNT(PW4)=0,0,PW4),$B$10*IF(COUNT(PW10)=0,0,PW10),$B$13*IF(COUNT(PW13)=0,0,PW13),$B$16*IF(COUNT(PW16)=0,0,PW16),$B$20*IF(COUNT(PW20)=0,0,PW20))/SUM($B$4*COUNT(PW4),$B$10*COUNT(PW10),$B$13*COUNT(PW13),$B$16*COUNT(PW16),$B$20*COUNT(PW20)))</f>
        <v>2.3032407407407405</v>
      </c>
      <c r="PX22" s="212">
        <f>IF(PW22="","",PW22*5)</f>
        <v>11.516203703703702</v>
      </c>
      <c r="PY22" s="175"/>
      <c r="PZ22" s="175"/>
      <c r="QA22" s="151"/>
      <c r="QB22" s="151"/>
      <c r="QC22" s="151"/>
      <c r="QD22" s="188">
        <f>IF(COUNT(QD20,QD16,QD13,QD10,QD4)=0,"",SUM($B$4*IF(COUNT(QD4)=0,0,QD4),$B$10*IF(COUNT(QD10)=0,0,QD10),$B$13*IF(COUNT(QD13)=0,0,QD13),$B$16*IF(COUNT(QD16)=0,0,QD16),$B$20*IF(COUNT(QD20)=0,0,QD20))/SUM($B$4*COUNT(QD4),$B$10*COUNT(QD10),$B$13*COUNT(QD13),$B$16*COUNT(QD16),$B$20*COUNT(QD20)))</f>
        <v>2.7777777777777781</v>
      </c>
      <c r="QE22" s="189">
        <f>IF(QD22="","",QD22*5)</f>
        <v>13.888888888888891</v>
      </c>
      <c r="QF22" s="82"/>
      <c r="QG22" s="82"/>
      <c r="QH22" s="82"/>
      <c r="QI22" s="82"/>
      <c r="QJ22" s="188">
        <f>IF(COUNT(QJ20,QJ16,QJ13,QJ10,QJ4)=0,"",SUM($B$4*IF(COUNT(QJ4)=0,0,QJ4),$B$10*IF(COUNT(QJ10)=0,0,QJ10),$B$13*IF(COUNT(QJ13)=0,0,QJ13),$B$16*IF(COUNT(QJ16)=0,0,QJ16),$B$20*IF(COUNT(QJ20)=0,0,QJ20))/SUM($B$4*COUNT(QJ4),$B$10*COUNT(QJ10),$B$13*COUNT(QJ13),$B$16*COUNT(QJ16),$B$20*COUNT(QJ20)))</f>
        <v>2.8</v>
      </c>
      <c r="QK22" s="195">
        <f>IF(QJ22="","",QJ22*5)</f>
        <v>14</v>
      </c>
      <c r="QL22" s="82"/>
      <c r="QM22" s="82"/>
      <c r="QN22" s="82"/>
      <c r="QO22" s="82"/>
      <c r="QP22" s="82"/>
      <c r="QQ22" s="188">
        <f>IF(COUNT(QQ20,QQ16,QQ13,QQ10,QQ4)=0,"",SUM($B$4*IF(COUNT(QQ4)=0,0,QQ4),$B$10*IF(COUNT(QQ10)=0,0,QQ10),$B$13*IF(COUNT(QQ13)=0,0,QQ13),$B$16*IF(COUNT(QQ16)=0,0,QQ16),$B$20*IF(COUNT(QQ20)=0,0,QQ20))/SUM($B$4*COUNT(QQ4),$B$10*COUNT(QQ10),$B$13*COUNT(QQ13),$B$16*COUNT(QQ16),$B$20*COUNT(QQ20)))</f>
        <v>2.6180555555555554</v>
      </c>
      <c r="QR22" s="212">
        <f>IF(QQ22="","",QQ22*5)</f>
        <v>13.090277777777777</v>
      </c>
      <c r="QS22" s="175"/>
      <c r="QT22" s="175"/>
      <c r="QU22" s="151"/>
      <c r="QV22" s="151"/>
      <c r="QW22" s="151"/>
      <c r="QX22" s="188">
        <f>IF(COUNT(QX20,QX16,QX13,QX10,QX4)=0,"",SUM($B$4*IF(COUNT(QX4)=0,0,QX4),$B$10*IF(COUNT(QX10)=0,0,QX10),$B$13*IF(COUNT(QX13)=0,0,QX13),$B$16*IF(COUNT(QX16)=0,0,QX16),$B$20*IF(COUNT(QX20)=0,0,QX20))/SUM($B$4*COUNT(QX4),$B$10*COUNT(QX10),$B$13*COUNT(QX13),$B$16*COUNT(QX16),$B$20*COUNT(QX20)))</f>
        <v>2.6111111111111112</v>
      </c>
      <c r="QY22" s="189">
        <f>IF(QX22="","",QX22*5)</f>
        <v>13.055555555555555</v>
      </c>
      <c r="QZ22" s="82"/>
      <c r="RA22" s="82"/>
      <c r="RB22" s="82"/>
      <c r="RC22" s="82"/>
      <c r="RD22" s="188">
        <f>IF(COUNT(RD20,RD16,RD13,RD10,RD4)=0,"",SUM($B$4*IF(COUNT(RD4)=0,0,RD4),$B$10*IF(COUNT(RD10)=0,0,RD10),$B$13*IF(COUNT(RD13)=0,0,RD13),$B$16*IF(COUNT(RD16)=0,0,RD16),$B$20*IF(COUNT(RD20)=0,0,RD20))/SUM($B$4*COUNT(RD4),$B$10*COUNT(RD10),$B$13*COUNT(RD13),$B$16*COUNT(RD16),$B$20*COUNT(RD20)))</f>
        <v>2.8</v>
      </c>
      <c r="RE22" s="195">
        <f>IF(RD22="","",RD22*5)</f>
        <v>14</v>
      </c>
      <c r="RF22" s="82"/>
      <c r="RG22" s="82"/>
      <c r="RH22" s="82"/>
      <c r="RI22" s="82"/>
      <c r="RJ22" s="82"/>
      <c r="RK22" s="188">
        <f>IF(COUNT(RK20,RK16,RK13,RK10,RK4)=0,"",SUM($B$4*IF(COUNT(RK4)=0,0,RK4),$B$10*IF(COUNT(RK10)=0,0,RK10),$B$13*IF(COUNT(RK13)=0,0,RK13),$B$16*IF(COUNT(RK16)=0,0,RK16),$B$20*IF(COUNT(RK20)=0,0,RK20))/SUM($B$4*COUNT(RK4),$B$10*COUNT(RK10),$B$13*COUNT(RK13),$B$16*COUNT(RK16),$B$20*COUNT(RK20)))</f>
        <v>2.9143518518518516</v>
      </c>
      <c r="RL22" s="212">
        <f>IF(RK22="","",RK22*5)</f>
        <v>14.571759259259258</v>
      </c>
      <c r="RM22" s="175"/>
      <c r="RN22" s="175"/>
      <c r="RO22" s="151"/>
      <c r="RP22" s="151"/>
      <c r="RQ22" s="151"/>
      <c r="RR22" s="188">
        <f>IF(COUNT(RR20,RR16,RR13,RR10,RR4)=0,"",SUM($B$4*IF(COUNT(RR4)=0,0,RR4),$B$10*IF(COUNT(RR10)=0,0,RR10),$B$13*IF(COUNT(RR13)=0,0,RR13),$B$16*IF(COUNT(RR16)=0,0,RR16),$B$20*IF(COUNT(RR20)=0,0,RR20))/SUM($B$4*COUNT(RR4),$B$10*COUNT(RR10),$B$13*COUNT(RR13),$B$16*COUNT(RR16),$B$20*COUNT(RR20)))</f>
        <v>2.9444444444444446</v>
      </c>
      <c r="RS22" s="189">
        <f>IF(RR22="","",RR22*5)</f>
        <v>14.722222222222223</v>
      </c>
      <c r="RT22" s="82"/>
      <c r="RU22" s="82"/>
      <c r="RV22" s="82"/>
      <c r="RW22" s="82"/>
      <c r="RX22" s="188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>3.2</v>
      </c>
      <c r="RY22" s="195">
        <f>IF(RX22="","",RX22*5)</f>
        <v>16</v>
      </c>
      <c r="RZ22" s="82"/>
      <c r="SA22" s="82"/>
      <c r="SB22" s="82"/>
      <c r="SC22" s="82"/>
      <c r="SD22" s="82"/>
      <c r="SE22" s="188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>3.2916666666666665</v>
      </c>
      <c r="SF22" s="212">
        <f>IF(SE22="","",SE22*5)</f>
        <v>16.458333333333332</v>
      </c>
      <c r="SG22" s="175"/>
      <c r="SH22" s="175"/>
      <c r="SI22" s="151"/>
      <c r="SJ22" s="151"/>
      <c r="SK22" s="151"/>
      <c r="SL22" s="188">
        <f>IF(COUNT(SL20,SL16,SL13,SL10,SL4)=0,"",SUM($B$4*IF(COUNT(SL4)=0,0,SL4),$B$10*IF(COUNT(SL10)=0,0,SL10),$B$13*IF(COUNT(SL13)=0,0,SL13),$B$16*IF(COUNT(SL16)=0,0,SL16),$B$20*IF(COUNT(SL20)=0,0,SL20))/SUM($B$4*COUNT(SL4),$B$10*COUNT(SL10),$B$13*COUNT(SL13),$B$16*COUNT(SL16),$B$20*COUNT(SL20)))</f>
        <v>2.8888888888888888</v>
      </c>
      <c r="SM22" s="189">
        <f>IF(SL22="","",SL22*5)</f>
        <v>14.444444444444445</v>
      </c>
      <c r="SN22" s="82"/>
      <c r="SO22" s="82"/>
      <c r="SP22" s="82"/>
      <c r="SQ22" s="82"/>
      <c r="SR22" s="188">
        <f>IF(COUNT(SR20,SR16,SR13,SR10,SR4)=0,"",SUM($B$4*IF(COUNT(SR4)=0,0,SR4),$B$10*IF(COUNT(SR10)=0,0,SR10),$B$13*IF(COUNT(SR13)=0,0,SR13),$B$16*IF(COUNT(SR16)=0,0,SR16),$B$20*IF(COUNT(SR20)=0,0,SR20))/SUM($B$4*COUNT(SR4),$B$10*COUNT(SR10),$B$13*COUNT(SR13),$B$16*COUNT(SR16),$B$20*COUNT(SR20)))</f>
        <v>2.6</v>
      </c>
      <c r="SS22" s="195">
        <f>IF(SR22="","",SR22*5)</f>
        <v>13</v>
      </c>
      <c r="ST22" s="82"/>
      <c r="SU22" s="82"/>
      <c r="SV22" s="82"/>
      <c r="SW22" s="82"/>
      <c r="SX22" s="82"/>
      <c r="SY22" s="188">
        <f>IF(COUNT(SY20,SY16,SY13,SY10,SY4)=0,"",SUM($B$4*IF(COUNT(SY4)=0,0,SY4),$B$10*IF(COUNT(SY10)=0,0,SY10),$B$13*IF(COUNT(SY13)=0,0,SY13),$B$16*IF(COUNT(SY16)=0,0,SY16),$B$20*IF(COUNT(SY20)=0,0,SY20))/SUM($B$4*COUNT(SY4),$B$10*COUNT(SY10),$B$13*COUNT(SY13),$B$16*COUNT(SY16),$B$20*COUNT(SY20)))</f>
        <v>3.3680555555555554</v>
      </c>
      <c r="SZ22" s="212">
        <f>IF(SY22="","",SY22*5)</f>
        <v>16.840277777777779</v>
      </c>
      <c r="TA22" s="175"/>
      <c r="TB22" s="175"/>
      <c r="TC22" s="151"/>
      <c r="TD22" s="151"/>
      <c r="TE22" s="151"/>
      <c r="TF22" s="188">
        <f>IF(COUNT(TF20,TF16,TF13,TF10,TF4)=0,"",SUM($B$4*IF(COUNT(TF4)=0,0,TF4),$B$10*IF(COUNT(TF10)=0,0,TF10),$B$13*IF(COUNT(TF13)=0,0,TF13),$B$16*IF(COUNT(TF16)=0,0,TF16),$B$20*IF(COUNT(TF20)=0,0,TF20))/SUM($B$4*COUNT(TF4),$B$10*COUNT(TF10),$B$13*COUNT(TF13),$B$16*COUNT(TF16),$B$20*COUNT(TF20)))</f>
        <v>2.7777777777777781</v>
      </c>
      <c r="TG22" s="189">
        <f>IF(TF22="","",TF22*5)</f>
        <v>13.888888888888891</v>
      </c>
      <c r="TH22" s="82"/>
      <c r="TI22" s="82"/>
      <c r="TJ22" s="82"/>
      <c r="TK22" s="82"/>
      <c r="TL22" s="188">
        <f>IF(COUNT(TL20,TL16,TL13,TL10,TL4)=0,"",SUM($B$4*IF(COUNT(TL4)=0,0,TL4),$B$10*IF(COUNT(TL10)=0,0,TL10),$B$13*IF(COUNT(TL13)=0,0,TL13),$B$16*IF(COUNT(TL16)=0,0,TL16),$B$20*IF(COUNT(TL20)=0,0,TL20))/SUM($B$4*COUNT(TL4),$B$10*COUNT(TL10),$B$13*COUNT(TL13),$B$16*COUNT(TL16),$B$20*COUNT(TL20)))</f>
        <v>3</v>
      </c>
      <c r="TM22" s="195">
        <f>IF(TL22="","",TL22*5)</f>
        <v>15</v>
      </c>
      <c r="TN22" s="82"/>
      <c r="TO22" s="82"/>
      <c r="TP22" s="82"/>
      <c r="TQ22" s="82"/>
      <c r="TR22" s="82"/>
      <c r="TS22" s="188">
        <f>IF(COUNT(TS20,TS16,TS13,TS10,TS4)=0,"",SUM($B$4*IF(COUNT(TS4)=0,0,TS4),$B$10*IF(COUNT(TS10)=0,0,TS10),$B$13*IF(COUNT(TS13)=0,0,TS13),$B$16*IF(COUNT(TS16)=0,0,TS16),$B$20*IF(COUNT(TS20)=0,0,TS20))/SUM($B$4*COUNT(TS4),$B$10*COUNT(TS10),$B$13*COUNT(TS13),$B$16*COUNT(TS16),$B$20*COUNT(TS20)))</f>
        <v>3</v>
      </c>
      <c r="TT22" s="212">
        <f>IF(TS22="","",TS22*5)</f>
        <v>15</v>
      </c>
      <c r="TU22" s="175"/>
      <c r="TV22" s="175"/>
      <c r="TW22" s="151"/>
      <c r="TX22" s="151"/>
      <c r="TY22" s="151"/>
      <c r="TZ22" s="152" t="str">
        <f>IF(COUNT(TZ20,TZ16,TZ13,TZ10,TZ4)=0,"",SUM($B$4*IF(COUNT(TZ4)=0,0,TZ4),$B$10*IF(COUNT(TZ10)=0,0,TZ10),$B$13*IF(COUNT(TZ13)=0,0,TZ13),$B$16*IF(COUNT(TZ16)=0,0,TZ16),$B$20*IF(COUNT(TZ20)=0,0,TZ20))/SUM($B$4*COUNT(TZ4),$B$10*COUNT(TZ10),$B$13*COUNT(TZ13),$B$16*COUNT(TZ16),$B$20*COUNT(TZ20)))</f>
        <v/>
      </c>
      <c r="UA22" s="153" t="str">
        <f>IF(TZ22="","",TZ22*5)</f>
        <v/>
      </c>
      <c r="UB22" s="82"/>
      <c r="UC22" s="82"/>
      <c r="UD22" s="82"/>
      <c r="UE22" s="152" t="str">
        <f>IF(COUNT(UE20,UE16,UE13,UE10,UE4)=0,"",SUM($B$4*IF(COUNT(UE4)=0,0,UE4),$B$10*IF(COUNT(UE10)=0,0,UE10),$B$13*IF(COUNT(UE13)=0,0,UE13),$B$16*IF(COUNT(UE16)=0,0,UE16),$B$20*IF(COUNT(UE20)=0,0,UE20))/SUM($B$4*COUNT(UE4),$B$10*COUNT(UE10),$B$13*COUNT(UE13),$B$16*COUNT(UE16),$B$20*COUNT(UE20)))</f>
        <v/>
      </c>
      <c r="UF22" s="154" t="str">
        <f>IF(UE22="","",UE22*5)</f>
        <v/>
      </c>
      <c r="UG22" s="82"/>
      <c r="UH22" s="82"/>
      <c r="UI22" s="82"/>
      <c r="UJ22" s="152" t="str">
        <f>IF(COUNT(UJ20,UJ16,UJ13,UJ10,UJ4)=0,"",SUM($B$4*IF(COUNT(UJ4)=0,0,UJ4),$B$10*IF(COUNT(UJ10)=0,0,UJ10),$B$13*IF(COUNT(UJ13)=0,0,UJ13),$B$16*IF(COUNT(UJ16)=0,0,UJ16),$B$20*IF(COUNT(UJ20)=0,0,UJ20))/SUM($B$4*COUNT(UJ4),$B$10*COUNT(UJ10),$B$13*COUNT(UJ13),$B$16*COUNT(UJ16),$B$20*COUNT(UJ20)))</f>
        <v/>
      </c>
      <c r="UK22" s="155" t="str">
        <f>IF(UJ22="","",UJ22*5)</f>
        <v/>
      </c>
      <c r="UL22" s="81"/>
      <c r="UM22" s="81"/>
      <c r="UN22" s="151"/>
      <c r="UO22" s="151"/>
      <c r="UP22" s="151"/>
      <c r="UQ22" s="152" t="str">
        <f>IF(COUNT(UQ20,UQ16,UQ13,UQ10,UQ4)=0,"",SUM($B$4*IF(COUNT(UQ4)=0,0,UQ4),$B$10*IF(COUNT(UQ10)=0,0,UQ10),$B$13*IF(COUNT(UQ13)=0,0,UQ13),$B$16*IF(COUNT(UQ16)=0,0,UQ16),$B$20*IF(COUNT(UQ20)=0,0,UQ20))/SUM($B$4*COUNT(UQ4),$B$10*COUNT(UQ10),$B$13*COUNT(UQ13),$B$16*COUNT(UQ16),$B$20*COUNT(UQ20)))</f>
        <v/>
      </c>
      <c r="UR22" s="153" t="str">
        <f>IF(UQ22="","",UQ22*5)</f>
        <v/>
      </c>
      <c r="US22" s="82"/>
      <c r="UT22" s="82"/>
      <c r="UU22" s="82"/>
      <c r="UV22" s="152" t="str">
        <f>IF(COUNT(UV20,UV16,UV13,UV10,UV4)=0,"",SUM($B$4*IF(COUNT(UV4)=0,0,UV4),$B$10*IF(COUNT(UV10)=0,0,UV10),$B$13*IF(COUNT(UV13)=0,0,UV13),$B$16*IF(COUNT(UV16)=0,0,UV16),$B$20*IF(COUNT(UV20)=0,0,UV20))/SUM($B$4*COUNT(UV4),$B$10*COUNT(UV10),$B$13*COUNT(UV13),$B$16*COUNT(UV16),$B$20*COUNT(UV20)))</f>
        <v/>
      </c>
      <c r="UW22" s="154" t="str">
        <f>IF(UV22="","",UV22*5)</f>
        <v/>
      </c>
      <c r="UX22" s="82"/>
      <c r="UY22" s="82"/>
      <c r="UZ22" s="82"/>
      <c r="VA22" s="152" t="str">
        <f>IF(COUNT(VA20,VA16,VA13,VA10,VA4)=0,"",SUM($B$4*IF(COUNT(VA4)=0,0,VA4),$B$10*IF(COUNT(VA10)=0,0,VA10),$B$13*IF(COUNT(VA13)=0,0,VA13),$B$16*IF(COUNT(VA16)=0,0,VA16),$B$20*IF(COUNT(VA20)=0,0,VA20))/SUM($B$4*COUNT(VA4),$B$10*COUNT(VA10),$B$13*COUNT(VA13),$B$16*COUNT(VA16),$B$20*COUNT(VA20)))</f>
        <v/>
      </c>
      <c r="VB22" s="155" t="str">
        <f>IF(VA22="","",VA22*5)</f>
        <v/>
      </c>
      <c r="VC22" s="81"/>
      <c r="VD22" s="81"/>
      <c r="VE22" s="151"/>
      <c r="VF22" s="151"/>
      <c r="VG22" s="151"/>
      <c r="VH22" s="152" t="str">
        <f>IF(COUNT(VH20,VH16,VH13,VH10,VH4)=0,"",SUM($B$4*IF(COUNT(VH4)=0,0,VH4),$B$10*IF(COUNT(VH10)=0,0,VH10),$B$13*IF(COUNT(VH13)=0,0,VH13),$B$16*IF(COUNT(VH16)=0,0,VH16),$B$20*IF(COUNT(VH20)=0,0,VH20))/SUM($B$4*COUNT(VH4),$B$10*COUNT(VH10),$B$13*COUNT(VH13),$B$16*COUNT(VH16),$B$20*COUNT(VH20)))</f>
        <v/>
      </c>
      <c r="VI22" s="153" t="str">
        <f>IF(VH22="","",VH22*5)</f>
        <v/>
      </c>
      <c r="VJ22" s="82"/>
      <c r="VK22" s="82"/>
      <c r="VL22" s="82"/>
      <c r="VM22" s="152" t="str">
        <f>IF(COUNT(VM20,VM16,VM13,VM10,VM4)=0,"",SUM($B$4*IF(COUNT(VM4)=0,0,VM4),$B$10*IF(COUNT(VM10)=0,0,VM10),$B$13*IF(COUNT(VM13)=0,0,VM13),$B$16*IF(COUNT(VM16)=0,0,VM16),$B$20*IF(COUNT(VM20)=0,0,VM20))/SUM($B$4*COUNT(VM4),$B$10*COUNT(VM10),$B$13*COUNT(VM13),$B$16*COUNT(VM16),$B$20*COUNT(VM20)))</f>
        <v/>
      </c>
      <c r="VN22" s="154" t="str">
        <f>IF(VM22="","",VM22*5)</f>
        <v/>
      </c>
      <c r="VO22" s="82"/>
      <c r="VP22" s="82"/>
      <c r="VQ22" s="82"/>
      <c r="VR22" s="152" t="str">
        <f>IF(COUNT(VR20,VR16,VR13,VR10,VR4)=0,"",SUM($B$4*IF(COUNT(VR4)=0,0,VR4),$B$10*IF(COUNT(VR10)=0,0,VR10),$B$13*IF(COUNT(VR13)=0,0,VR13),$B$16*IF(COUNT(VR16)=0,0,VR16),$B$20*IF(COUNT(VR20)=0,0,VR20))/SUM($B$4*COUNT(VR4),$B$10*COUNT(VR10),$B$13*COUNT(VR13),$B$16*COUNT(VR16),$B$20*COUNT(VR20)))</f>
        <v/>
      </c>
      <c r="VS22" s="155" t="str">
        <f>IF(VR22="","",VR22*5)</f>
        <v/>
      </c>
      <c r="VT22" s="81"/>
      <c r="VU22" s="81"/>
    </row>
    <row r="23" spans="1:593" s="156" customFormat="1" ht="16.5" x14ac:dyDescent="0.75">
      <c r="A23" s="166"/>
      <c r="B23" s="166"/>
      <c r="F23" s="166"/>
      <c r="G23" s="166"/>
      <c r="L23" s="166"/>
      <c r="M23" s="166"/>
      <c r="S23" s="166"/>
      <c r="T23" s="166"/>
      <c r="U23" s="191"/>
      <c r="V23" s="191"/>
      <c r="Z23" s="166"/>
      <c r="AA23" s="166"/>
      <c r="AF23" s="166"/>
      <c r="AG23" s="166"/>
      <c r="AM23" s="166"/>
      <c r="AN23" s="166"/>
      <c r="AO23" s="191"/>
      <c r="AP23" s="191"/>
      <c r="BI23" s="157"/>
      <c r="BJ23" s="157"/>
      <c r="CC23" s="157"/>
      <c r="CD23" s="157"/>
      <c r="CW23" s="157"/>
      <c r="CX23" s="157"/>
      <c r="DQ23" s="157"/>
      <c r="DR23" s="157"/>
      <c r="EK23" s="157"/>
      <c r="EL23" s="157"/>
      <c r="FE23" s="157"/>
      <c r="FF23" s="157"/>
      <c r="FY23" s="157"/>
      <c r="FZ23" s="157"/>
      <c r="GS23" s="157"/>
      <c r="GT23" s="157"/>
      <c r="HM23" s="157"/>
      <c r="HN23" s="157"/>
      <c r="IG23" s="157"/>
      <c r="IH23" s="157"/>
      <c r="JA23" s="157"/>
      <c r="JB23" s="157"/>
      <c r="JU23" s="157"/>
      <c r="JV23" s="157"/>
      <c r="KO23" s="157"/>
      <c r="KP23" s="157"/>
      <c r="LI23" s="157"/>
      <c r="LJ23" s="157"/>
      <c r="MC23" s="157"/>
      <c r="MD23" s="157"/>
      <c r="MW23" s="157"/>
      <c r="MX23" s="157"/>
      <c r="NQ23" s="157"/>
      <c r="NR23" s="157"/>
      <c r="OK23" s="157"/>
      <c r="OL23" s="157"/>
      <c r="PE23" s="157"/>
      <c r="PF23" s="157"/>
      <c r="PY23" s="157"/>
      <c r="PZ23" s="157"/>
      <c r="QS23" s="157"/>
      <c r="QT23" s="157"/>
      <c r="RM23" s="157"/>
      <c r="RN23" s="157"/>
      <c r="SG23" s="157"/>
      <c r="SH23" s="157"/>
      <c r="TA23" s="157"/>
      <c r="TB23" s="157"/>
      <c r="TU23" s="157"/>
      <c r="TV23" s="157"/>
      <c r="UL23" s="157"/>
      <c r="UM23" s="157"/>
      <c r="VC23" s="157"/>
      <c r="VD23" s="157"/>
      <c r="VT23" s="157"/>
      <c r="VU23" s="157"/>
    </row>
    <row r="24" spans="1:593" ht="16.5" x14ac:dyDescent="0.55000000000000004">
      <c r="A24" s="167"/>
      <c r="B24" s="167"/>
      <c r="C24" s="158"/>
      <c r="D24" s="157"/>
      <c r="E24" s="157"/>
      <c r="F24" s="167"/>
      <c r="G24" s="167"/>
      <c r="I24" s="157"/>
      <c r="J24" s="157"/>
      <c r="K24" s="157"/>
      <c r="N24" s="159"/>
      <c r="O24" s="159"/>
      <c r="P24" s="159"/>
      <c r="Q24" s="159"/>
      <c r="R24" s="159"/>
      <c r="S24" s="190"/>
      <c r="U24" s="167"/>
      <c r="V24" s="167"/>
      <c r="W24" s="158"/>
      <c r="X24" s="157"/>
      <c r="Y24" s="157"/>
      <c r="Z24" s="167"/>
      <c r="AA24" s="167"/>
      <c r="AC24" s="157"/>
      <c r="AD24" s="157"/>
      <c r="AE24" s="157"/>
      <c r="AH24" s="159"/>
      <c r="AI24" s="159"/>
      <c r="AJ24" s="159"/>
      <c r="AK24" s="159"/>
      <c r="AL24" s="159"/>
      <c r="AM24" s="190"/>
      <c r="AO24" s="167"/>
      <c r="AP24" s="167"/>
      <c r="AQ24" s="158"/>
      <c r="AR24" s="157"/>
      <c r="AS24" s="157"/>
      <c r="AT24" s="158"/>
      <c r="AU24" s="158"/>
      <c r="AW24" s="157"/>
      <c r="AX24" s="157"/>
      <c r="AY24" s="157"/>
      <c r="BB24" s="159"/>
      <c r="BC24" s="159"/>
      <c r="BD24" s="159"/>
      <c r="BE24" s="159"/>
      <c r="BF24" s="159"/>
      <c r="BG24" s="159"/>
      <c r="BI24" s="158"/>
      <c r="BJ24" s="158"/>
      <c r="BK24" s="158"/>
      <c r="BL24" s="157"/>
      <c r="BM24" s="157"/>
      <c r="BN24" s="158"/>
      <c r="BO24" s="158"/>
      <c r="BQ24" s="157"/>
      <c r="BR24" s="157"/>
      <c r="BS24" s="157"/>
      <c r="BV24" s="159"/>
      <c r="BW24" s="159"/>
      <c r="BX24" s="159"/>
      <c r="BY24" s="159"/>
      <c r="BZ24" s="159"/>
      <c r="CA24" s="159"/>
      <c r="CC24" s="158"/>
      <c r="CD24" s="158"/>
      <c r="CE24" s="158"/>
      <c r="CF24" s="157"/>
      <c r="CG24" s="157"/>
      <c r="CH24" s="158"/>
      <c r="CI24" s="158"/>
      <c r="CK24" s="157"/>
      <c r="CL24" s="157"/>
      <c r="CM24" s="157"/>
      <c r="CP24" s="159"/>
      <c r="CQ24" s="159"/>
      <c r="CR24" s="159"/>
      <c r="CS24" s="159"/>
      <c r="CT24" s="159"/>
      <c r="CU24" s="159"/>
      <c r="CW24" s="158"/>
      <c r="CX24" s="158"/>
      <c r="CY24" s="158"/>
      <c r="CZ24" s="157"/>
      <c r="DA24" s="157"/>
      <c r="DB24" s="158"/>
      <c r="DC24" s="158"/>
      <c r="DE24" s="157"/>
      <c r="DF24" s="157"/>
      <c r="DG24" s="157"/>
      <c r="DJ24" s="159"/>
      <c r="DK24" s="159"/>
      <c r="DL24" s="159"/>
      <c r="DM24" s="159"/>
      <c r="DN24" s="159"/>
      <c r="DO24" s="159"/>
      <c r="DQ24" s="158"/>
      <c r="DR24" s="158"/>
      <c r="DS24" s="158"/>
      <c r="DT24" s="157"/>
      <c r="DU24" s="157"/>
      <c r="DV24" s="158"/>
      <c r="DW24" s="158"/>
      <c r="DY24" s="157"/>
      <c r="DZ24" s="157"/>
      <c r="EA24" s="157"/>
      <c r="ED24" s="159"/>
      <c r="EE24" s="159"/>
      <c r="EF24" s="159"/>
      <c r="EG24" s="159"/>
      <c r="EH24" s="159"/>
      <c r="EI24" s="159"/>
      <c r="EK24" s="158"/>
      <c r="EL24" s="158"/>
      <c r="EM24" s="158"/>
      <c r="EN24" s="157"/>
      <c r="EO24" s="157"/>
      <c r="EP24" s="158"/>
      <c r="EQ24" s="158"/>
      <c r="ES24" s="157"/>
      <c r="ET24" s="157"/>
      <c r="EU24" s="157"/>
      <c r="EX24" s="159"/>
      <c r="EY24" s="159"/>
      <c r="EZ24" s="159"/>
      <c r="FA24" s="159"/>
      <c r="FB24" s="159"/>
      <c r="FC24" s="159"/>
      <c r="FE24" s="158"/>
      <c r="FF24" s="158"/>
      <c r="FG24" s="158"/>
      <c r="FH24" s="157"/>
      <c r="FI24" s="157"/>
      <c r="FJ24" s="158"/>
      <c r="FK24" s="158"/>
      <c r="FM24" s="157"/>
      <c r="FN24" s="157"/>
      <c r="FO24" s="157"/>
      <c r="FR24" s="159"/>
      <c r="FS24" s="159"/>
      <c r="FT24" s="159"/>
      <c r="FU24" s="159"/>
      <c r="FV24" s="159"/>
      <c r="FW24" s="159"/>
      <c r="FY24" s="158"/>
      <c r="FZ24" s="158"/>
      <c r="GA24" s="158"/>
      <c r="GB24" s="157"/>
      <c r="GC24" s="157"/>
      <c r="GD24" s="158"/>
      <c r="GE24" s="158"/>
      <c r="GG24" s="157"/>
      <c r="GH24" s="157"/>
      <c r="GI24" s="157"/>
      <c r="GL24" s="159"/>
      <c r="GM24" s="159"/>
      <c r="GN24" s="159"/>
      <c r="GO24" s="159"/>
      <c r="GP24" s="159"/>
      <c r="GQ24" s="159"/>
      <c r="GS24" s="158"/>
      <c r="GT24" s="158"/>
      <c r="GU24" s="158"/>
      <c r="GV24" s="157"/>
      <c r="GW24" s="157"/>
      <c r="GX24" s="158"/>
      <c r="GY24" s="158"/>
      <c r="HA24" s="157"/>
      <c r="HB24" s="157"/>
      <c r="HC24" s="157"/>
      <c r="HF24" s="159"/>
      <c r="HG24" s="159"/>
      <c r="HH24" s="159"/>
      <c r="HI24" s="159"/>
      <c r="HJ24" s="159"/>
      <c r="HK24" s="159"/>
      <c r="HM24" s="158"/>
      <c r="HN24" s="158"/>
      <c r="HO24" s="158"/>
      <c r="HP24" s="157"/>
      <c r="HQ24" s="157"/>
      <c r="HR24" s="158"/>
      <c r="HS24" s="158"/>
      <c r="HU24" s="157"/>
      <c r="HV24" s="157"/>
      <c r="HW24" s="157"/>
      <c r="HZ24" s="159"/>
      <c r="IA24" s="159"/>
      <c r="IB24" s="159"/>
      <c r="IC24" s="159"/>
      <c r="ID24" s="159"/>
      <c r="IE24" s="159"/>
      <c r="IG24" s="158"/>
      <c r="IH24" s="158"/>
      <c r="II24" s="158"/>
      <c r="IJ24" s="157"/>
      <c r="IK24" s="157"/>
      <c r="IL24" s="158"/>
      <c r="IM24" s="158"/>
      <c r="IO24" s="157"/>
      <c r="IP24" s="157"/>
      <c r="IQ24" s="157"/>
      <c r="IT24" s="159"/>
      <c r="IU24" s="159"/>
      <c r="IV24" s="159"/>
      <c r="IW24" s="159"/>
      <c r="IX24" s="159"/>
      <c r="IY24" s="159"/>
      <c r="JA24" s="158"/>
      <c r="JB24" s="158"/>
      <c r="JC24" s="158"/>
      <c r="JD24" s="157"/>
      <c r="JE24" s="157"/>
      <c r="JF24" s="158"/>
      <c r="JG24" s="158"/>
      <c r="JI24" s="157"/>
      <c r="JJ24" s="157"/>
      <c r="JK24" s="157"/>
      <c r="JN24" s="159"/>
      <c r="JO24" s="159"/>
      <c r="JP24" s="159"/>
      <c r="JQ24" s="159"/>
      <c r="JR24" s="159"/>
      <c r="JS24" s="159"/>
      <c r="JU24" s="158"/>
      <c r="JV24" s="158"/>
      <c r="JW24" s="158"/>
      <c r="JX24" s="157"/>
      <c r="JY24" s="157"/>
      <c r="JZ24" s="158"/>
      <c r="KA24" s="158"/>
      <c r="KC24" s="157"/>
      <c r="KD24" s="157"/>
      <c r="KE24" s="157"/>
      <c r="KH24" s="159"/>
      <c r="KI24" s="159"/>
      <c r="KJ24" s="159"/>
      <c r="KK24" s="159"/>
      <c r="KL24" s="159"/>
      <c r="KM24" s="159"/>
      <c r="KO24" s="158"/>
      <c r="KP24" s="158"/>
      <c r="KQ24" s="158"/>
      <c r="KR24" s="157"/>
      <c r="KS24" s="157"/>
      <c r="KT24" s="158"/>
      <c r="KU24" s="158"/>
      <c r="KW24" s="157"/>
      <c r="KX24" s="157"/>
      <c r="KY24" s="157"/>
      <c r="LB24" s="159"/>
      <c r="LC24" s="159"/>
      <c r="LD24" s="159"/>
      <c r="LE24" s="159"/>
      <c r="LF24" s="159"/>
      <c r="LG24" s="159"/>
      <c r="LI24" s="158"/>
      <c r="LJ24" s="158"/>
      <c r="LK24" s="158"/>
      <c r="LL24" s="157"/>
      <c r="LM24" s="157"/>
      <c r="LN24" s="158"/>
      <c r="LO24" s="158"/>
      <c r="LQ24" s="157"/>
      <c r="LR24" s="157"/>
      <c r="LS24" s="157"/>
      <c r="LV24" s="159"/>
      <c r="LW24" s="159"/>
      <c r="LX24" s="159"/>
      <c r="LY24" s="159"/>
      <c r="LZ24" s="159"/>
      <c r="MA24" s="159"/>
      <c r="MC24" s="158"/>
      <c r="MD24" s="158"/>
      <c r="ME24" s="158"/>
      <c r="MF24" s="157"/>
      <c r="MG24" s="157"/>
      <c r="MH24" s="158"/>
      <c r="MI24" s="158"/>
      <c r="MK24" s="157"/>
      <c r="ML24" s="157"/>
      <c r="MM24" s="157"/>
      <c r="MP24" s="159"/>
      <c r="MQ24" s="159"/>
      <c r="MR24" s="159"/>
      <c r="MS24" s="159"/>
      <c r="MT24" s="159"/>
      <c r="MU24" s="159"/>
      <c r="MW24" s="158"/>
      <c r="MX24" s="158"/>
      <c r="MY24" s="158"/>
      <c r="MZ24" s="157"/>
      <c r="NA24" s="157"/>
      <c r="NB24" s="158"/>
      <c r="NC24" s="158"/>
      <c r="NE24" s="157"/>
      <c r="NF24" s="157"/>
      <c r="NG24" s="157"/>
      <c r="NJ24" s="159"/>
      <c r="NK24" s="159"/>
      <c r="NL24" s="159"/>
      <c r="NM24" s="159"/>
      <c r="NN24" s="159"/>
      <c r="NO24" s="159"/>
      <c r="NQ24" s="158"/>
      <c r="NR24" s="158"/>
      <c r="NS24" s="158"/>
      <c r="NT24" s="157"/>
      <c r="NU24" s="157"/>
      <c r="NV24" s="158"/>
      <c r="NW24" s="158"/>
      <c r="NY24" s="157"/>
      <c r="NZ24" s="157"/>
      <c r="OA24" s="157"/>
      <c r="OD24" s="159"/>
      <c r="OE24" s="159"/>
      <c r="OF24" s="159"/>
      <c r="OG24" s="159"/>
      <c r="OH24" s="159"/>
      <c r="OI24" s="159"/>
      <c r="OK24" s="158"/>
      <c r="OL24" s="158"/>
      <c r="OM24" s="158"/>
      <c r="ON24" s="157"/>
      <c r="OO24" s="157"/>
      <c r="OP24" s="158"/>
      <c r="OQ24" s="158"/>
      <c r="OS24" s="157"/>
      <c r="OT24" s="157"/>
      <c r="OU24" s="157"/>
      <c r="OX24" s="159"/>
      <c r="OY24" s="159"/>
      <c r="OZ24" s="159"/>
      <c r="PA24" s="159"/>
      <c r="PB24" s="159"/>
      <c r="PC24" s="159"/>
      <c r="PE24" s="158"/>
      <c r="PF24" s="158"/>
      <c r="PG24" s="158"/>
      <c r="PH24" s="157"/>
      <c r="PI24" s="157"/>
      <c r="PJ24" s="158"/>
      <c r="PK24" s="158"/>
      <c r="PM24" s="157"/>
      <c r="PN24" s="157"/>
      <c r="PO24" s="157"/>
      <c r="PR24" s="159"/>
      <c r="PS24" s="159"/>
      <c r="PT24" s="159"/>
      <c r="PU24" s="159"/>
      <c r="PV24" s="159"/>
      <c r="PW24" s="159"/>
      <c r="PY24" s="158"/>
      <c r="PZ24" s="158"/>
      <c r="QA24" s="158"/>
      <c r="QB24" s="157"/>
      <c r="QC24" s="157"/>
      <c r="QD24" s="158"/>
      <c r="QE24" s="158"/>
      <c r="QG24" s="157"/>
      <c r="QH24" s="157"/>
      <c r="QI24" s="157"/>
      <c r="QL24" s="159"/>
      <c r="QM24" s="159"/>
      <c r="QN24" s="159"/>
      <c r="QO24" s="159"/>
      <c r="QP24" s="159"/>
      <c r="QQ24" s="159"/>
      <c r="QS24" s="158"/>
      <c r="QT24" s="158"/>
      <c r="QU24" s="158"/>
      <c r="QV24" s="157"/>
      <c r="QW24" s="157"/>
      <c r="QX24" s="158"/>
      <c r="QY24" s="158"/>
      <c r="RA24" s="157"/>
      <c r="RB24" s="157"/>
      <c r="RC24" s="157"/>
      <c r="RF24" s="159"/>
      <c r="RG24" s="159"/>
      <c r="RH24" s="159"/>
      <c r="RI24" s="159"/>
      <c r="RJ24" s="159"/>
      <c r="RK24" s="159"/>
      <c r="RM24" s="158"/>
      <c r="RN24" s="158"/>
      <c r="RO24" s="158"/>
      <c r="RP24" s="157"/>
      <c r="RQ24" s="157"/>
      <c r="RR24" s="158"/>
      <c r="RS24" s="158"/>
      <c r="RU24" s="157"/>
      <c r="RV24" s="157"/>
      <c r="RW24" s="157"/>
      <c r="RZ24" s="159"/>
      <c r="SA24" s="159"/>
      <c r="SB24" s="159"/>
      <c r="SC24" s="159"/>
      <c r="SD24" s="159"/>
      <c r="SE24" s="159"/>
      <c r="SG24" s="158"/>
      <c r="SH24" s="158"/>
      <c r="SI24" s="158"/>
      <c r="SJ24" s="157"/>
      <c r="SK24" s="157"/>
      <c r="SL24" s="158"/>
      <c r="SM24" s="158"/>
      <c r="SO24" s="157"/>
      <c r="SP24" s="157"/>
      <c r="SQ24" s="157"/>
      <c r="ST24" s="159"/>
      <c r="SU24" s="159"/>
      <c r="SV24" s="159"/>
      <c r="SW24" s="159"/>
      <c r="SX24" s="159"/>
      <c r="SY24" s="159"/>
      <c r="TA24" s="158"/>
      <c r="TB24" s="158"/>
      <c r="TC24" s="158"/>
      <c r="TD24" s="157"/>
      <c r="TE24" s="157"/>
      <c r="TF24" s="158"/>
      <c r="TG24" s="158"/>
      <c r="TI24" s="157"/>
      <c r="TJ24" s="157"/>
      <c r="TK24" s="157"/>
      <c r="TN24" s="159"/>
      <c r="TO24" s="159"/>
      <c r="TP24" s="159"/>
      <c r="TQ24" s="159"/>
      <c r="TR24" s="159"/>
      <c r="TS24" s="159"/>
      <c r="TU24" s="158"/>
      <c r="TV24" s="158"/>
      <c r="TW24" s="158"/>
      <c r="TX24" s="157"/>
      <c r="TY24" s="157"/>
      <c r="TZ24" s="158"/>
      <c r="UA24" s="158"/>
      <c r="UC24" s="157"/>
      <c r="UD24" s="157"/>
      <c r="UG24" s="159"/>
      <c r="UH24" s="159"/>
      <c r="UI24" s="159"/>
      <c r="UJ24" s="159"/>
      <c r="UL24" s="158"/>
      <c r="UM24" s="158"/>
      <c r="UN24" s="158"/>
      <c r="UO24" s="157"/>
      <c r="UP24" s="157"/>
      <c r="UQ24" s="158"/>
      <c r="UR24" s="158"/>
      <c r="UT24" s="157"/>
      <c r="UU24" s="157"/>
      <c r="UX24" s="159"/>
      <c r="UY24" s="159"/>
      <c r="UZ24" s="159"/>
      <c r="VA24" s="159"/>
      <c r="VC24" s="158"/>
      <c r="VD24" s="158"/>
      <c r="VE24" s="158"/>
      <c r="VF24" s="157"/>
      <c r="VG24" s="157"/>
      <c r="VH24" s="158"/>
      <c r="VI24" s="158"/>
      <c r="VK24" s="157"/>
      <c r="VL24" s="157"/>
      <c r="VO24" s="84"/>
      <c r="VP24" s="84"/>
      <c r="VQ24" s="84"/>
      <c r="VR24" s="84"/>
      <c r="VS24" s="84"/>
      <c r="VT24" s="84"/>
      <c r="VU24" s="84"/>
    </row>
  </sheetData>
  <sheetProtection algorithmName="SHA-512" hashValue="yL39+qV3jilgX/Y3UHYKR8mi6WdTTO46KJ0/HZhzyhHgPwtYCPhbNheHDdTSboqYFXN0MwsX9RHvQ2LFzre2iQ==" saltValue="QDMm/d6lo20KmfeGN9cuqg==" spinCount="100000" sheet="1" insertColumns="0" deleteColumns="0" selectLockedCells="1"/>
  <dataConsolidate/>
  <mergeCells count="15">
    <mergeCell ref="A17:B17"/>
    <mergeCell ref="A18:B18"/>
    <mergeCell ref="A19:B19"/>
    <mergeCell ref="A21:B21"/>
    <mergeCell ref="A22:B22"/>
    <mergeCell ref="A9:B9"/>
    <mergeCell ref="A11:B11"/>
    <mergeCell ref="A12:B12"/>
    <mergeCell ref="A14:B14"/>
    <mergeCell ref="A15:B15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H5:K9 C5:E9 W5:Y9 AB5:AE9 C11:E12 H11:K12 W11:Y12 AB11:AE12 C14:E15 H14:K15 W14:Y15 AB14:AE15 C17:E19 H17:K19 W17:Y19 AB17:AE19 C21:E21 H21:K21 W21:Y21 AB21:AE21 QU5:QW9 QZ5:RC9 QU11:QW12 QZ11:RC12 QU14:QW15 QZ14:RC15 QU17:QW19 QZ17:RC19 QU21:QW21 QZ21:RC21 RO5:RQ9 RT5:RW9 RO11:RQ12 RT11:RW12 RO14:RQ15 RT14:RW15 RO17:RQ19 RT17:RW19 RO21:RQ21 RT21:RW21 TC5:TE9 TH5:TK9 TC11:TE12 TH11:TK12 TC14:TE15 TH14:TK15 TC17:TE19 TH17:TK19 TC21:TE21 TH21:TK21 SI5:SK9 SN5:SQ9 SI11:SK12 SN11:SQ12 SI14:SK15 SN14:SQ15 SI17:SK19 SN17:SQ19 SI21:SK21 SN21:SQ21 TW5:TY9 UB5:UD9 UG5:UI9 TW11:TY12 UB11:UD12 UG11:UI12 TW14:TY15 UB14:UD15 UG14:UI15 TW17:TY19 UB17:UD19 UG17:UI19 TW21:TY21 UB21:UD21 UG21:UI21 UN5:UP9 US5:UU9 UX5:UZ9 UN11:UP12 US11:UU12 UX11:UZ12 UN14:UP15 US14:UU15 UX14:UZ15 UN17:UP19 US17:UU19 UX17:UZ19 UN21:UP21 US21:UU21 UX21:UZ21 AQ5:AS9 AV5:AY9 AQ11:AS12 AV11:AY12 AQ14:AS15 AV14:AY15 AQ17:AS19 AV17:AY19 AQ21:AS21 AV21:AY21 BK5:BM9 BP5:BS9 BK11:BM12 BP11:BS12 BK14:BM15 BP14:BS15 BK17:BM19 BP17:BS19 BK21:BM21 BP21:BS21 CE5:CG9 CJ5:CM9 CE11:CG12 CJ11:CM12 CE14:CG15 CJ14:CM15 CE17:CG19 CJ17:CM19 CE21:CG21 CJ21:CM21 CY5:DA9 DD5:DG9 CY11:DA12 DD11:DG12 CY14:DA15 DD14:DG15 CY17:DA19 DD17:DG19 CY21:DA21 DD21:DG21 DS5:DU9 DX5:EA9 DS11:DU12 DX11:EA12 DS14:DU15 DX14:EA15 DS17:DU19 DX17:EA19 DS21:DU21 DX21:EA21 EM5:EO9 ER5:EU9 EM11:EO12 ER11:EU12 EM14:EO15 ER14:EU15 EM17:EO19 ER17:EU19 EM21:EO21 ER21:EU21 FG5:FI9 FL5:FO9 FG11:FI12 FL11:FO12 FG14:FI15 FL14:FO15 FG17:FI19 FL17:FO19 FG21:FI21 FL21:FO21 GA5:GC9 GF5:GI9 GA11:GC12 GF11:GI12 GA14:GC15 GF14:GI15 GA17:GC19 GF17:GI19 GA21:GC21 GF21:GI21 GU5:GW9 GZ5:HC9 GU11:GW12 GZ11:HC12 GU14:GW15 GZ14:HC15 GU17:GW19 GZ17:HC19 GU21:GW21 GZ21:HC21 HO5:HQ9 HT5:HW9 HO11:HQ12 HT11:HW12 HO14:HQ15 HT14:HW15 HO17:HQ19 HT17:HW19 HO21:HQ21 HT21:HW21 II5:IK9 IN5:IQ9 II11:IK12 IN11:IQ12 II14:IK15 IN14:IQ15 II17:IK19 IN17:IQ19 II21:IK21 IN21:IQ21 JC5:JE9 JH5:JK9 JC11:JE12 JH11:JK12 JC14:JE15 JH14:JK15 JC17:JE19 JH17:JK19 JC21:JE21 JH21:JK21 JW5:JY9 KB5:KE9 JW11:JY12 KB11:KE12 JW14:JY15 KB14:KE15 JW17:JY19 KB17:KE19 JW21:JY21 KB21:KE21 KQ5:KS9 KV5:KY9 KQ11:KS12 KV11:KY12 KQ14:KS15 KV14:KY15 KQ17:KS19 KV17:KY19 KQ21:KS21 KV21:KY21 LK5:LM9 LP5:LS9 LK11:LM12 LP11:LS12 LK14:LM15 LP14:LS15 LK17:LM19 LP17:LS19 LK21:LM21 LP21:LS21 ME5:MG9 MJ5:MM9 ME11:MG12 MJ11:MM12 ME14:MG15 MJ14:MM15 ME17:MG19 MJ17:MM19 ME21:MG21 MJ21:MM21 MY5:NA9 ND5:NG9 MY11:NA12 ND11:NG12 MY14:NA15 ND14:NG15 MY17:NA19 ND17:NG19 MY21:NA21 ND21:NG21 NS5:NU9 NX5:OA9 NS11:NU12 NX11:OA12 NS14:NU15 NX14:OA15 NS17:NU19 NX17:OA19 NS21:NU21 NX21:OA21 OM5:OO9 OR5:OU9 OM11:OO12 OR11:OU12 OM14:OO15 OR14:OU15 OM17:OO19 OR17:OU19 OM21:OO21 OR21:OU21 PG5:PI9 PL5:PO9 PG11:PI12 PL11:PO12 PG14:PI15 PL14:PO15 PG17:PI19 PL17:PO19 PG21:PI21 PL21:PO21 QA5:QC9 QF5:QI9 QA11:QC12 QF11:QI12 QA14:QC15 QF14:QI15 QA17:QC19 QF17:QI19 QA21:QC21 QF21:QI21 VE5:VG9 VJ5:VL9 VO5:VQ9 VE11:VG12 VJ11:VL12 VO11:VQ12 VE14:VG15 VJ14:VL15 VO14:VQ15 VE17:VG19 VJ17:VL19 VO17:VQ19 VE21:VG21 VJ21:VL21 VO21:VQ21 AH21:AL21 AH17:AL19 AH14:AL15 AH11:AL12 AH5:AL9 BB21:BF21 BB17:BF19 BB14:BF15 BB11:BF12 BB5:BF9 BV21:BZ21 BV17:BZ19 BV14:BZ15 BV11:BZ12 BV5:BZ9 CP21:CT21 CP17:CT19 CP14:CT15 CP11:CT12 CP5:CT9 DJ21:DN21 DJ17:DN19 DJ14:DN15 DJ11:DN12 DJ5:DN9 ED21:EH21 ED17:EH19 ED14:EH15 ED11:EH12 ED5:EH9 EX21:FB21 EX17:FB19 EX14:FB15 EX11:FB12 EX5:FB9 FR21:FV21 FR17:FV19 FR14:FV15 FR11:FV12 FR5:FV9 GL21:GP21 GL17:GP19 GL14:GP15 GL11:GP12 GL5:GP9 HF21:HJ21 HF17:HJ19 HF14:HJ15 HF11:HJ12 HF5:HJ9 HZ21:ID21 HZ17:ID19 HZ14:ID15 HZ11:ID12 HZ5:ID9 IT21:IX21 IT17:IX19 IT14:IX15 IT11:IX12 IT5:IX9 JN21:JR21 JN17:JR19 JN14:JR15 JN11:JR12 JN5:JR9 KH21:KL21 KH17:KL19 KH14:KL15 KH11:KL12 KH5:KL9 LB21:LF21 LB17:LF19 LB14:LF15 LB11:LF12 LB5:LF9 LV21:LZ21 LV17:LZ19 LV14:LZ15 LV11:LZ12 LV5:LZ9 MP21:MT21 MP17:MT19 MP14:MT15 MP11:MT12 MP5:MT9 NJ21:NN21 NJ17:NN19 NJ14:NN15 NJ11:NN12 NJ5:NN9 OD21:OH21 OD17:OH19 OD14:OH15 OD11:OH12 OD5:OH9 OX21:PB21 OX17:PB19 OX14:PB15 OX11:PB12 OX5:PB9 PR21:PV21 PR17:PV19 PR14:PV15 PR11:PV12 PR5:PV9 QL21:QP21 QL17:QP19 QL14:QP15 QL11:QP12 QL5:QP9 RF21:RJ21 RF17:RJ19 RF14:RJ15 RF11:RJ12 RF5:RJ9 RZ21:SD21 RZ17:SD19 RZ14:SD15 RZ11:SD12 RZ5:SD9 ST21:SX21 ST17:SX19 ST14:SX15 ST11:SX12 ST5:SX9 TN21:TR21 TN17:TR19 TN14:TR15 TN11:TR12 TN5:TR9 N21:R21 N17:R19 N14:R15 N11:R12 N5:R9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C31"/>
  <sheetViews>
    <sheetView tabSelected="1" zoomScale="90" zoomScaleNormal="90" workbookViewId="0"/>
  </sheetViews>
  <sheetFormatPr baseColWidth="10" defaultColWidth="11.41796875" defaultRowHeight="14.4" x14ac:dyDescent="0.55000000000000004"/>
  <cols>
    <col min="1" max="1" width="30.68359375" style="15" customWidth="1"/>
    <col min="2" max="27" width="6.68359375" style="15" customWidth="1"/>
    <col min="28" max="28" width="3" style="15" customWidth="1"/>
    <col min="29" max="29" width="20.15625" style="15" customWidth="1"/>
    <col min="30" max="16384" width="11.41796875" style="15"/>
  </cols>
  <sheetData>
    <row r="1" spans="1:29" ht="31.5" customHeight="1" thickBot="1" x14ac:dyDescent="0.6">
      <c r="A1" s="55" t="s">
        <v>160</v>
      </c>
      <c r="B1" s="229" t="s">
        <v>0</v>
      </c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30"/>
      <c r="AC1" s="56" t="s">
        <v>43</v>
      </c>
    </row>
    <row r="2" spans="1:29" ht="25" customHeight="1" thickTop="1" x14ac:dyDescent="0.55000000000000004">
      <c r="A2" s="231" t="s">
        <v>1</v>
      </c>
      <c r="B2" s="233" t="s">
        <v>2</v>
      </c>
      <c r="C2" s="233"/>
      <c r="D2" s="233"/>
      <c r="E2" s="234"/>
      <c r="F2" s="235" t="s">
        <v>3</v>
      </c>
      <c r="G2" s="236"/>
      <c r="H2" s="236"/>
      <c r="I2" s="237"/>
      <c r="J2" s="235" t="s">
        <v>4</v>
      </c>
      <c r="K2" s="236"/>
      <c r="L2" s="236"/>
      <c r="M2" s="237"/>
      <c r="N2" s="235" t="s">
        <v>5</v>
      </c>
      <c r="O2" s="236"/>
      <c r="P2" s="236"/>
      <c r="Q2" s="237"/>
      <c r="R2" s="235" t="s">
        <v>6</v>
      </c>
      <c r="S2" s="236"/>
      <c r="T2" s="236"/>
      <c r="U2" s="237"/>
      <c r="V2" s="238" t="s">
        <v>41</v>
      </c>
      <c r="W2" s="239"/>
      <c r="X2" s="240"/>
      <c r="Y2" s="241" t="s">
        <v>38</v>
      </c>
      <c r="Z2" s="242"/>
      <c r="AA2" s="243"/>
      <c r="AC2" s="57" t="s">
        <v>159</v>
      </c>
    </row>
    <row r="3" spans="1:29" ht="25" customHeight="1" thickBot="1" x14ac:dyDescent="0.6">
      <c r="A3" s="232"/>
      <c r="B3" s="38" t="s">
        <v>33</v>
      </c>
      <c r="C3" s="39" t="s">
        <v>34</v>
      </c>
      <c r="D3" s="38" t="s">
        <v>35</v>
      </c>
      <c r="E3" s="40" t="s">
        <v>10</v>
      </c>
      <c r="F3" s="41" t="s">
        <v>33</v>
      </c>
      <c r="G3" s="42" t="s">
        <v>34</v>
      </c>
      <c r="H3" s="43" t="s">
        <v>35</v>
      </c>
      <c r="I3" s="44" t="s">
        <v>10</v>
      </c>
      <c r="J3" s="45" t="s">
        <v>33</v>
      </c>
      <c r="K3" s="46" t="s">
        <v>34</v>
      </c>
      <c r="L3" s="43" t="s">
        <v>35</v>
      </c>
      <c r="M3" s="44" t="s">
        <v>10</v>
      </c>
      <c r="N3" s="41" t="s">
        <v>33</v>
      </c>
      <c r="O3" s="47" t="s">
        <v>34</v>
      </c>
      <c r="P3" s="43" t="s">
        <v>35</v>
      </c>
      <c r="Q3" s="44" t="s">
        <v>10</v>
      </c>
      <c r="R3" s="41" t="s">
        <v>33</v>
      </c>
      <c r="S3" s="47" t="s">
        <v>34</v>
      </c>
      <c r="T3" s="43" t="s">
        <v>35</v>
      </c>
      <c r="U3" s="44" t="s">
        <v>10</v>
      </c>
      <c r="V3" s="35" t="s">
        <v>33</v>
      </c>
      <c r="W3" s="36" t="s">
        <v>34</v>
      </c>
      <c r="X3" s="36" t="s">
        <v>35</v>
      </c>
      <c r="Y3" s="37" t="s">
        <v>39</v>
      </c>
      <c r="Z3" s="48" t="s">
        <v>50</v>
      </c>
      <c r="AA3" s="58" t="s">
        <v>40</v>
      </c>
      <c r="AB3" s="59"/>
      <c r="AC3" s="60" t="s">
        <v>194</v>
      </c>
    </row>
    <row r="4" spans="1:29" ht="15.75" customHeight="1" thickTop="1" x14ac:dyDescent="0.55000000000000004">
      <c r="A4" s="62" t="str">
        <f ca="1">CELL("contenu",INDIRECT(ADDRESS(ROW()-2,9,1,,CELL("contenu",$AC$3))))</f>
        <v>BOHBOT Juliette</v>
      </c>
      <c r="B4" s="2" t="str">
        <f ca="1">CELL("contenu",INDIRECT(ADDRESS(ref!$K$3,ref!E3,1,,CELL("contenu",$AC$2))))</f>
        <v>B</v>
      </c>
      <c r="C4" s="3" t="str">
        <f ca="1">CELL("contenu",INDIRECT(ADDRESS(ref!$K$3,ref!F3,1,,CELL("contenu",$AC$2))))</f>
        <v>B</v>
      </c>
      <c r="D4" s="4" t="str">
        <f ca="1">CELL("contenu",INDIRECT(ADDRESS(ref!$K$3,ref!G3,1,,CELL("contenu",$AC$2))))</f>
        <v>B</v>
      </c>
      <c r="E4" s="5" t="str">
        <f ca="1">CELL("contenu",INDIRECT(ADDRESS(ref!$K$3,ref!H3,1,,CELL("contenu",$AC$2))))</f>
        <v>B</v>
      </c>
      <c r="F4" s="6" t="str">
        <f ca="1">CELL("contenu",INDIRECT(ADDRESS(ref!$K$4,ref!E3,1,,CELL("contenu",$AC$2))))</f>
        <v>A</v>
      </c>
      <c r="G4" s="3" t="str">
        <f ca="1">CELL("contenu",INDIRECT(ADDRESS(ref!$K$4,ref!F3,1,,CELL("contenu",$AC$2))))</f>
        <v>B</v>
      </c>
      <c r="H4" s="4" t="str">
        <f ca="1">CELL("contenu",INDIRECT(ADDRESS(ref!$K$4,ref!G3,1,,CELL("contenu",$AC$2))))</f>
        <v>A</v>
      </c>
      <c r="I4" s="5" t="str">
        <f ca="1">CELL("contenu",INDIRECT(ADDRESS(ref!$K$4,ref!H3,1,,CELL("contenu",$AC$2))))</f>
        <v>A</v>
      </c>
      <c r="J4" s="6" t="str">
        <f ca="1">CELL("contenu",INDIRECT(ADDRESS(ref!$K$5,ref!E3,1,,CELL("contenu",$AC$2))))</f>
        <v>D</v>
      </c>
      <c r="K4" s="3" t="str">
        <f ca="1">CELL("contenu",INDIRECT(ADDRESS(ref!$K$5,ref!F3,1,,CELL("contenu",$AC$2))))</f>
        <v>B</v>
      </c>
      <c r="L4" s="4" t="str">
        <f ca="1">CELL("contenu",INDIRECT(ADDRESS(ref!$K$5,ref!G3,1,,CELL("contenu",$AC$2))))</f>
        <v>A</v>
      </c>
      <c r="M4" s="5" t="str">
        <f ca="1">CELL("contenu",INDIRECT(ADDRESS(ref!$K$5,ref!H3,1,,CELL("contenu",$AC$2))))</f>
        <v>C</v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>C</v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9">
        <f ca="1">CELL("contenu",INDIRECT(ADDRESS(ref!$K$8,ref!E3,1,,CELL("contenu",$AC$2))))</f>
        <v>13.333333333333332</v>
      </c>
      <c r="W4" s="50">
        <f ca="1">CELL("contenu",INDIRECT(ADDRESS(ref!$K$8,ref!F3,1,,CELL("contenu",$AC$2))))</f>
        <v>15.138888888888886</v>
      </c>
      <c r="X4" s="51">
        <f ca="1">CELL("contenu",INDIRECT(ADDRESS(ref!$K$8,ref!G3,1,,CELL("contenu",$AC$2))))</f>
        <v>15.37037037037037</v>
      </c>
      <c r="Y4" s="7" t="str">
        <f ca="1">CELL("contenu",INDIRECT(ADDRESS(ref!$K$9,ref!H3,1,,CELL("contenu",$AC$2))))</f>
        <v>A</v>
      </c>
      <c r="Z4" s="4" t="str">
        <f ca="1">CELL("contenu",INDIRECT(ADDRESS(ref!$K$10,ref!H3,1,,CELL("contenu",$AC$2))))</f>
        <v>A</v>
      </c>
      <c r="AA4" s="8" t="str">
        <f ca="1">CELL("contenu",INDIRECT(ADDRESS(ref!$K$11,ref!H3,1,,CELL("contenu",$AC$2))))</f>
        <v>C</v>
      </c>
    </row>
    <row r="5" spans="1:29" x14ac:dyDescent="0.55000000000000004">
      <c r="A5" s="62" t="str">
        <f t="shared" ref="A5:A31" ca="1" si="0">CELL("contenu",INDIRECT(ADDRESS(ROW()-2,9,1,,CELL("contenu",$AC$3))))</f>
        <v>COLINOT Anaelle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C</v>
      </c>
      <c r="D5" s="4" t="str">
        <f ca="1">CELL("contenu",INDIRECT(ADDRESS(ref!$K$3,ref!G4,1,,CELL("contenu",$AC$2))))</f>
        <v>B</v>
      </c>
      <c r="E5" s="5" t="str">
        <f ca="1">CELL("contenu",INDIRECT(ADDRESS(ref!$K$3,ref!H4,1,,CELL("contenu",$AC$2))))</f>
        <v>B</v>
      </c>
      <c r="F5" s="6" t="str">
        <f ca="1">CELL("contenu",INDIRECT(ADDRESS(ref!$K$4,ref!E4,1,,CELL("contenu",$AC$2))))</f>
        <v>C</v>
      </c>
      <c r="G5" s="3" t="str">
        <f ca="1">CELL("contenu",INDIRECT(ADDRESS(ref!$K$4,ref!F4,1,,CELL("contenu",$AC$2))))</f>
        <v>B</v>
      </c>
      <c r="H5" s="4" t="str">
        <f ca="1">CELL("contenu",INDIRECT(ADDRESS(ref!$K$4,ref!G4,1,,CELL("contenu",$AC$2))))</f>
        <v>A</v>
      </c>
      <c r="I5" s="5" t="str">
        <f ca="1">CELL("contenu",INDIRECT(ADDRESS(ref!$K$4,ref!H4,1,,CELL("contenu",$AC$2))))</f>
        <v>B</v>
      </c>
      <c r="J5" s="6" t="str">
        <f ca="1">CELL("contenu",INDIRECT(ADDRESS(ref!$K$5,ref!E4,1,,CELL("contenu",$AC$2))))</f>
        <v>B</v>
      </c>
      <c r="K5" s="3" t="str">
        <f ca="1">CELL("contenu",INDIRECT(ADDRESS(ref!$K$5,ref!F4,1,,CELL("contenu",$AC$2))))</f>
        <v>B</v>
      </c>
      <c r="L5" s="4" t="str">
        <f ca="1">CELL("contenu",INDIRECT(ADDRESS(ref!$K$5,ref!G4,1,,CELL("contenu",$AC$2))))</f>
        <v>A</v>
      </c>
      <c r="M5" s="5" t="str">
        <f ca="1">CELL("contenu",INDIRECT(ADDRESS(ref!$K$5,ref!H4,1,,CELL("contenu",$AC$2))))</f>
        <v>B</v>
      </c>
      <c r="N5" s="6" t="str">
        <f ca="1">CELL("contenu",INDIRECT(ADDRESS(ref!$K$6,ref!E4,1,,CELL("contenu",$AC$2))))</f>
        <v>B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>C</v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9">
        <f ca="1">CELL("contenu",INDIRECT(ADDRESS(ref!$K$8,ref!E4,1,,CELL("contenu",$AC$2))))</f>
        <v>13.611111111111109</v>
      </c>
      <c r="W5" s="50">
        <f ca="1">CELL("contenu",INDIRECT(ADDRESS(ref!$K$8,ref!F4,1,,CELL("contenu",$AC$2))))</f>
        <v>13.333333333333332</v>
      </c>
      <c r="X5" s="51">
        <f ca="1">CELL("contenu",INDIRECT(ADDRESS(ref!$K$8,ref!G4,1,,CELL("contenu",$AC$2))))</f>
        <v>16.203703703703702</v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>A</v>
      </c>
      <c r="AA5" s="8" t="str">
        <f ca="1">CELL("contenu",INDIRECT(ADDRESS(ref!$K$11,ref!H4,1,,CELL("contenu",$AC$2))))</f>
        <v>B</v>
      </c>
    </row>
    <row r="6" spans="1:29" x14ac:dyDescent="0.55000000000000004">
      <c r="A6" s="62" t="str">
        <f t="shared" ca="1" si="0"/>
        <v>DE BENGY Jean-Baptiste</v>
      </c>
      <c r="B6" s="2" t="str">
        <f ca="1">CELL("contenu",INDIRECT(ADDRESS(ref!$K$3,ref!E5,1,,CELL("contenu",$AC$2))))</f>
        <v>B</v>
      </c>
      <c r="C6" s="3" t="str">
        <f ca="1">CELL("contenu",INDIRECT(ADDRESS(ref!$K$3,ref!F5,1,,CELL("contenu",$AC$2))))</f>
        <v>B</v>
      </c>
      <c r="D6" s="4" t="str">
        <f ca="1">CELL("contenu",INDIRECT(ADDRESS(ref!$K$3,ref!G5,1,,CELL("contenu",$AC$2))))</f>
        <v>C</v>
      </c>
      <c r="E6" s="5" t="str">
        <f ca="1">CELL("contenu",INDIRECT(ADDRESS(ref!$K$3,ref!H5,1,,CELL("contenu",$AC$2))))</f>
        <v>B</v>
      </c>
      <c r="F6" s="6" t="str">
        <f ca="1">CELL("contenu",INDIRECT(ADDRESS(ref!$K$4,ref!E5,1,,CELL("contenu",$AC$2))))</f>
        <v>B</v>
      </c>
      <c r="G6" s="3" t="str">
        <f ca="1">CELL("contenu",INDIRECT(ADDRESS(ref!$K$4,ref!F5,1,,CELL("contenu",$AC$2))))</f>
        <v>B</v>
      </c>
      <c r="H6" s="4" t="str">
        <f ca="1">CELL("contenu",INDIRECT(ADDRESS(ref!$K$4,ref!G5,1,,CELL("contenu",$AC$2))))</f>
        <v>A</v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>C</v>
      </c>
      <c r="K6" s="3" t="str">
        <f ca="1">CELL("contenu",INDIRECT(ADDRESS(ref!$K$5,ref!F5,1,,CELL("contenu",$AC$2))))</f>
        <v>B</v>
      </c>
      <c r="L6" s="4" t="str">
        <f ca="1">CELL("contenu",INDIRECT(ADDRESS(ref!$K$5,ref!G5,1,,CELL("contenu",$AC$2))))</f>
        <v>A</v>
      </c>
      <c r="M6" s="5" t="str">
        <f ca="1">CELL("contenu",INDIRECT(ADDRESS(ref!$K$5,ref!H5,1,,CELL("contenu",$AC$2))))</f>
        <v>B</v>
      </c>
      <c r="N6" s="6" t="str">
        <f ca="1">CELL("contenu",INDIRECT(ADDRESS(ref!$K$6,ref!E5,1,,CELL("contenu",$AC$2))))</f>
        <v>B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>C</v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9">
        <f ca="1">CELL("contenu",INDIRECT(ADDRESS(ref!$K$8,ref!E5,1,,CELL("contenu",$AC$2))))</f>
        <v>14.166666666666668</v>
      </c>
      <c r="W6" s="50">
        <f ca="1">CELL("contenu",INDIRECT(ADDRESS(ref!$K$8,ref!F5,1,,CELL("contenu",$AC$2))))</f>
        <v>14.166666666666668</v>
      </c>
      <c r="X6" s="51">
        <f ca="1">CELL("contenu",INDIRECT(ADDRESS(ref!$K$8,ref!G5,1,,CELL("contenu",$AC$2))))</f>
        <v>14.768518518518519</v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>A</v>
      </c>
      <c r="AA6" s="8" t="str">
        <f ca="1">CELL("contenu",INDIRECT(ADDRESS(ref!$K$11,ref!H5,1,,CELL("contenu",$AC$2))))</f>
        <v>B</v>
      </c>
    </row>
    <row r="7" spans="1:29" x14ac:dyDescent="0.55000000000000004">
      <c r="A7" s="62" t="str">
        <f t="shared" ca="1" si="0"/>
        <v>DESEILLE Rose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B</v>
      </c>
      <c r="D7" s="4" t="str">
        <f ca="1">CELL("contenu",INDIRECT(ADDRESS(ref!$K$3,ref!G6,1,,CELL("contenu",$AC$2))))</f>
        <v>B</v>
      </c>
      <c r="E7" s="5" t="str">
        <f ca="1">CELL("contenu",INDIRECT(ADDRESS(ref!$K$3,ref!H6,1,,CELL("contenu",$AC$2))))</f>
        <v>B</v>
      </c>
      <c r="F7" s="6" t="str">
        <f ca="1">CELL("contenu",INDIRECT(ADDRESS(ref!$K$4,ref!E6,1,,CELL("contenu",$AC$2))))</f>
        <v>A</v>
      </c>
      <c r="G7" s="3" t="str">
        <f ca="1">CELL("contenu",INDIRECT(ADDRESS(ref!$K$4,ref!F6,1,,CELL("contenu",$AC$2))))</f>
        <v>B</v>
      </c>
      <c r="H7" s="4" t="str">
        <f ca="1">CELL("contenu",INDIRECT(ADDRESS(ref!$K$4,ref!G6,1,,CELL("contenu",$AC$2))))</f>
        <v>A</v>
      </c>
      <c r="I7" s="5" t="str">
        <f ca="1">CELL("contenu",INDIRECT(ADDRESS(ref!$K$4,ref!H6,1,,CELL("contenu",$AC$2))))</f>
        <v>A</v>
      </c>
      <c r="J7" s="6" t="str">
        <f ca="1">CELL("contenu",INDIRECT(ADDRESS(ref!$K$5,ref!E6,1,,CELL("contenu",$AC$2))))</f>
        <v>B</v>
      </c>
      <c r="K7" s="3" t="str">
        <f ca="1">CELL("contenu",INDIRECT(ADDRESS(ref!$K$5,ref!F6,1,,CELL("contenu",$AC$2))))</f>
        <v>B</v>
      </c>
      <c r="L7" s="4" t="str">
        <f ca="1">CELL("contenu",INDIRECT(ADDRESS(ref!$K$5,ref!G6,1,,CELL("contenu",$AC$2))))</f>
        <v>A</v>
      </c>
      <c r="M7" s="5" t="str">
        <f ca="1">CELL("contenu",INDIRECT(ADDRESS(ref!$K$5,ref!H6,1,,CELL("contenu",$AC$2))))</f>
        <v>B</v>
      </c>
      <c r="N7" s="6" t="str">
        <f ca="1">CELL("contenu",INDIRECT(ADDRESS(ref!$K$6,ref!E6,1,,CELL("contenu",$AC$2))))</f>
        <v>B</v>
      </c>
      <c r="O7" s="3" t="str">
        <f ca="1">CELL("contenu",INDIRECT(ADDRESS(ref!$K$6,ref!F6,1,,CELL("contenu",$AC$2))))</f>
        <v>B</v>
      </c>
      <c r="P7" s="4" t="str">
        <f ca="1">CELL("contenu",INDIRECT(ADDRESS(ref!$K$6,ref!G6,1,,CELL("contenu",$AC$2))))</f>
        <v>C</v>
      </c>
      <c r="Q7" s="5" t="str">
        <f ca="1">CELL("contenu",INDIRECT(ADDRESS(ref!$K$6,ref!H6,1,,CELL("contenu",$AC$2))))</f>
        <v>B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9">
        <f ca="1">CELL("contenu",INDIRECT(ADDRESS(ref!$K$8,ref!E6,1,,CELL("contenu",$AC$2))))</f>
        <v>16.111111111111111</v>
      </c>
      <c r="W7" s="50">
        <f ca="1">CELL("contenu",INDIRECT(ADDRESS(ref!$K$8,ref!F6,1,,CELL("contenu",$AC$2))))</f>
        <v>16.805555555555557</v>
      </c>
      <c r="X7" s="51">
        <f ca="1">CELL("contenu",INDIRECT(ADDRESS(ref!$K$8,ref!G6,1,,CELL("contenu",$AC$2))))</f>
        <v>16.481481481481481</v>
      </c>
      <c r="Y7" s="7" t="str">
        <f ca="1">CELL("contenu",INDIRECT(ADDRESS(ref!$K$9,ref!H6,1,,CELL("contenu",$AC$2))))</f>
        <v>A</v>
      </c>
      <c r="Z7" s="4" t="str">
        <f ca="1">CELL("contenu",INDIRECT(ADDRESS(ref!$K$10,ref!H6,1,,CELL("contenu",$AC$2))))</f>
        <v>A</v>
      </c>
      <c r="AA7" s="8" t="str">
        <f ca="1">CELL("contenu",INDIRECT(ADDRESS(ref!$K$11,ref!H6,1,,CELL("contenu",$AC$2))))</f>
        <v>B</v>
      </c>
    </row>
    <row r="8" spans="1:29" x14ac:dyDescent="0.55000000000000004">
      <c r="A8" s="62" t="str">
        <f t="shared" ca="1" si="0"/>
        <v>DURVAUX Alexandre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B</v>
      </c>
      <c r="D8" s="4" t="str">
        <f ca="1">CELL("contenu",INDIRECT(ADDRESS(ref!$K$3,ref!G7,1,,CELL("contenu",$AC$2))))</f>
        <v>C</v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>B</v>
      </c>
      <c r="G8" s="3" t="str">
        <f ca="1">CELL("contenu",INDIRECT(ADDRESS(ref!$K$4,ref!F7,1,,CELL("contenu",$AC$2))))</f>
        <v>C</v>
      </c>
      <c r="H8" s="4" t="str">
        <f ca="1">CELL("contenu",INDIRECT(ADDRESS(ref!$K$4,ref!G7,1,,CELL("contenu",$AC$2))))</f>
        <v>B</v>
      </c>
      <c r="I8" s="5" t="str">
        <f ca="1">CELL("contenu",INDIRECT(ADDRESS(ref!$K$4,ref!H7,1,,CELL("contenu",$AC$2))))</f>
        <v>B</v>
      </c>
      <c r="J8" s="6" t="str">
        <f ca="1">CELL("contenu",INDIRECT(ADDRESS(ref!$K$5,ref!E7,1,,CELL("contenu",$AC$2))))</f>
        <v>B</v>
      </c>
      <c r="K8" s="3" t="str">
        <f ca="1">CELL("contenu",INDIRECT(ADDRESS(ref!$K$5,ref!F7,1,,CELL("contenu",$AC$2))))</f>
        <v>B</v>
      </c>
      <c r="L8" s="4" t="str">
        <f ca="1">CELL("contenu",INDIRECT(ADDRESS(ref!$K$5,ref!G7,1,,CELL("contenu",$AC$2))))</f>
        <v>A</v>
      </c>
      <c r="M8" s="5" t="str">
        <f ca="1">CELL("contenu",INDIRECT(ADDRESS(ref!$K$5,ref!H7,1,,CELL("contenu",$AC$2))))</f>
        <v>B</v>
      </c>
      <c r="N8" s="6" t="str">
        <f ca="1">CELL("contenu",INDIRECT(ADDRESS(ref!$K$6,ref!E7,1,,CELL("contenu",$AC$2))))</f>
        <v>B</v>
      </c>
      <c r="O8" s="3" t="str">
        <f ca="1">CELL("contenu",INDIRECT(ADDRESS(ref!$K$6,ref!F7,1,,CELL("contenu",$AC$2))))</f>
        <v>B</v>
      </c>
      <c r="P8" s="4" t="str">
        <f ca="1">CELL("contenu",INDIRECT(ADDRESS(ref!$K$6,ref!G7,1,,CELL("contenu",$AC$2))))</f>
        <v>B</v>
      </c>
      <c r="Q8" s="5" t="str">
        <f ca="1">CELL("contenu",INDIRECT(ADDRESS(ref!$K$6,ref!H7,1,,CELL("contenu",$AC$2))))</f>
        <v>B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9">
        <f ca="1">CELL("contenu",INDIRECT(ADDRESS(ref!$K$8,ref!E7,1,,CELL("contenu",$AC$2))))</f>
        <v>13.888888888888891</v>
      </c>
      <c r="W8" s="50">
        <f ca="1">CELL("contenu",INDIRECT(ADDRESS(ref!$K$8,ref!F7,1,,CELL("contenu",$AC$2))))</f>
        <v>14.583333333333332</v>
      </c>
      <c r="X8" s="51">
        <f ca="1">CELL("contenu",INDIRECT(ADDRESS(ref!$K$8,ref!G7,1,,CELL("contenu",$AC$2))))</f>
        <v>14.675925925925926</v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>B</v>
      </c>
      <c r="AA8" s="8" t="str">
        <f ca="1">CELL("contenu",INDIRECT(ADDRESS(ref!$K$11,ref!H7,1,,CELL("contenu",$AC$2))))</f>
        <v>B</v>
      </c>
    </row>
    <row r="9" spans="1:29" x14ac:dyDescent="0.55000000000000004">
      <c r="A9" s="62" t="str">
        <f t="shared" ca="1" si="0"/>
        <v>ELEAUME Diane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B</v>
      </c>
      <c r="D9" s="4" t="str">
        <f ca="1">CELL("contenu",INDIRECT(ADDRESS(ref!$K$3,ref!G8,1,,CELL("contenu",$AC$2))))</f>
        <v>B</v>
      </c>
      <c r="E9" s="5" t="str">
        <f ca="1">CELL("contenu",INDIRECT(ADDRESS(ref!$K$3,ref!H8,1,,CELL("contenu",$AC$2))))</f>
        <v>B</v>
      </c>
      <c r="F9" s="6" t="str">
        <f ca="1">CELL("contenu",INDIRECT(ADDRESS(ref!$K$4,ref!E8,1,,CELL("contenu",$AC$2))))</f>
        <v>A</v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>A</v>
      </c>
      <c r="I9" s="5" t="str">
        <f ca="1">CELL("contenu",INDIRECT(ADDRESS(ref!$K$4,ref!H8,1,,CELL("contenu",$AC$2))))</f>
        <v>A</v>
      </c>
      <c r="J9" s="6" t="str">
        <f ca="1">CELL("contenu",INDIRECT(ADDRESS(ref!$K$5,ref!E8,1,,CELL("contenu",$AC$2))))</f>
        <v>C</v>
      </c>
      <c r="K9" s="3" t="str">
        <f ca="1">CELL("contenu",INDIRECT(ADDRESS(ref!$K$5,ref!F8,1,,CELL("contenu",$AC$2))))</f>
        <v>B</v>
      </c>
      <c r="L9" s="4" t="str">
        <f ca="1">CELL("contenu",INDIRECT(ADDRESS(ref!$K$5,ref!G8,1,,CELL("contenu",$AC$2))))</f>
        <v>A</v>
      </c>
      <c r="M9" s="5" t="str">
        <f ca="1">CELL("contenu",INDIRECT(ADDRESS(ref!$K$5,ref!H8,1,,CELL("contenu",$AC$2))))</f>
        <v>B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>C</v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9">
        <f ca="1">CELL("contenu",INDIRECT(ADDRESS(ref!$K$8,ref!E8,1,,CELL("contenu",$AC$2))))</f>
        <v>12.777777777777777</v>
      </c>
      <c r="W9" s="50">
        <f ca="1">CELL("contenu",INDIRECT(ADDRESS(ref!$K$8,ref!F8,1,,CELL("contenu",$AC$2))))</f>
        <v>14.166666666666668</v>
      </c>
      <c r="X9" s="51">
        <f ca="1">CELL("contenu",INDIRECT(ADDRESS(ref!$K$8,ref!G8,1,,CELL("contenu",$AC$2))))</f>
        <v>15.833333333333332</v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>A</v>
      </c>
      <c r="AA9" s="8" t="str">
        <f ca="1">CELL("contenu",INDIRECT(ADDRESS(ref!$K$11,ref!H8,1,,CELL("contenu",$AC$2))))</f>
        <v>B</v>
      </c>
    </row>
    <row r="10" spans="1:29" x14ac:dyDescent="0.55000000000000004">
      <c r="A10" s="62" t="str">
        <f t="shared" ca="1" si="0"/>
        <v>GIRAULT Jean-Baptiste</v>
      </c>
      <c r="B10" s="2" t="str">
        <f ca="1">CELL("contenu",INDIRECT(ADDRESS(ref!$K$3,ref!E9,1,,CELL("contenu",$AC$2))))</f>
        <v>D</v>
      </c>
      <c r="C10" s="3" t="str">
        <f ca="1">CELL("contenu",INDIRECT(ADDRESS(ref!$K$3,ref!F9,1,,CELL("contenu",$AC$2))))</f>
        <v>C</v>
      </c>
      <c r="D10" s="4" t="str">
        <f ca="1">CELL("contenu",INDIRECT(ADDRESS(ref!$K$3,ref!G9,1,,CELL("contenu",$AC$2))))</f>
        <v>C</v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C</v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>A</v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C</v>
      </c>
      <c r="K10" s="3" t="str">
        <f ca="1">CELL("contenu",INDIRECT(ADDRESS(ref!$K$5,ref!F9,1,,CELL("contenu",$AC$2))))</f>
        <v>B</v>
      </c>
      <c r="L10" s="4" t="str">
        <f ca="1">CELL("contenu",INDIRECT(ADDRESS(ref!$K$5,ref!G9,1,,CELL("contenu",$AC$2))))</f>
        <v>A</v>
      </c>
      <c r="M10" s="5" t="str">
        <f ca="1">CELL("contenu",INDIRECT(ADDRESS(ref!$K$5,ref!H9,1,,CELL("contenu",$AC$2))))</f>
        <v>B</v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>C</v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9">
        <f ca="1">CELL("contenu",INDIRECT(ADDRESS(ref!$K$8,ref!E9,1,,CELL("contenu",$AC$2))))</f>
        <v>8.8888888888888893</v>
      </c>
      <c r="W10" s="50">
        <f ca="1">CELL("contenu",INDIRECT(ADDRESS(ref!$K$8,ref!F9,1,,CELL("contenu",$AC$2))))</f>
        <v>11.944444444444445</v>
      </c>
      <c r="X10" s="51">
        <f ca="1">CELL("contenu",INDIRECT(ADDRESS(ref!$K$8,ref!G9,1,,CELL("contenu",$AC$2))))</f>
        <v>14.675925925925926</v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>A</v>
      </c>
      <c r="AA10" s="8" t="str">
        <f ca="1">CELL("contenu",INDIRECT(ADDRESS(ref!$K$11,ref!H9,1,,CELL("contenu",$AC$2))))</f>
        <v>B</v>
      </c>
    </row>
    <row r="11" spans="1:29" x14ac:dyDescent="0.55000000000000004">
      <c r="A11" s="62" t="str">
        <f t="shared" ca="1" si="0"/>
        <v>GOUVAZE Eglantine</v>
      </c>
      <c r="B11" s="2" t="str">
        <f ca="1">CELL("contenu",INDIRECT(ADDRESS(ref!$K$3,ref!E10,1,,CELL("contenu",$AC$2))))</f>
        <v>C</v>
      </c>
      <c r="C11" s="3" t="str">
        <f ca="1">CELL("contenu",INDIRECT(ADDRESS(ref!$K$3,ref!F10,1,,CELL("contenu",$AC$2))))</f>
        <v>A</v>
      </c>
      <c r="D11" s="4" t="str">
        <f ca="1">CELL("contenu",INDIRECT(ADDRESS(ref!$K$3,ref!G10,1,,CELL("contenu",$AC$2))))</f>
        <v>C</v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>A</v>
      </c>
      <c r="G11" s="3" t="str">
        <f ca="1">CELL("contenu",INDIRECT(ADDRESS(ref!$K$4,ref!F10,1,,CELL("contenu",$AC$2))))</f>
        <v>B</v>
      </c>
      <c r="H11" s="4" t="str">
        <f ca="1">CELL("contenu",INDIRECT(ADDRESS(ref!$K$4,ref!G10,1,,CELL("contenu",$AC$2))))</f>
        <v>A</v>
      </c>
      <c r="I11" s="5" t="str">
        <f ca="1">CELL("contenu",INDIRECT(ADDRESS(ref!$K$4,ref!H10,1,,CELL("contenu",$AC$2))))</f>
        <v>A</v>
      </c>
      <c r="J11" s="6" t="str">
        <f ca="1">CELL("contenu",INDIRECT(ADDRESS(ref!$K$5,ref!E10,1,,CELL("contenu",$AC$2))))</f>
        <v>B</v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>A</v>
      </c>
      <c r="M11" s="5" t="str">
        <f ca="1">CELL("contenu",INDIRECT(ADDRESS(ref!$K$5,ref!H10,1,,CELL("contenu",$AC$2))))</f>
        <v>B</v>
      </c>
      <c r="N11" s="6" t="str">
        <f ca="1">CELL("contenu",INDIRECT(ADDRESS(ref!$K$6,ref!E10,1,,CELL("contenu",$AC$2))))</f>
        <v>B</v>
      </c>
      <c r="O11" s="3" t="str">
        <f ca="1">CELL("contenu",INDIRECT(ADDRESS(ref!$K$6,ref!F10,1,,CELL("contenu",$AC$2))))</f>
        <v>A</v>
      </c>
      <c r="P11" s="4" t="str">
        <f ca="1">CELL("contenu",INDIRECT(ADDRESS(ref!$K$6,ref!G10,1,,CELL("contenu",$AC$2))))</f>
        <v>C</v>
      </c>
      <c r="Q11" s="5" t="str">
        <f ca="1">CELL("contenu",INDIRECT(ADDRESS(ref!$K$6,ref!H10,1,,CELL("contenu",$AC$2))))</f>
        <v>B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9">
        <f ca="1">CELL("contenu",INDIRECT(ADDRESS(ref!$K$8,ref!E10,1,,CELL("contenu",$AC$2))))</f>
        <v>16.111111111111111</v>
      </c>
      <c r="W11" s="50">
        <f ca="1">CELL("contenu",INDIRECT(ADDRESS(ref!$K$8,ref!F10,1,,CELL("contenu",$AC$2))))</f>
        <v>19</v>
      </c>
      <c r="X11" s="51">
        <f ca="1">CELL("contenu",INDIRECT(ADDRESS(ref!$K$8,ref!G10,1,,CELL("contenu",$AC$2))))</f>
        <v>15.416666666666668</v>
      </c>
      <c r="Y11" s="7" t="str">
        <f ca="1">CELL("contenu",INDIRECT(ADDRESS(ref!$K$9,ref!H10,1,,CELL("contenu",$AC$2))))</f>
        <v>B</v>
      </c>
      <c r="Z11" s="4" t="str">
        <f ca="1">CELL("contenu",INDIRECT(ADDRESS(ref!$K$10,ref!H10,1,,CELL("contenu",$AC$2))))</f>
        <v>A</v>
      </c>
      <c r="AA11" s="8" t="str">
        <f ca="1">CELL("contenu",INDIRECT(ADDRESS(ref!$K$11,ref!H10,1,,CELL("contenu",$AC$2))))</f>
        <v>B</v>
      </c>
    </row>
    <row r="12" spans="1:29" x14ac:dyDescent="0.55000000000000004">
      <c r="A12" s="62" t="str">
        <f t="shared" ca="1" si="0"/>
        <v>JAUZENQUE Charlotte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>C</v>
      </c>
      <c r="D12" s="4" t="str">
        <f ca="1">CELL("contenu",INDIRECT(ADDRESS(ref!$K$3,ref!G11,1,,CELL("contenu",$AC$2))))</f>
        <v>C</v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>C</v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>B</v>
      </c>
      <c r="I12" s="5" t="str">
        <f ca="1">CELL("contenu",INDIRECT(ADDRESS(ref!$K$4,ref!H11,1,,CELL("contenu",$AC$2))))</f>
        <v>B</v>
      </c>
      <c r="J12" s="6" t="str">
        <f ca="1">CELL("contenu",INDIRECT(ADDRESS(ref!$K$5,ref!E11,1,,CELL("contenu",$AC$2))))</f>
        <v>D</v>
      </c>
      <c r="K12" s="3" t="str">
        <f ca="1">CELL("contenu",INDIRECT(ADDRESS(ref!$K$5,ref!F11,1,,CELL("contenu",$AC$2))))</f>
        <v>B</v>
      </c>
      <c r="L12" s="4" t="str">
        <f ca="1">CELL("contenu",INDIRECT(ADDRESS(ref!$K$5,ref!G11,1,,CELL("contenu",$AC$2))))</f>
        <v>A</v>
      </c>
      <c r="M12" s="5" t="str">
        <f ca="1">CELL("contenu",INDIRECT(ADDRESS(ref!$K$5,ref!H11,1,,CELL("contenu",$AC$2))))</f>
        <v>C</v>
      </c>
      <c r="N12" s="6" t="str">
        <f ca="1">CELL("contenu",INDIRECT(ADDRESS(ref!$K$6,ref!E11,1,,CELL("contenu",$AC$2))))</f>
        <v>B</v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>C</v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9">
        <f ca="1">CELL("contenu",INDIRECT(ADDRESS(ref!$K$8,ref!E11,1,,CELL("contenu",$AC$2))))</f>
        <v>10.277777777777779</v>
      </c>
      <c r="W12" s="50">
        <f ca="1">CELL("contenu",INDIRECT(ADDRESS(ref!$K$8,ref!F11,1,,CELL("contenu",$AC$2))))</f>
        <v>13.333333333333332</v>
      </c>
      <c r="X12" s="51">
        <f ca="1">CELL("contenu",INDIRECT(ADDRESS(ref!$K$8,ref!G11,1,,CELL("contenu",$AC$2))))</f>
        <v>13.00925925925926</v>
      </c>
      <c r="Y12" s="7" t="str">
        <f ca="1">CELL("contenu",INDIRECT(ADDRESS(ref!$K$9,ref!H11,1,,CELL("contenu",$AC$2))))</f>
        <v>C</v>
      </c>
      <c r="Z12" s="4" t="str">
        <f ca="1">CELL("contenu",INDIRECT(ADDRESS(ref!$K$10,ref!H11,1,,CELL("contenu",$AC$2))))</f>
        <v>B</v>
      </c>
      <c r="AA12" s="8" t="str">
        <f ca="1">CELL("contenu",INDIRECT(ADDRESS(ref!$K$11,ref!H11,1,,CELL("contenu",$AC$2))))</f>
        <v>C</v>
      </c>
    </row>
    <row r="13" spans="1:29" x14ac:dyDescent="0.55000000000000004">
      <c r="A13" s="62" t="str">
        <f t="shared" ca="1" si="0"/>
        <v>MALLEJAC Antoine</v>
      </c>
      <c r="B13" s="2" t="str">
        <f ca="1">CELL("contenu",INDIRECT(ADDRESS(ref!$K$3,ref!E12,1,,CELL("contenu",$AC$2))))</f>
        <v>B</v>
      </c>
      <c r="C13" s="3" t="str">
        <f ca="1">CELL("contenu",INDIRECT(ADDRESS(ref!$K$3,ref!F12,1,,CELL("contenu",$AC$2))))</f>
        <v>B</v>
      </c>
      <c r="D13" s="4" t="str">
        <f ca="1">CELL("contenu",INDIRECT(ADDRESS(ref!$K$3,ref!G12,1,,CELL("contenu",$AC$2))))</f>
        <v>B</v>
      </c>
      <c r="E13" s="5" t="str">
        <f ca="1">CELL("contenu",INDIRECT(ADDRESS(ref!$K$3,ref!H12,1,,CELL("contenu",$AC$2))))</f>
        <v>B</v>
      </c>
      <c r="F13" s="6" t="str">
        <f ca="1">CELL("contenu",INDIRECT(ADDRESS(ref!$K$4,ref!E12,1,,CELL("contenu",$AC$2))))</f>
        <v>A</v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>A</v>
      </c>
      <c r="I13" s="5" t="str">
        <f ca="1">CELL("contenu",INDIRECT(ADDRESS(ref!$K$4,ref!H12,1,,CELL("contenu",$AC$2))))</f>
        <v>A</v>
      </c>
      <c r="J13" s="6" t="str">
        <f ca="1">CELL("contenu",INDIRECT(ADDRESS(ref!$K$5,ref!E12,1,,CELL("contenu",$AC$2))))</f>
        <v>B</v>
      </c>
      <c r="K13" s="3" t="str">
        <f ca="1">CELL("contenu",INDIRECT(ADDRESS(ref!$K$5,ref!F12,1,,CELL("contenu",$AC$2))))</f>
        <v>B</v>
      </c>
      <c r="L13" s="4" t="str">
        <f ca="1">CELL("contenu",INDIRECT(ADDRESS(ref!$K$5,ref!G12,1,,CELL("contenu",$AC$2))))</f>
        <v>A</v>
      </c>
      <c r="M13" s="5" t="str">
        <f ca="1">CELL("contenu",INDIRECT(ADDRESS(ref!$K$5,ref!H12,1,,CELL("contenu",$AC$2))))</f>
        <v>B</v>
      </c>
      <c r="N13" s="6" t="str">
        <f ca="1">CELL("contenu",INDIRECT(ADDRESS(ref!$K$6,ref!E12,1,,CELL("contenu",$AC$2))))</f>
        <v>B</v>
      </c>
      <c r="O13" s="3" t="str">
        <f ca="1">CELL("contenu",INDIRECT(ADDRESS(ref!$K$6,ref!F12,1,,CELL("contenu",$AC$2))))</f>
        <v>B</v>
      </c>
      <c r="P13" s="4" t="str">
        <f ca="1">CELL("contenu",INDIRECT(ADDRESS(ref!$K$6,ref!G12,1,,CELL("contenu",$AC$2))))</f>
        <v>B</v>
      </c>
      <c r="Q13" s="5" t="str">
        <f ca="1">CELL("contenu",INDIRECT(ADDRESS(ref!$K$6,ref!H12,1,,CELL("contenu",$AC$2))))</f>
        <v>B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9">
        <f ca="1">CELL("contenu",INDIRECT(ADDRESS(ref!$K$8,ref!E12,1,,CELL("contenu",$AC$2))))</f>
        <v>16.388888888888889</v>
      </c>
      <c r="W13" s="50">
        <f ca="1">CELL("contenu",INDIRECT(ADDRESS(ref!$K$8,ref!F12,1,,CELL("contenu",$AC$2))))</f>
        <v>16.805555555555557</v>
      </c>
      <c r="X13" s="51">
        <f ca="1">CELL("contenu",INDIRECT(ADDRESS(ref!$K$8,ref!G12,1,,CELL("contenu",$AC$2))))</f>
        <v>17.777777777777779</v>
      </c>
      <c r="Y13" s="7" t="str">
        <f ca="1">CELL("contenu",INDIRECT(ADDRESS(ref!$K$9,ref!H12,1,,CELL("contenu",$AC$2))))</f>
        <v>A</v>
      </c>
      <c r="Z13" s="4" t="str">
        <f ca="1">CELL("contenu",INDIRECT(ADDRESS(ref!$K$10,ref!H12,1,,CELL("contenu",$AC$2))))</f>
        <v>A</v>
      </c>
      <c r="AA13" s="8" t="str">
        <f ca="1">CELL("contenu",INDIRECT(ADDRESS(ref!$K$11,ref!H12,1,,CELL("contenu",$AC$2))))</f>
        <v>B</v>
      </c>
    </row>
    <row r="14" spans="1:29" x14ac:dyDescent="0.55000000000000004">
      <c r="A14" s="62" t="str">
        <f t="shared" ca="1" si="0"/>
        <v>MARTINAT Romain</v>
      </c>
      <c r="B14" s="2" t="str">
        <f ca="1">CELL("contenu",INDIRECT(ADDRESS(ref!$K$3,ref!E13,1,,CELL("contenu",$AC$2))))</f>
        <v>D</v>
      </c>
      <c r="C14" s="3" t="str">
        <f ca="1">CELL("contenu",INDIRECT(ADDRESS(ref!$K$3,ref!F13,1,,CELL("contenu",$AC$2))))</f>
        <v>B</v>
      </c>
      <c r="D14" s="4" t="str">
        <f ca="1">CELL("contenu",INDIRECT(ADDRESS(ref!$K$3,ref!G13,1,,CELL("contenu",$AC$2))))</f>
        <v>C</v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B</v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>B</v>
      </c>
      <c r="I14" s="5" t="str">
        <f ca="1">CELL("contenu",INDIRECT(ADDRESS(ref!$K$4,ref!H13,1,,CELL("contenu",$AC$2))))</f>
        <v>B</v>
      </c>
      <c r="J14" s="6" t="str">
        <f ca="1">CELL("contenu",INDIRECT(ADDRESS(ref!$K$5,ref!E13,1,,CELL("contenu",$AC$2))))</f>
        <v>D</v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>A</v>
      </c>
      <c r="M14" s="5" t="str">
        <f ca="1">CELL("contenu",INDIRECT(ADDRESS(ref!$K$5,ref!H13,1,,CELL("contenu",$AC$2))))</f>
        <v>C</v>
      </c>
      <c r="N14" s="6" t="str">
        <f ca="1">CELL("contenu",INDIRECT(ADDRESS(ref!$K$6,ref!E13,1,,CELL("contenu",$AC$2))))</f>
        <v>D</v>
      </c>
      <c r="O14" s="3" t="str">
        <f ca="1">CELL("contenu",INDIRECT(ADDRESS(ref!$K$6,ref!F13,1,,CELL("contenu",$AC$2))))</f>
        <v>C</v>
      </c>
      <c r="P14" s="4" t="str">
        <f ca="1">CELL("contenu",INDIRECT(ADDRESS(ref!$K$6,ref!G13,1,,CELL("contenu",$AC$2))))</f>
        <v>C</v>
      </c>
      <c r="Q14" s="5" t="str">
        <f ca="1">CELL("contenu",INDIRECT(ADDRESS(ref!$K$6,ref!H13,1,,CELL("contenu",$AC$2))))</f>
        <v>C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9">
        <f ca="1">CELL("contenu",INDIRECT(ADDRESS(ref!$K$8,ref!E13,1,,CELL("contenu",$AC$2))))</f>
        <v>8.0555555555555554</v>
      </c>
      <c r="W14" s="50">
        <f ca="1">CELL("contenu",INDIRECT(ADDRESS(ref!$K$8,ref!F13,1,,CELL("contenu",$AC$2))))</f>
        <v>13</v>
      </c>
      <c r="X14" s="51">
        <f ca="1">CELL("contenu",INDIRECT(ADDRESS(ref!$K$8,ref!G13,1,,CELL("contenu",$AC$2))))</f>
        <v>13.842592592592593</v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>A</v>
      </c>
      <c r="AA14" s="8" t="str">
        <f ca="1">CELL("contenu",INDIRECT(ADDRESS(ref!$K$11,ref!H13,1,,CELL("contenu",$AC$2))))</f>
        <v>C</v>
      </c>
    </row>
    <row r="15" spans="1:29" x14ac:dyDescent="0.55000000000000004">
      <c r="A15" s="62" t="str">
        <f t="shared" ca="1" si="0"/>
        <v>MONTEMBAULT Gabrielle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B</v>
      </c>
      <c r="D15" s="4" t="str">
        <f ca="1">CELL("contenu",INDIRECT(ADDRESS(ref!$K$3,ref!G14,1,,CELL("contenu",$AC$2))))</f>
        <v>B</v>
      </c>
      <c r="E15" s="5" t="str">
        <f ca="1">CELL("contenu",INDIRECT(ADDRESS(ref!$K$3,ref!H14,1,,CELL("contenu",$AC$2))))</f>
        <v>B</v>
      </c>
      <c r="F15" s="6" t="str">
        <f ca="1">CELL("contenu",INDIRECT(ADDRESS(ref!$K$4,ref!E14,1,,CELL("contenu",$AC$2))))</f>
        <v>A</v>
      </c>
      <c r="G15" s="3" t="str">
        <f ca="1">CELL("contenu",INDIRECT(ADDRESS(ref!$K$4,ref!F14,1,,CELL("contenu",$AC$2))))</f>
        <v>B</v>
      </c>
      <c r="H15" s="4" t="str">
        <f ca="1">CELL("contenu",INDIRECT(ADDRESS(ref!$K$4,ref!G14,1,,CELL("contenu",$AC$2))))</f>
        <v>A</v>
      </c>
      <c r="I15" s="5" t="str">
        <f ca="1">CELL("contenu",INDIRECT(ADDRESS(ref!$K$4,ref!H14,1,,CELL("contenu",$AC$2))))</f>
        <v>A</v>
      </c>
      <c r="J15" s="6" t="str">
        <f ca="1">CELL("contenu",INDIRECT(ADDRESS(ref!$K$5,ref!E14,1,,CELL("contenu",$AC$2))))</f>
        <v>C</v>
      </c>
      <c r="K15" s="3" t="str">
        <f ca="1">CELL("contenu",INDIRECT(ADDRESS(ref!$K$5,ref!F14,1,,CELL("contenu",$AC$2))))</f>
        <v>B</v>
      </c>
      <c r="L15" s="4" t="str">
        <f ca="1">CELL("contenu",INDIRECT(ADDRESS(ref!$K$5,ref!G14,1,,CELL("contenu",$AC$2))))</f>
        <v>A</v>
      </c>
      <c r="M15" s="5" t="str">
        <f ca="1">CELL("contenu",INDIRECT(ADDRESS(ref!$K$5,ref!H14,1,,CELL("contenu",$AC$2))))</f>
        <v>B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B</v>
      </c>
      <c r="P15" s="4" t="str">
        <f ca="1">CELL("contenu",INDIRECT(ADDRESS(ref!$K$6,ref!G14,1,,CELL("contenu",$AC$2))))</f>
        <v>B</v>
      </c>
      <c r="Q15" s="5" t="str">
        <f ca="1">CELL("contenu",INDIRECT(ADDRESS(ref!$K$6,ref!H14,1,,CELL("contenu",$AC$2))))</f>
        <v>B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9">
        <f ca="1">CELL("contenu",INDIRECT(ADDRESS(ref!$K$8,ref!E14,1,,CELL("contenu",$AC$2))))</f>
        <v>13.055555555555555</v>
      </c>
      <c r="W15" s="50">
        <f ca="1">CELL("contenu",INDIRECT(ADDRESS(ref!$K$8,ref!F14,1,,CELL("contenu",$AC$2))))</f>
        <v>16.111111111111111</v>
      </c>
      <c r="X15" s="51">
        <f ca="1">CELL("contenu",INDIRECT(ADDRESS(ref!$K$8,ref!G14,1,,CELL("contenu",$AC$2))))</f>
        <v>17.175925925925924</v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>A</v>
      </c>
      <c r="AA15" s="8" t="str">
        <f ca="1">CELL("contenu",INDIRECT(ADDRESS(ref!$K$11,ref!H14,1,,CELL("contenu",$AC$2))))</f>
        <v>B</v>
      </c>
    </row>
    <row r="16" spans="1:29" x14ac:dyDescent="0.55000000000000004">
      <c r="A16" s="62" t="str">
        <f t="shared" ca="1" si="0"/>
        <v>MORAINE Quentin</v>
      </c>
      <c r="B16" s="2" t="str">
        <f ca="1">CELL("contenu",INDIRECT(ADDRESS(ref!$K$3,ref!E15,1,,CELL("contenu",$AC$2))))</f>
        <v>B</v>
      </c>
      <c r="C16" s="3" t="str">
        <f ca="1">CELL("contenu",INDIRECT(ADDRESS(ref!$K$3,ref!F15,1,,CELL("contenu",$AC$2))))</f>
        <v>B</v>
      </c>
      <c r="D16" s="4" t="str">
        <f ca="1">CELL("contenu",INDIRECT(ADDRESS(ref!$K$3,ref!G15,1,,CELL("contenu",$AC$2))))</f>
        <v>C</v>
      </c>
      <c r="E16" s="5" t="str">
        <f ca="1">CELL("contenu",INDIRECT(ADDRESS(ref!$K$3,ref!H15,1,,CELL("contenu",$AC$2))))</f>
        <v>B</v>
      </c>
      <c r="F16" s="6" t="str">
        <f ca="1">CELL("contenu",INDIRECT(ADDRESS(ref!$K$4,ref!E15,1,,CELL("contenu",$AC$2))))</f>
        <v>A</v>
      </c>
      <c r="G16" s="3" t="str">
        <f ca="1">CELL("contenu",INDIRECT(ADDRESS(ref!$K$4,ref!F15,1,,CELL("contenu",$AC$2))))</f>
        <v>B</v>
      </c>
      <c r="H16" s="4" t="str">
        <f ca="1">CELL("contenu",INDIRECT(ADDRESS(ref!$K$4,ref!G15,1,,CELL("contenu",$AC$2))))</f>
        <v>C</v>
      </c>
      <c r="I16" s="5" t="str">
        <f ca="1">CELL("contenu",INDIRECT(ADDRESS(ref!$K$4,ref!H15,1,,CELL("contenu",$AC$2))))</f>
        <v>C</v>
      </c>
      <c r="J16" s="6" t="str">
        <f ca="1">CELL("contenu",INDIRECT(ADDRESS(ref!$K$5,ref!E15,1,,CELL("contenu",$AC$2))))</f>
        <v>C</v>
      </c>
      <c r="K16" s="3" t="str">
        <f ca="1">CELL("contenu",INDIRECT(ADDRESS(ref!$K$5,ref!F15,1,,CELL("contenu",$AC$2))))</f>
        <v>B</v>
      </c>
      <c r="L16" s="4" t="str">
        <f ca="1">CELL("contenu",INDIRECT(ADDRESS(ref!$K$5,ref!G15,1,,CELL("contenu",$AC$2))))</f>
        <v>A</v>
      </c>
      <c r="M16" s="5" t="str">
        <f ca="1">CELL("contenu",INDIRECT(ADDRESS(ref!$K$5,ref!H15,1,,CELL("contenu",$AC$2))))</f>
        <v>B</v>
      </c>
      <c r="N16" s="6" t="str">
        <f ca="1">CELL("contenu",INDIRECT(ADDRESS(ref!$K$6,ref!E15,1,,CELL("contenu",$AC$2))))</f>
        <v>A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>B</v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9">
        <f ca="1">CELL("contenu",INDIRECT(ADDRESS(ref!$K$8,ref!E15,1,,CELL("contenu",$AC$2))))</f>
        <v>16.666666666666668</v>
      </c>
      <c r="W16" s="50">
        <f ca="1">CELL("contenu",INDIRECT(ADDRESS(ref!$K$8,ref!F15,1,,CELL("contenu",$AC$2))))</f>
        <v>14.583333333333332</v>
      </c>
      <c r="X16" s="51">
        <f ca="1">CELL("contenu",INDIRECT(ADDRESS(ref!$K$8,ref!G15,1,,CELL("contenu",$AC$2))))</f>
        <v>14.074074074074074</v>
      </c>
      <c r="Y16" s="7" t="str">
        <f ca="1">CELL("contenu",INDIRECT(ADDRESS(ref!$K$9,ref!H15,1,,CELL("contenu",$AC$2))))</f>
        <v>B</v>
      </c>
      <c r="Z16" s="4" t="str">
        <f ca="1">CELL("contenu",INDIRECT(ADDRESS(ref!$K$10,ref!H15,1,,CELL("contenu",$AC$2))))</f>
        <v>D</v>
      </c>
      <c r="AA16" s="8" t="str">
        <f ca="1">CELL("contenu",INDIRECT(ADDRESS(ref!$K$11,ref!H15,1,,CELL("contenu",$AC$2))))</f>
        <v>B</v>
      </c>
    </row>
    <row r="17" spans="1:27" x14ac:dyDescent="0.55000000000000004">
      <c r="A17" s="62" t="str">
        <f t="shared" ca="1" si="0"/>
        <v>MOUNIROU DEEN Adeola</v>
      </c>
      <c r="B17" s="2" t="str">
        <f ca="1">CELL("contenu",INDIRECT(ADDRESS(ref!$K$3,ref!E16,1,,CELL("contenu",$AC$2))))</f>
        <v>B</v>
      </c>
      <c r="C17" s="3" t="str">
        <f ca="1">CELL("contenu",INDIRECT(ADDRESS(ref!$K$3,ref!F16,1,,CELL("contenu",$AC$2))))</f>
        <v>B</v>
      </c>
      <c r="D17" s="4" t="str">
        <f ca="1">CELL("contenu",INDIRECT(ADDRESS(ref!$K$3,ref!G16,1,,CELL("contenu",$AC$2))))</f>
        <v>B</v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>B</v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>A</v>
      </c>
      <c r="I17" s="5" t="str">
        <f ca="1">CELL("contenu",INDIRECT(ADDRESS(ref!$K$4,ref!H16,1,,CELL("contenu",$AC$2))))</f>
        <v>B</v>
      </c>
      <c r="J17" s="6" t="str">
        <f ca="1">CELL("contenu",INDIRECT(ADDRESS(ref!$K$5,ref!E16,1,,CELL("contenu",$AC$2))))</f>
        <v>B</v>
      </c>
      <c r="K17" s="3" t="str">
        <f ca="1">CELL("contenu",INDIRECT(ADDRESS(ref!$K$5,ref!F16,1,,CELL("contenu",$AC$2))))</f>
        <v>B</v>
      </c>
      <c r="L17" s="4" t="str">
        <f ca="1">CELL("contenu",INDIRECT(ADDRESS(ref!$K$5,ref!G16,1,,CELL("contenu",$AC$2))))</f>
        <v>A</v>
      </c>
      <c r="M17" s="5" t="str">
        <f ca="1">CELL("contenu",INDIRECT(ADDRESS(ref!$K$5,ref!H16,1,,CELL("contenu",$AC$2))))</f>
        <v>B</v>
      </c>
      <c r="N17" s="6" t="str">
        <f ca="1">CELL("contenu",INDIRECT(ADDRESS(ref!$K$6,ref!E16,1,,CELL("contenu",$AC$2))))</f>
        <v>B</v>
      </c>
      <c r="O17" s="3" t="str">
        <f ca="1">CELL("contenu",INDIRECT(ADDRESS(ref!$K$6,ref!F16,1,,CELL("contenu",$AC$2))))</f>
        <v>B</v>
      </c>
      <c r="P17" s="4" t="str">
        <f ca="1">CELL("contenu",INDIRECT(ADDRESS(ref!$K$6,ref!G16,1,,CELL("contenu",$AC$2))))</f>
        <v>B</v>
      </c>
      <c r="Q17" s="5" t="str">
        <f ca="1">CELL("contenu",INDIRECT(ADDRESS(ref!$K$6,ref!H16,1,,CELL("contenu",$AC$2))))</f>
        <v>B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9">
        <f ca="1">CELL("contenu",INDIRECT(ADDRESS(ref!$K$8,ref!E16,1,,CELL("contenu",$AC$2))))</f>
        <v>15.833333333333332</v>
      </c>
      <c r="W17" s="50">
        <f ca="1">CELL("contenu",INDIRECT(ADDRESS(ref!$K$8,ref!F16,1,,CELL("contenu",$AC$2))))</f>
        <v>15</v>
      </c>
      <c r="X17" s="51">
        <f ca="1">CELL("contenu",INDIRECT(ADDRESS(ref!$K$8,ref!G16,1,,CELL("contenu",$AC$2))))</f>
        <v>17.314814814814813</v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>A</v>
      </c>
      <c r="AA17" s="8" t="str">
        <f ca="1">CELL("contenu",INDIRECT(ADDRESS(ref!$K$11,ref!H16,1,,CELL("contenu",$AC$2))))</f>
        <v>B</v>
      </c>
    </row>
    <row r="18" spans="1:27" x14ac:dyDescent="0.55000000000000004">
      <c r="A18" s="62" t="str">
        <f t="shared" ca="1" si="0"/>
        <v>PERRIN Anatole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>B</v>
      </c>
      <c r="D18" s="4" t="str">
        <f ca="1">CELL("contenu",INDIRECT(ADDRESS(ref!$K$3,ref!G17,1,,CELL("contenu",$AC$2))))</f>
        <v>B</v>
      </c>
      <c r="E18" s="5" t="str">
        <f ca="1">CELL("contenu",INDIRECT(ADDRESS(ref!$K$3,ref!H17,1,,CELL("contenu",$AC$2))))</f>
        <v>B</v>
      </c>
      <c r="F18" s="6" t="str">
        <f ca="1">CELL("contenu",INDIRECT(ADDRESS(ref!$K$4,ref!E17,1,,CELL("contenu",$AC$2))))</f>
        <v>C</v>
      </c>
      <c r="G18" s="3" t="str">
        <f ca="1">CELL("contenu",INDIRECT(ADDRESS(ref!$K$4,ref!F17,1,,CELL("contenu",$AC$2))))</f>
        <v>B</v>
      </c>
      <c r="H18" s="4" t="str">
        <f ca="1">CELL("contenu",INDIRECT(ADDRESS(ref!$K$4,ref!G17,1,,CELL("contenu",$AC$2))))</f>
        <v>A</v>
      </c>
      <c r="I18" s="5" t="str">
        <f ca="1">CELL("contenu",INDIRECT(ADDRESS(ref!$K$4,ref!H17,1,,CELL("contenu",$AC$2))))</f>
        <v>B</v>
      </c>
      <c r="J18" s="6" t="str">
        <f ca="1">CELL("contenu",INDIRECT(ADDRESS(ref!$K$5,ref!E17,1,,CELL("contenu",$AC$2))))</f>
        <v>B</v>
      </c>
      <c r="K18" s="3" t="str">
        <f ca="1">CELL("contenu",INDIRECT(ADDRESS(ref!$K$5,ref!F17,1,,CELL("contenu",$AC$2))))</f>
        <v>B</v>
      </c>
      <c r="L18" s="4" t="str">
        <f ca="1">CELL("contenu",INDIRECT(ADDRESS(ref!$K$5,ref!G17,1,,CELL("contenu",$AC$2))))</f>
        <v>A</v>
      </c>
      <c r="M18" s="5" t="str">
        <f ca="1">CELL("contenu",INDIRECT(ADDRESS(ref!$K$5,ref!H17,1,,CELL("contenu",$AC$2))))</f>
        <v>B</v>
      </c>
      <c r="N18" s="6" t="str">
        <f ca="1">CELL("contenu",INDIRECT(ADDRESS(ref!$K$6,ref!E17,1,,CELL("contenu",$AC$2))))</f>
        <v>B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>B</v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9">
        <f ca="1">CELL("contenu",INDIRECT(ADDRESS(ref!$K$8,ref!E17,1,,CELL("contenu",$AC$2))))</f>
        <v>13.611111111111109</v>
      </c>
      <c r="W18" s="50">
        <f ca="1">CELL("contenu",INDIRECT(ADDRESS(ref!$K$8,ref!F17,1,,CELL("contenu",$AC$2))))</f>
        <v>14.027777777777779</v>
      </c>
      <c r="X18" s="51">
        <f ca="1">CELL("contenu",INDIRECT(ADDRESS(ref!$K$8,ref!G17,1,,CELL("contenu",$AC$2))))</f>
        <v>16.712962962962962</v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>A</v>
      </c>
      <c r="AA18" s="8" t="str">
        <f ca="1">CELL("contenu",INDIRECT(ADDRESS(ref!$K$11,ref!H17,1,,CELL("contenu",$AC$2))))</f>
        <v>B</v>
      </c>
    </row>
    <row r="19" spans="1:27" x14ac:dyDescent="0.55000000000000004">
      <c r="A19" s="62" t="str">
        <f t="shared" ca="1" si="0"/>
        <v>PERROTIN Eliott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C</v>
      </c>
      <c r="D19" s="4" t="str">
        <f ca="1">CELL("contenu",INDIRECT(ADDRESS(ref!$K$3,ref!G18,1,,CELL("contenu",$AC$2))))</f>
        <v>C</v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B</v>
      </c>
      <c r="G19" s="3" t="str">
        <f ca="1">CELL("contenu",INDIRECT(ADDRESS(ref!$K$4,ref!F18,1,,CELL("contenu",$AC$2))))</f>
        <v>B</v>
      </c>
      <c r="H19" s="4" t="str">
        <f ca="1">CELL("contenu",INDIRECT(ADDRESS(ref!$K$4,ref!G18,1,,CELL("contenu",$AC$2))))</f>
        <v>B</v>
      </c>
      <c r="I19" s="5" t="str">
        <f ca="1">CELL("contenu",INDIRECT(ADDRESS(ref!$K$4,ref!H18,1,,CELL("contenu",$AC$2))))</f>
        <v>B</v>
      </c>
      <c r="J19" s="6" t="str">
        <f ca="1">CELL("contenu",INDIRECT(ADDRESS(ref!$K$5,ref!E18,1,,CELL("contenu",$AC$2))))</f>
        <v>D</v>
      </c>
      <c r="K19" s="3" t="str">
        <f ca="1">CELL("contenu",INDIRECT(ADDRESS(ref!$K$5,ref!F18,1,,CELL("contenu",$AC$2))))</f>
        <v>B</v>
      </c>
      <c r="L19" s="4" t="str">
        <f ca="1">CELL("contenu",INDIRECT(ADDRESS(ref!$K$5,ref!G18,1,,CELL("contenu",$AC$2))))</f>
        <v>A</v>
      </c>
      <c r="M19" s="5" t="str">
        <f ca="1">CELL("contenu",INDIRECT(ADDRESS(ref!$K$5,ref!H18,1,,CELL("contenu",$AC$2))))</f>
        <v>C</v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>C</v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9">
        <f ca="1">CELL("contenu",INDIRECT(ADDRESS(ref!$K$8,ref!E18,1,,CELL("contenu",$AC$2))))</f>
        <v>11.388888888888891</v>
      </c>
      <c r="W19" s="50">
        <f ca="1">CELL("contenu",INDIRECT(ADDRESS(ref!$K$8,ref!F18,1,,CELL("contenu",$AC$2))))</f>
        <v>12.222222222222223</v>
      </c>
      <c r="X19" s="51">
        <f ca="1">CELL("contenu",INDIRECT(ADDRESS(ref!$K$8,ref!G18,1,,CELL("contenu",$AC$2))))</f>
        <v>13.287037037037038</v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>B</v>
      </c>
      <c r="AA19" s="8" t="str">
        <f ca="1">CELL("contenu",INDIRECT(ADDRESS(ref!$K$11,ref!H18,1,,CELL("contenu",$AC$2))))</f>
        <v>C</v>
      </c>
    </row>
    <row r="20" spans="1:27" x14ac:dyDescent="0.55000000000000004">
      <c r="A20" s="62" t="str">
        <f t="shared" ca="1" si="0"/>
        <v>PICHOT Anthony</v>
      </c>
      <c r="B20" s="2" t="str">
        <f ca="1">CELL("contenu",INDIRECT(ADDRESS(ref!$K$3,ref!E19,1,,CELL("contenu",$AC$2))))</f>
        <v/>
      </c>
      <c r="C20" s="3" t="str">
        <f ca="1">CELL("contenu",INDIRECT(ADDRESS(ref!$K$3,ref!F19,1,,CELL("contenu",$AC$2))))</f>
        <v/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/>
      </c>
      <c r="F20" s="6" t="str">
        <f ca="1">CELL("contenu",INDIRECT(ADDRESS(ref!$K$4,ref!E19,1,,CELL("contenu",$AC$2))))</f>
        <v/>
      </c>
      <c r="G20" s="3" t="str">
        <f ca="1">CELL("contenu",INDIRECT(ADDRESS(ref!$K$4,ref!F19,1,,CELL("contenu",$AC$2))))</f>
        <v/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/>
      </c>
      <c r="J20" s="6" t="str">
        <f ca="1">CELL("contenu",INDIRECT(ADDRESS(ref!$K$5,ref!E19,1,,CELL("contenu",$AC$2))))</f>
        <v/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/>
      </c>
      <c r="N20" s="6" t="str">
        <f ca="1">CELL("contenu",INDIRECT(ADDRESS(ref!$K$6,ref!E19,1,,CELL("contenu",$AC$2))))</f>
        <v/>
      </c>
      <c r="O20" s="3" t="str">
        <f ca="1">CELL("contenu",INDIRECT(ADDRESS(ref!$K$6,ref!F19,1,,CELL("contenu",$AC$2))))</f>
        <v/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/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9" t="str">
        <f ca="1">CELL("contenu",INDIRECT(ADDRESS(ref!$K$8,ref!E19,1,,CELL("contenu",$AC$2))))</f>
        <v/>
      </c>
      <c r="W20" s="50" t="str">
        <f ca="1">CELL("contenu",INDIRECT(ADDRESS(ref!$K$8,ref!F19,1,,CELL("contenu",$AC$2))))</f>
        <v/>
      </c>
      <c r="X20" s="51" t="str">
        <f ca="1">CELL("contenu",INDIRECT(ADDRESS(ref!$K$8,ref!G19,1,,CELL("contenu",$AC$2))))</f>
        <v/>
      </c>
      <c r="Y20" s="7" t="str">
        <f ca="1">CELL("contenu",INDIRECT(ADDRESS(ref!$K$9,ref!H19,1,,CELL("contenu",$AC$2))))</f>
        <v/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/>
      </c>
    </row>
    <row r="21" spans="1:27" x14ac:dyDescent="0.55000000000000004">
      <c r="A21" s="62" t="str">
        <f t="shared" ca="1" si="0"/>
        <v>PROFFIT Xavier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C</v>
      </c>
      <c r="D21" s="4" t="str">
        <f ca="1">CELL("contenu",INDIRECT(ADDRESS(ref!$K$3,ref!G20,1,,CELL("contenu",$AC$2))))</f>
        <v>C</v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>C</v>
      </c>
      <c r="G21" s="3" t="str">
        <f ca="1">CELL("contenu",INDIRECT(ADDRESS(ref!$K$4,ref!F20,1,,CELL("contenu",$AC$2))))</f>
        <v>B</v>
      </c>
      <c r="H21" s="4" t="str">
        <f ca="1">CELL("contenu",INDIRECT(ADDRESS(ref!$K$4,ref!G20,1,,CELL("contenu",$AC$2))))</f>
        <v>A</v>
      </c>
      <c r="I21" s="5" t="str">
        <f ca="1">CELL("contenu",INDIRECT(ADDRESS(ref!$K$4,ref!H20,1,,CELL("contenu",$AC$2))))</f>
        <v>B</v>
      </c>
      <c r="J21" s="6" t="str">
        <f ca="1">CELL("contenu",INDIRECT(ADDRESS(ref!$K$5,ref!E20,1,,CELL("contenu",$AC$2))))</f>
        <v>C</v>
      </c>
      <c r="K21" s="3" t="str">
        <f ca="1">CELL("contenu",INDIRECT(ADDRESS(ref!$K$5,ref!F20,1,,CELL("contenu",$AC$2))))</f>
        <v>B</v>
      </c>
      <c r="L21" s="4" t="str">
        <f ca="1">CELL("contenu",INDIRECT(ADDRESS(ref!$K$5,ref!G20,1,,CELL("contenu",$AC$2))))</f>
        <v>A</v>
      </c>
      <c r="M21" s="5" t="str">
        <f ca="1">CELL("contenu",INDIRECT(ADDRESS(ref!$K$5,ref!H20,1,,CELL("contenu",$AC$2))))</f>
        <v>B</v>
      </c>
      <c r="N21" s="6" t="str">
        <f ca="1">CELL("contenu",INDIRECT(ADDRESS(ref!$K$6,ref!E20,1,,CELL("contenu",$AC$2))))</f>
        <v>B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>B</v>
      </c>
      <c r="Q21" s="5" t="str">
        <f ca="1">CELL("contenu",INDIRECT(ADDRESS(ref!$K$6,ref!H20,1,,CELL("contenu",$AC$2))))</f>
        <v>C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9">
        <f ca="1">CELL("contenu",INDIRECT(ADDRESS(ref!$K$8,ref!E20,1,,CELL("contenu",$AC$2))))</f>
        <v>11.666666666666668</v>
      </c>
      <c r="W21" s="50">
        <f ca="1">CELL("contenu",INDIRECT(ADDRESS(ref!$K$8,ref!F20,1,,CELL("contenu",$AC$2))))</f>
        <v>12.916666666666668</v>
      </c>
      <c r="X21" s="51">
        <f ca="1">CELL("contenu",INDIRECT(ADDRESS(ref!$K$8,ref!G20,1,,CELL("contenu",$AC$2))))</f>
        <v>16.018518518518519</v>
      </c>
      <c r="Y21" s="7" t="str">
        <f ca="1">CELL("contenu",INDIRECT(ADDRESS(ref!$K$9,ref!H20,1,,CELL("contenu",$AC$2))))</f>
        <v>B</v>
      </c>
      <c r="Z21" s="4" t="str">
        <f ca="1">CELL("contenu",INDIRECT(ADDRESS(ref!$K$10,ref!H20,1,,CELL("contenu",$AC$2))))</f>
        <v>A</v>
      </c>
      <c r="AA21" s="8" t="str">
        <f ca="1">CELL("contenu",INDIRECT(ADDRESS(ref!$K$11,ref!H20,1,,CELL("contenu",$AC$2))))</f>
        <v>B</v>
      </c>
    </row>
    <row r="22" spans="1:27" x14ac:dyDescent="0.55000000000000004">
      <c r="A22" s="62" t="str">
        <f t="shared" ca="1" si="0"/>
        <v>PROUVOST Marie-Munezero</v>
      </c>
      <c r="B22" s="2" t="str">
        <f ca="1">CELL("contenu",INDIRECT(ADDRESS(ref!$K$3,ref!E21,1,,CELL("contenu",$AC$2))))</f>
        <v>D</v>
      </c>
      <c r="C22" s="3" t="str">
        <f ca="1">CELL("contenu",INDIRECT(ADDRESS(ref!$K$3,ref!F21,1,,CELL("contenu",$AC$2))))</f>
        <v>C</v>
      </c>
      <c r="D22" s="4" t="str">
        <f ca="1">CELL("contenu",INDIRECT(ADDRESS(ref!$K$3,ref!G21,1,,CELL("contenu",$AC$2))))</f>
        <v>B</v>
      </c>
      <c r="E22" s="5" t="str">
        <f ca="1">CELL("contenu",INDIRECT(ADDRESS(ref!$K$3,ref!H21,1,,CELL("contenu",$AC$2))))</f>
        <v>C</v>
      </c>
      <c r="F22" s="6" t="str">
        <f ca="1">CELL("contenu",INDIRECT(ADDRESS(ref!$K$4,ref!E21,1,,CELL("contenu",$AC$2))))</f>
        <v>D</v>
      </c>
      <c r="G22" s="3" t="str">
        <f ca="1">CELL("contenu",INDIRECT(ADDRESS(ref!$K$4,ref!F21,1,,CELL("contenu",$AC$2))))</f>
        <v>B</v>
      </c>
      <c r="H22" s="4" t="str">
        <f ca="1">CELL("contenu",INDIRECT(ADDRESS(ref!$K$4,ref!G21,1,,CELL("contenu",$AC$2))))</f>
        <v>A</v>
      </c>
      <c r="I22" s="5" t="str">
        <f ca="1">CELL("contenu",INDIRECT(ADDRESS(ref!$K$4,ref!H21,1,,CELL("contenu",$AC$2))))</f>
        <v>B</v>
      </c>
      <c r="J22" s="6" t="str">
        <f ca="1">CELL("contenu",INDIRECT(ADDRESS(ref!$K$5,ref!E21,1,,CELL("contenu",$AC$2))))</f>
        <v>D</v>
      </c>
      <c r="K22" s="3" t="str">
        <f ca="1">CELL("contenu",INDIRECT(ADDRESS(ref!$K$5,ref!F21,1,,CELL("contenu",$AC$2))))</f>
        <v>B</v>
      </c>
      <c r="L22" s="4" t="str">
        <f ca="1">CELL("contenu",INDIRECT(ADDRESS(ref!$K$5,ref!G21,1,,CELL("contenu",$AC$2))))</f>
        <v>A</v>
      </c>
      <c r="M22" s="5" t="str">
        <f ca="1">CELL("contenu",INDIRECT(ADDRESS(ref!$K$5,ref!H21,1,,CELL("contenu",$AC$2))))</f>
        <v>C</v>
      </c>
      <c r="N22" s="6" t="str">
        <f ca="1">CELL("contenu",INDIRECT(ADDRESS(ref!$K$6,ref!E21,1,,CELL("contenu",$AC$2))))</f>
        <v>D</v>
      </c>
      <c r="O22" s="3" t="str">
        <f ca="1">CELL("contenu",INDIRECT(ADDRESS(ref!$K$6,ref!F21,1,,CELL("contenu",$AC$2))))</f>
        <v>C</v>
      </c>
      <c r="P22" s="4" t="str">
        <f ca="1">CELL("contenu",INDIRECT(ADDRESS(ref!$K$6,ref!G21,1,,CELL("contenu",$AC$2))))</f>
        <v>C</v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9">
        <f ca="1">CELL("contenu",INDIRECT(ADDRESS(ref!$K$8,ref!E21,1,,CELL("contenu",$AC$2))))</f>
        <v>5.8333333333333339</v>
      </c>
      <c r="W22" s="50">
        <f ca="1">CELL("contenu",INDIRECT(ADDRESS(ref!$K$8,ref!F21,1,,CELL("contenu",$AC$2))))</f>
        <v>12.638888888888891</v>
      </c>
      <c r="X22" s="51">
        <f ca="1">CELL("contenu",INDIRECT(ADDRESS(ref!$K$8,ref!G21,1,,CELL("contenu",$AC$2))))</f>
        <v>15.046296296296296</v>
      </c>
      <c r="Y22" s="7" t="str">
        <f ca="1">CELL("contenu",INDIRECT(ADDRESS(ref!$K$9,ref!H21,1,,CELL("contenu",$AC$2))))</f>
        <v>C</v>
      </c>
      <c r="Z22" s="4" t="str">
        <f ca="1">CELL("contenu",INDIRECT(ADDRESS(ref!$K$10,ref!H21,1,,CELL("contenu",$AC$2))))</f>
        <v>A</v>
      </c>
      <c r="AA22" s="8" t="str">
        <f ca="1">CELL("contenu",INDIRECT(ADDRESS(ref!$K$11,ref!H21,1,,CELL("contenu",$AC$2))))</f>
        <v>C</v>
      </c>
    </row>
    <row r="23" spans="1:27" x14ac:dyDescent="0.55000000000000004">
      <c r="A23" s="62" t="str">
        <f t="shared" ca="1" si="0"/>
        <v>REYES Alessandro</v>
      </c>
      <c r="B23" s="2" t="str">
        <f ca="1">CELL("contenu",INDIRECT(ADDRESS(ref!$K$3,ref!E22,1,,CELL("contenu",$AC$2))))</f>
        <v>D</v>
      </c>
      <c r="C23" s="3" t="str">
        <f ca="1">CELL("contenu",INDIRECT(ADDRESS(ref!$K$3,ref!F22,1,,CELL("contenu",$AC$2))))</f>
        <v>C</v>
      </c>
      <c r="D23" s="4" t="str">
        <f ca="1">CELL("contenu",INDIRECT(ADDRESS(ref!$K$3,ref!G22,1,,CELL("contenu",$AC$2))))</f>
        <v>C</v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>B</v>
      </c>
      <c r="G23" s="3" t="str">
        <f ca="1">CELL("contenu",INDIRECT(ADDRESS(ref!$K$4,ref!F22,1,,CELL("contenu",$AC$2))))</f>
        <v>C</v>
      </c>
      <c r="H23" s="4" t="str">
        <f ca="1">CELL("contenu",INDIRECT(ADDRESS(ref!$K$4,ref!G22,1,,CELL("contenu",$AC$2))))</f>
        <v>A</v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>C</v>
      </c>
      <c r="K23" s="3" t="str">
        <f ca="1">CELL("contenu",INDIRECT(ADDRESS(ref!$K$5,ref!F22,1,,CELL("contenu",$AC$2))))</f>
        <v>B</v>
      </c>
      <c r="L23" s="4" t="str">
        <f ca="1">CELL("contenu",INDIRECT(ADDRESS(ref!$K$5,ref!G22,1,,CELL("contenu",$AC$2))))</f>
        <v>A</v>
      </c>
      <c r="M23" s="5" t="str">
        <f ca="1">CELL("contenu",INDIRECT(ADDRESS(ref!$K$5,ref!H22,1,,CELL("contenu",$AC$2))))</f>
        <v>B</v>
      </c>
      <c r="N23" s="6" t="str">
        <f ca="1">CELL("contenu",INDIRECT(ADDRESS(ref!$K$6,ref!E22,1,,CELL("contenu",$AC$2))))</f>
        <v>B</v>
      </c>
      <c r="O23" s="3" t="str">
        <f ca="1">CELL("contenu",INDIRECT(ADDRESS(ref!$K$6,ref!F22,1,,CELL("contenu",$AC$2))))</f>
        <v>C</v>
      </c>
      <c r="P23" s="4" t="str">
        <f ca="1">CELL("contenu",INDIRECT(ADDRESS(ref!$K$6,ref!G22,1,,CELL("contenu",$AC$2))))</f>
        <v>C</v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9">
        <f ca="1">CELL("contenu",INDIRECT(ADDRESS(ref!$K$8,ref!E22,1,,CELL("contenu",$AC$2))))</f>
        <v>10.833333333333332</v>
      </c>
      <c r="W23" s="50">
        <f ca="1">CELL("contenu",INDIRECT(ADDRESS(ref!$K$8,ref!F22,1,,CELL("contenu",$AC$2))))</f>
        <v>13.472222222222221</v>
      </c>
      <c r="X23" s="51">
        <f ca="1">CELL("contenu",INDIRECT(ADDRESS(ref!$K$8,ref!G22,1,,CELL("contenu",$AC$2))))</f>
        <v>14.444444444444446</v>
      </c>
      <c r="Y23" s="7" t="str">
        <f ca="1">CELL("contenu",INDIRECT(ADDRESS(ref!$K$9,ref!H22,1,,CELL("contenu",$AC$2))))</f>
        <v>B</v>
      </c>
      <c r="Z23" s="4" t="str">
        <f ca="1">CELL("contenu",INDIRECT(ADDRESS(ref!$K$10,ref!H22,1,,CELL("contenu",$AC$2))))</f>
        <v>A</v>
      </c>
      <c r="AA23" s="8" t="str">
        <f ca="1">CELL("contenu",INDIRECT(ADDRESS(ref!$K$11,ref!H22,1,,CELL("contenu",$AC$2))))</f>
        <v>B</v>
      </c>
    </row>
    <row r="24" spans="1:27" x14ac:dyDescent="0.55000000000000004">
      <c r="A24" s="62" t="str">
        <f t="shared" ca="1" si="0"/>
        <v>ROULLET DE LA BOUILLERIE Hyacinthe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>B</v>
      </c>
      <c r="D24" s="4" t="str">
        <f ca="1">CELL("contenu",INDIRECT(ADDRESS(ref!$K$3,ref!G23,1,,CELL("contenu",$AC$2))))</f>
        <v>B</v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>B</v>
      </c>
      <c r="G24" s="3" t="str">
        <f ca="1">CELL("contenu",INDIRECT(ADDRESS(ref!$K$4,ref!F23,1,,CELL("contenu",$AC$2))))</f>
        <v>B</v>
      </c>
      <c r="H24" s="4" t="str">
        <f ca="1">CELL("contenu",INDIRECT(ADDRESS(ref!$K$4,ref!G23,1,,CELL("contenu",$AC$2))))</f>
        <v>A</v>
      </c>
      <c r="I24" s="5" t="str">
        <f ca="1">CELL("contenu",INDIRECT(ADDRESS(ref!$K$4,ref!H23,1,,CELL("contenu",$AC$2))))</f>
        <v>A</v>
      </c>
      <c r="J24" s="6" t="str">
        <f ca="1">CELL("contenu",INDIRECT(ADDRESS(ref!$K$5,ref!E23,1,,CELL("contenu",$AC$2))))</f>
        <v>C</v>
      </c>
      <c r="K24" s="3" t="str">
        <f ca="1">CELL("contenu",INDIRECT(ADDRESS(ref!$K$5,ref!F23,1,,CELL("contenu",$AC$2))))</f>
        <v>B</v>
      </c>
      <c r="L24" s="4" t="str">
        <f ca="1">CELL("contenu",INDIRECT(ADDRESS(ref!$K$5,ref!G23,1,,CELL("contenu",$AC$2))))</f>
        <v>A</v>
      </c>
      <c r="M24" s="5" t="str">
        <f ca="1">CELL("contenu",INDIRECT(ADDRESS(ref!$K$5,ref!H23,1,,CELL("contenu",$AC$2))))</f>
        <v>B</v>
      </c>
      <c r="N24" s="6" t="str">
        <f ca="1">CELL("contenu",INDIRECT(ADDRESS(ref!$K$6,ref!E23,1,,CELL("contenu",$AC$2))))</f>
        <v>B</v>
      </c>
      <c r="O24" s="3" t="str">
        <f ca="1">CELL("contenu",INDIRECT(ADDRESS(ref!$K$6,ref!F23,1,,CELL("contenu",$AC$2))))</f>
        <v>B</v>
      </c>
      <c r="P24" s="4" t="str">
        <f ca="1">CELL("contenu",INDIRECT(ADDRESS(ref!$K$6,ref!G23,1,,CELL("contenu",$AC$2))))</f>
        <v>C</v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9">
        <f ca="1">CELL("contenu",INDIRECT(ADDRESS(ref!$K$8,ref!E23,1,,CELL("contenu",$AC$2))))</f>
        <v>11.944444444444445</v>
      </c>
      <c r="W24" s="50">
        <f ca="1">CELL("contenu",INDIRECT(ADDRESS(ref!$K$8,ref!F23,1,,CELL("contenu",$AC$2))))</f>
        <v>16.805555555555557</v>
      </c>
      <c r="X24" s="51">
        <f ca="1">CELL("contenu",INDIRECT(ADDRESS(ref!$K$8,ref!G23,1,,CELL("contenu",$AC$2))))</f>
        <v>15.185185185185189</v>
      </c>
      <c r="Y24" s="7" t="str">
        <f ca="1">CELL("contenu",INDIRECT(ADDRESS(ref!$K$9,ref!H23,1,,CELL("contenu",$AC$2))))</f>
        <v>B</v>
      </c>
      <c r="Z24" s="4" t="str">
        <f ca="1">CELL("contenu",INDIRECT(ADDRESS(ref!$K$10,ref!H23,1,,CELL("contenu",$AC$2))))</f>
        <v>A</v>
      </c>
      <c r="AA24" s="8" t="str">
        <f ca="1">CELL("contenu",INDIRECT(ADDRESS(ref!$K$11,ref!H23,1,,CELL("contenu",$AC$2))))</f>
        <v>B</v>
      </c>
    </row>
    <row r="25" spans="1:27" x14ac:dyDescent="0.55000000000000004">
      <c r="A25" s="62" t="str">
        <f t="shared" ca="1" si="0"/>
        <v>ROUZIER Aglae</v>
      </c>
      <c r="B25" s="2" t="str">
        <f ca="1">CELL("contenu",INDIRECT(ADDRESS(ref!$K$3,ref!E24,1,,CELL("contenu",$AC$2))))</f>
        <v>A</v>
      </c>
      <c r="C25" s="3" t="str">
        <f ca="1">CELL("contenu",INDIRECT(ADDRESS(ref!$K$3,ref!F24,1,,CELL("contenu",$AC$2))))</f>
        <v>B</v>
      </c>
      <c r="D25" s="4" t="str">
        <f ca="1">CELL("contenu",INDIRECT(ADDRESS(ref!$K$3,ref!G24,1,,CELL("contenu",$AC$2))))</f>
        <v>B</v>
      </c>
      <c r="E25" s="5" t="str">
        <f ca="1">CELL("contenu",INDIRECT(ADDRESS(ref!$K$3,ref!H24,1,,CELL("contenu",$AC$2))))</f>
        <v>B</v>
      </c>
      <c r="F25" s="6" t="str">
        <f ca="1">CELL("contenu",INDIRECT(ADDRESS(ref!$K$4,ref!E24,1,,CELL("contenu",$AC$2))))</f>
        <v/>
      </c>
      <c r="G25" s="3" t="str">
        <f ca="1">CELL("contenu",INDIRECT(ADDRESS(ref!$K$4,ref!F24,1,,CELL("contenu",$AC$2))))</f>
        <v>A</v>
      </c>
      <c r="H25" s="4" t="str">
        <f ca="1">CELL("contenu",INDIRECT(ADDRESS(ref!$K$4,ref!G24,1,,CELL("contenu",$AC$2))))</f>
        <v>A</v>
      </c>
      <c r="I25" s="5" t="str">
        <f ca="1">CELL("contenu",INDIRECT(ADDRESS(ref!$K$4,ref!H24,1,,CELL("contenu",$AC$2))))</f>
        <v>A</v>
      </c>
      <c r="J25" s="6" t="str">
        <f ca="1">CELL("contenu",INDIRECT(ADDRESS(ref!$K$5,ref!E24,1,,CELL("contenu",$AC$2))))</f>
        <v>B</v>
      </c>
      <c r="K25" s="3" t="str">
        <f ca="1">CELL("contenu",INDIRECT(ADDRESS(ref!$K$5,ref!F24,1,,CELL("contenu",$AC$2))))</f>
        <v>B</v>
      </c>
      <c r="L25" s="4" t="str">
        <f ca="1">CELL("contenu",INDIRECT(ADDRESS(ref!$K$5,ref!G24,1,,CELL("contenu",$AC$2))))</f>
        <v>A</v>
      </c>
      <c r="M25" s="5" t="str">
        <f ca="1">CELL("contenu",INDIRECT(ADDRESS(ref!$K$5,ref!H24,1,,CELL("contenu",$AC$2))))</f>
        <v>B</v>
      </c>
      <c r="N25" s="6" t="str">
        <f ca="1">CELL("contenu",INDIRECT(ADDRESS(ref!$K$6,ref!E24,1,,CELL("contenu",$AC$2))))</f>
        <v>B</v>
      </c>
      <c r="O25" s="3" t="str">
        <f ca="1">CELL("contenu",INDIRECT(ADDRESS(ref!$K$6,ref!F24,1,,CELL("contenu",$AC$2))))</f>
        <v>B</v>
      </c>
      <c r="P25" s="4" t="str">
        <f ca="1">CELL("contenu",INDIRECT(ADDRESS(ref!$K$6,ref!G24,1,,CELL("contenu",$AC$2))))</f>
        <v>C</v>
      </c>
      <c r="Q25" s="5" t="str">
        <f ca="1">CELL("contenu",INDIRECT(ADDRESS(ref!$K$6,ref!H24,1,,CELL("contenu",$AC$2))))</f>
        <v>B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9">
        <f ca="1">CELL("contenu",INDIRECT(ADDRESS(ref!$K$8,ref!E24,1,,CELL("contenu",$AC$2))))</f>
        <v>17</v>
      </c>
      <c r="W25" s="50">
        <f ca="1">CELL("contenu",INDIRECT(ADDRESS(ref!$K$8,ref!F24,1,,CELL("contenu",$AC$2))))</f>
        <v>17.222222222222221</v>
      </c>
      <c r="X25" s="51">
        <f ca="1">CELL("contenu",INDIRECT(ADDRESS(ref!$K$8,ref!G24,1,,CELL("contenu",$AC$2))))</f>
        <v>17.12962962962963</v>
      </c>
      <c r="Y25" s="7" t="str">
        <f ca="1">CELL("contenu",INDIRECT(ADDRESS(ref!$K$9,ref!H24,1,,CELL("contenu",$AC$2))))</f>
        <v>A</v>
      </c>
      <c r="Z25" s="4" t="str">
        <f ca="1">CELL("contenu",INDIRECT(ADDRESS(ref!$K$10,ref!H24,1,,CELL("contenu",$AC$2))))</f>
        <v>A</v>
      </c>
      <c r="AA25" s="8" t="str">
        <f ca="1">CELL("contenu",INDIRECT(ADDRESS(ref!$K$11,ref!H24,1,,CELL("contenu",$AC$2))))</f>
        <v>B</v>
      </c>
    </row>
    <row r="26" spans="1:27" x14ac:dyDescent="0.55000000000000004">
      <c r="A26" s="62" t="str">
        <f t="shared" ca="1" si="0"/>
        <v>SAA GODOY Benjamin</v>
      </c>
      <c r="B26" s="2" t="str">
        <f ca="1">CELL("contenu",INDIRECT(ADDRESS(ref!$K$3,ref!E25,1,,CELL("contenu",$AC$2))))</f>
        <v>B</v>
      </c>
      <c r="C26" s="3" t="str">
        <f ca="1">CELL("contenu",INDIRECT(ADDRESS(ref!$K$3,ref!F25,1,,CELL("contenu",$AC$2))))</f>
        <v>B</v>
      </c>
      <c r="D26" s="4" t="str">
        <f ca="1">CELL("contenu",INDIRECT(ADDRESS(ref!$K$3,ref!G25,1,,CELL("contenu",$AC$2))))</f>
        <v>A</v>
      </c>
      <c r="E26" s="5" t="str">
        <f ca="1">CELL("contenu",INDIRECT(ADDRESS(ref!$K$3,ref!H25,1,,CELL("contenu",$AC$2))))</f>
        <v>B</v>
      </c>
      <c r="F26" s="6" t="str">
        <f ca="1">CELL("contenu",INDIRECT(ADDRESS(ref!$K$4,ref!E25,1,,CELL("contenu",$AC$2))))</f>
        <v>B</v>
      </c>
      <c r="G26" s="3" t="str">
        <f ca="1">CELL("contenu",INDIRECT(ADDRESS(ref!$K$4,ref!F25,1,,CELL("contenu",$AC$2))))</f>
        <v>B</v>
      </c>
      <c r="H26" s="4" t="str">
        <f ca="1">CELL("contenu",INDIRECT(ADDRESS(ref!$K$4,ref!G25,1,,CELL("contenu",$AC$2))))</f>
        <v>A</v>
      </c>
      <c r="I26" s="5" t="str">
        <f ca="1">CELL("contenu",INDIRECT(ADDRESS(ref!$K$4,ref!H25,1,,CELL("contenu",$AC$2))))</f>
        <v>B</v>
      </c>
      <c r="J26" s="6" t="str">
        <f ca="1">CELL("contenu",INDIRECT(ADDRESS(ref!$K$5,ref!E25,1,,CELL("contenu",$AC$2))))</f>
        <v>A</v>
      </c>
      <c r="K26" s="3" t="str">
        <f ca="1">CELL("contenu",INDIRECT(ADDRESS(ref!$K$5,ref!F25,1,,CELL("contenu",$AC$2))))</f>
        <v>B</v>
      </c>
      <c r="L26" s="4" t="str">
        <f ca="1">CELL("contenu",INDIRECT(ADDRESS(ref!$K$5,ref!G25,1,,CELL("contenu",$AC$2))))</f>
        <v>A</v>
      </c>
      <c r="M26" s="5" t="str">
        <f ca="1">CELL("contenu",INDIRECT(ADDRESS(ref!$K$5,ref!H25,1,,CELL("contenu",$AC$2))))</f>
        <v>B</v>
      </c>
      <c r="N26" s="6" t="str">
        <f ca="1">CELL("contenu",INDIRECT(ADDRESS(ref!$K$6,ref!E25,1,,CELL("contenu",$AC$2))))</f>
        <v>B</v>
      </c>
      <c r="O26" s="3" t="str">
        <f ca="1">CELL("contenu",INDIRECT(ADDRESS(ref!$K$6,ref!F25,1,,CELL("contenu",$AC$2))))</f>
        <v>B</v>
      </c>
      <c r="P26" s="4" t="str">
        <f ca="1">CELL("contenu",INDIRECT(ADDRESS(ref!$K$6,ref!G25,1,,CELL("contenu",$AC$2))))</f>
        <v>B</v>
      </c>
      <c r="Q26" s="5" t="str">
        <f ca="1">CELL("contenu",INDIRECT(ADDRESS(ref!$K$6,ref!H25,1,,CELL("contenu",$AC$2))))</f>
        <v>B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9">
        <f ca="1">CELL("contenu",INDIRECT(ADDRESS(ref!$K$8,ref!E25,1,,CELL("contenu",$AC$2))))</f>
        <v>17.222222222222221</v>
      </c>
      <c r="W26" s="50">
        <f ca="1">CELL("contenu",INDIRECT(ADDRESS(ref!$K$8,ref!F25,1,,CELL("contenu",$AC$2))))</f>
        <v>15.833333333333332</v>
      </c>
      <c r="X26" s="51">
        <f ca="1">CELL("contenu",INDIRECT(ADDRESS(ref!$K$8,ref!G25,1,,CELL("contenu",$AC$2))))</f>
        <v>18.611111111111114</v>
      </c>
      <c r="Y26" s="7" t="str">
        <f ca="1">CELL("contenu",INDIRECT(ADDRESS(ref!$K$9,ref!H25,1,,CELL("contenu",$AC$2))))</f>
        <v>B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>B</v>
      </c>
    </row>
    <row r="27" spans="1:27" x14ac:dyDescent="0.55000000000000004">
      <c r="A27" s="62" t="str">
        <f t="shared" ca="1" si="0"/>
        <v>SABOURIN Amelie</v>
      </c>
      <c r="B27" s="2" t="str">
        <f ca="1">CELL("contenu",INDIRECT(ADDRESS(ref!$K$3,ref!E26,1,,CELL("contenu",$AC$2))))</f>
        <v>D</v>
      </c>
      <c r="C27" s="3" t="str">
        <f ca="1">CELL("contenu",INDIRECT(ADDRESS(ref!$K$3,ref!F26,1,,CELL("contenu",$AC$2))))</f>
        <v>B</v>
      </c>
      <c r="D27" s="4" t="str">
        <f ca="1">CELL("contenu",INDIRECT(ADDRESS(ref!$K$3,ref!G26,1,,CELL("contenu",$AC$2))))</f>
        <v>C</v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B</v>
      </c>
      <c r="G27" s="3" t="str">
        <f ca="1">CELL("contenu",INDIRECT(ADDRESS(ref!$K$4,ref!F26,1,,CELL("contenu",$AC$2))))</f>
        <v>B</v>
      </c>
      <c r="H27" s="4" t="str">
        <f ca="1">CELL("contenu",INDIRECT(ADDRESS(ref!$K$4,ref!G26,1,,CELL("contenu",$AC$2))))</f>
        <v>C</v>
      </c>
      <c r="I27" s="5" t="str">
        <f ca="1">CELL("contenu",INDIRECT(ADDRESS(ref!$K$4,ref!H26,1,,CELL("contenu",$AC$2))))</f>
        <v>C</v>
      </c>
      <c r="J27" s="6" t="str">
        <f ca="1">CELL("contenu",INDIRECT(ADDRESS(ref!$K$5,ref!E26,1,,CELL("contenu",$AC$2))))</f>
        <v>C</v>
      </c>
      <c r="K27" s="3" t="str">
        <f ca="1">CELL("contenu",INDIRECT(ADDRESS(ref!$K$5,ref!F26,1,,CELL("contenu",$AC$2))))</f>
        <v>B</v>
      </c>
      <c r="L27" s="4" t="str">
        <f ca="1">CELL("contenu",INDIRECT(ADDRESS(ref!$K$5,ref!G26,1,,CELL("contenu",$AC$2))))</f>
        <v>A</v>
      </c>
      <c r="M27" s="5" t="str">
        <f ca="1">CELL("contenu",INDIRECT(ADDRESS(ref!$K$5,ref!H26,1,,CELL("contenu",$AC$2))))</f>
        <v>B</v>
      </c>
      <c r="N27" s="6" t="str">
        <f ca="1">CELL("contenu",INDIRECT(ADDRESS(ref!$K$6,ref!E26,1,,CELL("contenu",$AC$2))))</f>
        <v>B</v>
      </c>
      <c r="O27" s="3" t="str">
        <f ca="1">CELL("contenu",INDIRECT(ADDRESS(ref!$K$6,ref!F26,1,,CELL("contenu",$AC$2))))</f>
        <v>C</v>
      </c>
      <c r="P27" s="4" t="str">
        <f ca="1">CELL("contenu",INDIRECT(ADDRESS(ref!$K$6,ref!G26,1,,CELL("contenu",$AC$2))))</f>
        <v>C</v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9">
        <f ca="1">CELL("contenu",INDIRECT(ADDRESS(ref!$K$8,ref!E26,1,,CELL("contenu",$AC$2))))</f>
        <v>11.388888888888889</v>
      </c>
      <c r="W27" s="50">
        <f ca="1">CELL("contenu",INDIRECT(ADDRESS(ref!$K$8,ref!F26,1,,CELL("contenu",$AC$2))))</f>
        <v>14.444444444444445</v>
      </c>
      <c r="X27" s="51">
        <f ca="1">CELL("contenu",INDIRECT(ADDRESS(ref!$K$8,ref!G26,1,,CELL("contenu",$AC$2))))</f>
        <v>12.824074074074074</v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>D</v>
      </c>
      <c r="AA27" s="8" t="str">
        <f ca="1">CELL("contenu",INDIRECT(ADDRESS(ref!$K$11,ref!H26,1,,CELL("contenu",$AC$2))))</f>
        <v>B</v>
      </c>
    </row>
    <row r="28" spans="1:27" x14ac:dyDescent="0.55000000000000004">
      <c r="A28" s="62" t="str">
        <f t="shared" ca="1" si="0"/>
        <v>SCHUMACHER Marie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B</v>
      </c>
      <c r="D28" s="4" t="str">
        <f ca="1">CELL("contenu",INDIRECT(ADDRESS(ref!$K$3,ref!G27,1,,CELL("contenu",$AC$2))))</f>
        <v>C</v>
      </c>
      <c r="E28" s="5" t="str">
        <f ca="1">CELL("contenu",INDIRECT(ADDRESS(ref!$K$3,ref!H27,1,,CELL("contenu",$AC$2))))</f>
        <v>B</v>
      </c>
      <c r="F28" s="6" t="str">
        <f ca="1">CELL("contenu",INDIRECT(ADDRESS(ref!$K$4,ref!E27,1,,CELL("contenu",$AC$2))))</f>
        <v>A</v>
      </c>
      <c r="G28" s="3" t="str">
        <f ca="1">CELL("contenu",INDIRECT(ADDRESS(ref!$K$4,ref!F27,1,,CELL("contenu",$AC$2))))</f>
        <v>B</v>
      </c>
      <c r="H28" s="4" t="str">
        <f ca="1">CELL("contenu",INDIRECT(ADDRESS(ref!$K$4,ref!G27,1,,CELL("contenu",$AC$2))))</f>
        <v>A</v>
      </c>
      <c r="I28" s="5" t="str">
        <f ca="1">CELL("contenu",INDIRECT(ADDRESS(ref!$K$4,ref!H27,1,,CELL("contenu",$AC$2))))</f>
        <v>A</v>
      </c>
      <c r="J28" s="6" t="str">
        <f ca="1">CELL("contenu",INDIRECT(ADDRESS(ref!$K$5,ref!E27,1,,CELL("contenu",$AC$2))))</f>
        <v>C</v>
      </c>
      <c r="K28" s="3" t="str">
        <f ca="1">CELL("contenu",INDIRECT(ADDRESS(ref!$K$5,ref!F27,1,,CELL("contenu",$AC$2))))</f>
        <v>B</v>
      </c>
      <c r="L28" s="4" t="str">
        <f ca="1">CELL("contenu",INDIRECT(ADDRESS(ref!$K$5,ref!G27,1,,CELL("contenu",$AC$2))))</f>
        <v>A</v>
      </c>
      <c r="M28" s="5" t="str">
        <f ca="1">CELL("contenu",INDIRECT(ADDRESS(ref!$K$5,ref!H27,1,,CELL("contenu",$AC$2))))</f>
        <v>B</v>
      </c>
      <c r="N28" s="6" t="str">
        <f ca="1">CELL("contenu",INDIRECT(ADDRESS(ref!$K$6,ref!E27,1,,CELL("contenu",$AC$2))))</f>
        <v>B</v>
      </c>
      <c r="O28" s="3" t="str">
        <f ca="1">CELL("contenu",INDIRECT(ADDRESS(ref!$K$6,ref!F27,1,,CELL("contenu",$AC$2))))</f>
        <v>C</v>
      </c>
      <c r="P28" s="4" t="str">
        <f ca="1">CELL("contenu",INDIRECT(ADDRESS(ref!$K$6,ref!G27,1,,CELL("contenu",$AC$2))))</f>
        <v>C</v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9">
        <f ca="1">CELL("contenu",INDIRECT(ADDRESS(ref!$K$8,ref!E27,1,,CELL("contenu",$AC$2))))</f>
        <v>15</v>
      </c>
      <c r="W28" s="50">
        <f ca="1">CELL("contenu",INDIRECT(ADDRESS(ref!$K$8,ref!F27,1,,CELL("contenu",$AC$2))))</f>
        <v>14.444444444444445</v>
      </c>
      <c r="X28" s="51">
        <f ca="1">CELL("contenu",INDIRECT(ADDRESS(ref!$K$8,ref!G27,1,,CELL("contenu",$AC$2))))</f>
        <v>15.601851851851851</v>
      </c>
      <c r="Y28" s="7" t="str">
        <f ca="1">CELL("contenu",INDIRECT(ADDRESS(ref!$K$9,ref!H27,1,,CELL("contenu",$AC$2))))</f>
        <v>B</v>
      </c>
      <c r="Z28" s="4" t="str">
        <f ca="1">CELL("contenu",INDIRECT(ADDRESS(ref!$K$10,ref!H27,1,,CELL("contenu",$AC$2))))</f>
        <v>A</v>
      </c>
      <c r="AA28" s="8" t="str">
        <f ca="1">CELL("contenu",INDIRECT(ADDRESS(ref!$K$11,ref!H27,1,,CELL("contenu",$AC$2))))</f>
        <v>B</v>
      </c>
    </row>
    <row r="29" spans="1:27" x14ac:dyDescent="0.55000000000000004">
      <c r="A29" s="62" t="str">
        <f t="shared" ca="1" si="0"/>
        <v>SOUEF Alexis</v>
      </c>
      <c r="B29" s="2" t="str">
        <f ca="1">CELL("contenu",INDIRECT(ADDRESS(ref!$K$3,ref!E28,1,,CELL("contenu",$AC$2))))</f>
        <v>D</v>
      </c>
      <c r="C29" s="3" t="str">
        <f ca="1">CELL("contenu",INDIRECT(ADDRESS(ref!$K$3,ref!F28,1,,CELL("contenu",$AC$2))))</f>
        <v>C</v>
      </c>
      <c r="D29" s="4" t="str">
        <f ca="1">CELL("contenu",INDIRECT(ADDRESS(ref!$K$3,ref!G28,1,,CELL("contenu",$AC$2))))</f>
        <v>B</v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>C</v>
      </c>
      <c r="G29" s="3" t="str">
        <f ca="1">CELL("contenu",INDIRECT(ADDRESS(ref!$K$4,ref!F28,1,,CELL("contenu",$AC$2))))</f>
        <v>B</v>
      </c>
      <c r="H29" s="4" t="str">
        <f ca="1">CELL("contenu",INDIRECT(ADDRESS(ref!$K$4,ref!G28,1,,CELL("contenu",$AC$2))))</f>
        <v>C</v>
      </c>
      <c r="I29" s="5" t="str">
        <f ca="1">CELL("contenu",INDIRECT(ADDRESS(ref!$K$4,ref!H28,1,,CELL("contenu",$AC$2))))</f>
        <v>C</v>
      </c>
      <c r="J29" s="6" t="str">
        <f ca="1">CELL("contenu",INDIRECT(ADDRESS(ref!$K$5,ref!E28,1,,CELL("contenu",$AC$2))))</f>
        <v>D</v>
      </c>
      <c r="K29" s="3" t="str">
        <f ca="1">CELL("contenu",INDIRECT(ADDRESS(ref!$K$5,ref!F28,1,,CELL("contenu",$AC$2))))</f>
        <v>B</v>
      </c>
      <c r="L29" s="4" t="str">
        <f ca="1">CELL("contenu",INDIRECT(ADDRESS(ref!$K$5,ref!G28,1,,CELL("contenu",$AC$2))))</f>
        <v>A</v>
      </c>
      <c r="M29" s="5" t="str">
        <f ca="1">CELL("contenu",INDIRECT(ADDRESS(ref!$K$5,ref!H28,1,,CELL("contenu",$AC$2))))</f>
        <v>C</v>
      </c>
      <c r="N29" s="6" t="str">
        <f ca="1">CELL("contenu",INDIRECT(ADDRESS(ref!$K$6,ref!E28,1,,CELL("contenu",$AC$2))))</f>
        <v>B</v>
      </c>
      <c r="O29" s="3" t="str">
        <f ca="1">CELL("contenu",INDIRECT(ADDRESS(ref!$K$6,ref!F28,1,,CELL("contenu",$AC$2))))</f>
        <v>C</v>
      </c>
      <c r="P29" s="4" t="str">
        <f ca="1">CELL("contenu",INDIRECT(ADDRESS(ref!$K$6,ref!G28,1,,CELL("contenu",$AC$2))))</f>
        <v>C</v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9">
        <f ca="1">CELL("contenu",INDIRECT(ADDRESS(ref!$K$8,ref!E28,1,,CELL("contenu",$AC$2))))</f>
        <v>9.7222222222222214</v>
      </c>
      <c r="W29" s="50">
        <f ca="1">CELL("contenu",INDIRECT(ADDRESS(ref!$K$8,ref!F28,1,,CELL("contenu",$AC$2))))</f>
        <v>12.638888888888891</v>
      </c>
      <c r="X29" s="51">
        <f ca="1">CELL("contenu",INDIRECT(ADDRESS(ref!$K$8,ref!G28,1,,CELL("contenu",$AC$2))))</f>
        <v>12.824074074074074</v>
      </c>
      <c r="Y29" s="7" t="str">
        <f ca="1">CELL("contenu",INDIRECT(ADDRESS(ref!$K$9,ref!H28,1,,CELL("contenu",$AC$2))))</f>
        <v>B</v>
      </c>
      <c r="Z29" s="4" t="str">
        <f ca="1">CELL("contenu",INDIRECT(ADDRESS(ref!$K$10,ref!H28,1,,CELL("contenu",$AC$2))))</f>
        <v>D</v>
      </c>
      <c r="AA29" s="8" t="str">
        <f ca="1">CELL("contenu",INDIRECT(ADDRESS(ref!$K$11,ref!H28,1,,CELL("contenu",$AC$2))))</f>
        <v>C</v>
      </c>
    </row>
    <row r="30" spans="1:27" x14ac:dyDescent="0.55000000000000004">
      <c r="A30" s="62" t="str">
        <f t="shared" ca="1" si="0"/>
        <v>SUZANNE Cleophee</v>
      </c>
      <c r="B30" s="2" t="str">
        <f ca="1">CELL("contenu",INDIRECT(ADDRESS(ref!$K$3,ref!E29,1,,CELL("contenu",$AC$2))))</f>
        <v>C</v>
      </c>
      <c r="C30" s="3" t="str">
        <f ca="1">CELL("contenu",INDIRECT(ADDRESS(ref!$K$3,ref!F29,1,,CELL("contenu",$AC$2))))</f>
        <v>B</v>
      </c>
      <c r="D30" s="4" t="str">
        <f ca="1">CELL("contenu",INDIRECT(ADDRESS(ref!$K$3,ref!G29,1,,CELL("contenu",$AC$2))))</f>
        <v>C</v>
      </c>
      <c r="E30" s="5" t="str">
        <f ca="1">CELL("contenu",INDIRECT(ADDRESS(ref!$K$3,ref!H29,1,,CELL("contenu",$AC$2))))</f>
        <v>C</v>
      </c>
      <c r="F30" s="6" t="str">
        <f ca="1">CELL("contenu",INDIRECT(ADDRESS(ref!$K$4,ref!E29,1,,CELL("contenu",$AC$2))))</f>
        <v>A</v>
      </c>
      <c r="G30" s="3" t="str">
        <f ca="1">CELL("contenu",INDIRECT(ADDRESS(ref!$K$4,ref!F29,1,,CELL("contenu",$AC$2))))</f>
        <v>B</v>
      </c>
      <c r="H30" s="4" t="str">
        <f ca="1">CELL("contenu",INDIRECT(ADDRESS(ref!$K$4,ref!G29,1,,CELL("contenu",$AC$2))))</f>
        <v>B</v>
      </c>
      <c r="I30" s="5" t="str">
        <f ca="1">CELL("contenu",INDIRECT(ADDRESS(ref!$K$4,ref!H29,1,,CELL("contenu",$AC$2))))</f>
        <v>B</v>
      </c>
      <c r="J30" s="6" t="str">
        <f ca="1">CELL("contenu",INDIRECT(ADDRESS(ref!$K$5,ref!E29,1,,CELL("contenu",$AC$2))))</f>
        <v>C</v>
      </c>
      <c r="K30" s="3" t="str">
        <f ca="1">CELL("contenu",INDIRECT(ADDRESS(ref!$K$5,ref!F29,1,,CELL("contenu",$AC$2))))</f>
        <v/>
      </c>
      <c r="L30" s="4" t="str">
        <f ca="1">CELL("contenu",INDIRECT(ADDRESS(ref!$K$5,ref!G29,1,,CELL("contenu",$AC$2))))</f>
        <v/>
      </c>
      <c r="M30" s="5" t="str">
        <f ca="1">CELL("contenu",INDIRECT(ADDRESS(ref!$K$5,ref!H29,1,,CELL("contenu",$AC$2))))</f>
        <v>C</v>
      </c>
      <c r="N30" s="6" t="str">
        <f ca="1">CELL("contenu",INDIRECT(ADDRESS(ref!$K$6,ref!E29,1,,CELL("contenu",$AC$2))))</f>
        <v>B</v>
      </c>
      <c r="O30" s="3" t="str">
        <f ca="1">CELL("contenu",INDIRECT(ADDRESS(ref!$K$6,ref!F29,1,,CELL("contenu",$AC$2))))</f>
        <v>C</v>
      </c>
      <c r="P30" s="4" t="str">
        <f ca="1">CELL("contenu",INDIRECT(ADDRESS(ref!$K$6,ref!G29,1,,CELL("contenu",$AC$2))))</f>
        <v>B</v>
      </c>
      <c r="Q30" s="5" t="str">
        <f ca="1">CELL("contenu",INDIRECT(ADDRESS(ref!$K$6,ref!H29,1,,CELL("contenu",$AC$2))))</f>
        <v>B</v>
      </c>
      <c r="R30" s="6" t="str">
        <f ca="1">CELL("contenu",INDIRECT(ADDRESS(ref!$K$7,ref!E29,1,,CELL("contenu",$AC$2))))</f>
        <v/>
      </c>
      <c r="S30" s="3" t="str">
        <f ca="1">CELL("contenu",INDIRECT(ADDRESS(ref!$K$7,ref!F29,1,,CELL("contenu",$AC$2))))</f>
        <v/>
      </c>
      <c r="T30" s="4" t="str">
        <f ca="1">CELL("contenu",INDIRECT(ADDRESS(ref!$K$7,ref!G29,1,,CELL("contenu",$AC$2))))</f>
        <v/>
      </c>
      <c r="U30" s="5" t="str">
        <f ca="1">CELL("contenu",INDIRECT(ADDRESS(ref!$K$7,ref!H29,1,,CELL("contenu",$AC$2))))</f>
        <v/>
      </c>
      <c r="V30" s="49">
        <f ca="1">CELL("contenu",INDIRECT(ADDRESS(ref!$K$8,ref!E29,1,,CELL("contenu",$AC$2))))</f>
        <v>13.888888888888891</v>
      </c>
      <c r="W30" s="50">
        <f ca="1">CELL("contenu",INDIRECT(ADDRESS(ref!$K$8,ref!F29,1,,CELL("contenu",$AC$2))))</f>
        <v>14</v>
      </c>
      <c r="X30" s="51">
        <f ca="1">CELL("contenu",INDIRECT(ADDRESS(ref!$K$8,ref!G29,1,,CELL("contenu",$AC$2))))</f>
        <v>15.5</v>
      </c>
      <c r="Y30" s="7" t="str">
        <f ca="1">CELL("contenu",INDIRECT(ADDRESS(ref!$K$9,ref!H29,1,,CELL("contenu",$AC$2))))</f>
        <v>B</v>
      </c>
      <c r="Z30" s="4" t="str">
        <f ca="1">CELL("contenu",INDIRECT(ADDRESS(ref!$K$10,ref!H29,1,,CELL("contenu",$AC$2))))</f>
        <v>A</v>
      </c>
      <c r="AA30" s="8" t="str">
        <f ca="1">CELL("contenu",INDIRECT(ADDRESS(ref!$K$11,ref!H29,1,,CELL("contenu",$AC$2))))</f>
        <v>C</v>
      </c>
    </row>
    <row r="31" spans="1:27" ht="14.7" thickBot="1" x14ac:dyDescent="0.6">
      <c r="A31" s="63" t="str">
        <f t="shared" ca="1" si="0"/>
        <v>ZHENDRE Manon</v>
      </c>
      <c r="B31" s="23" t="str">
        <f ca="1">CELL("contenu",INDIRECT(ADDRESS(ref!$K$3,ref!E30,1,,CELL("contenu",$AC$2))))</f>
        <v>C</v>
      </c>
      <c r="C31" s="9" t="str">
        <f ca="1">CELL("contenu",INDIRECT(ADDRESS(ref!$K$3,ref!F30,1,,CELL("contenu",$AC$2))))</f>
        <v>B</v>
      </c>
      <c r="D31" s="10" t="str">
        <f ca="1">CELL("contenu",INDIRECT(ADDRESS(ref!$K$3,ref!G30,1,,CELL("contenu",$AC$2))))</f>
        <v>C</v>
      </c>
      <c r="E31" s="11" t="str">
        <f ca="1">CELL("contenu",INDIRECT(ADDRESS(ref!$K$3,ref!H30,1,,CELL("contenu",$AC$2))))</f>
        <v>C</v>
      </c>
      <c r="F31" s="12" t="str">
        <f ca="1">CELL("contenu",INDIRECT(ADDRESS(ref!$K$4,ref!E30,1,,CELL("contenu",$AC$2))))</f>
        <v>A</v>
      </c>
      <c r="G31" s="9" t="str">
        <f ca="1">CELL("contenu",INDIRECT(ADDRESS(ref!$K$4,ref!F30,1,,CELL("contenu",$AC$2))))</f>
        <v>B</v>
      </c>
      <c r="H31" s="10" t="str">
        <f ca="1">CELL("contenu",INDIRECT(ADDRESS(ref!$K$4,ref!G30,1,,CELL("contenu",$AC$2))))</f>
        <v>A</v>
      </c>
      <c r="I31" s="11" t="str">
        <f ca="1">CELL("contenu",INDIRECT(ADDRESS(ref!$K$4,ref!H30,1,,CELL("contenu",$AC$2))))</f>
        <v>A</v>
      </c>
      <c r="J31" s="12" t="str">
        <f ca="1">CELL("contenu",INDIRECT(ADDRESS(ref!$K$5,ref!E30,1,,CELL("contenu",$AC$2))))</f>
        <v>C</v>
      </c>
      <c r="K31" s="9" t="str">
        <f ca="1">CELL("contenu",INDIRECT(ADDRESS(ref!$K$5,ref!F30,1,,CELL("contenu",$AC$2))))</f>
        <v>B</v>
      </c>
      <c r="L31" s="10" t="str">
        <f ca="1">CELL("contenu",INDIRECT(ADDRESS(ref!$K$5,ref!G30,1,,CELL("contenu",$AC$2))))</f>
        <v>A</v>
      </c>
      <c r="M31" s="11" t="str">
        <f ca="1">CELL("contenu",INDIRECT(ADDRESS(ref!$K$5,ref!H30,1,,CELL("contenu",$AC$2))))</f>
        <v>B</v>
      </c>
      <c r="N31" s="12" t="str">
        <f ca="1">CELL("contenu",INDIRECT(ADDRESS(ref!$K$6,ref!E30,1,,CELL("contenu",$AC$2))))</f>
        <v>B</v>
      </c>
      <c r="O31" s="9" t="str">
        <f ca="1">CELL("contenu",INDIRECT(ADDRESS(ref!$K$6,ref!F30,1,,CELL("contenu",$AC$2))))</f>
        <v>C</v>
      </c>
      <c r="P31" s="10" t="str">
        <f ca="1">CELL("contenu",INDIRECT(ADDRESS(ref!$K$6,ref!G30,1,,CELL("contenu",$AC$2))))</f>
        <v>C</v>
      </c>
      <c r="Q31" s="11" t="str">
        <f ca="1">CELL("contenu",INDIRECT(ADDRESS(ref!$K$6,ref!H30,1,,CELL("contenu",$AC$2))))</f>
        <v>C</v>
      </c>
      <c r="R31" s="12" t="str">
        <f ca="1">CELL("contenu",INDIRECT(ADDRESS(ref!$K$7,ref!E30,1,,CELL("contenu",$AC$2))))</f>
        <v/>
      </c>
      <c r="S31" s="9" t="str">
        <f ca="1">CELL("contenu",INDIRECT(ADDRESS(ref!$K$7,ref!F30,1,,CELL("contenu",$AC$2))))</f>
        <v/>
      </c>
      <c r="T31" s="10" t="str">
        <f ca="1">CELL("contenu",INDIRECT(ADDRESS(ref!$K$7,ref!G30,1,,CELL("contenu",$AC$2))))</f>
        <v/>
      </c>
      <c r="U31" s="11" t="str">
        <f ca="1">CELL("contenu",INDIRECT(ADDRESS(ref!$K$7,ref!H30,1,,CELL("contenu",$AC$2))))</f>
        <v/>
      </c>
      <c r="V31" s="52">
        <f ca="1">CELL("contenu",INDIRECT(ADDRESS(ref!$K$8,ref!E30,1,,CELL("contenu",$AC$2))))</f>
        <v>14.166666666666668</v>
      </c>
      <c r="W31" s="53">
        <f ca="1">CELL("contenu",INDIRECT(ADDRESS(ref!$K$8,ref!F30,1,,CELL("contenu",$AC$2))))</f>
        <v>13.888888888888891</v>
      </c>
      <c r="X31" s="54">
        <f ca="1">CELL("contenu",INDIRECT(ADDRESS(ref!$K$8,ref!G30,1,,CELL("contenu",$AC$2))))</f>
        <v>15.277777777777777</v>
      </c>
      <c r="Y31" s="13" t="str">
        <f ca="1">CELL("contenu",INDIRECT(ADDRESS(ref!$K$9,ref!H30,1,,CELL("contenu",$AC$2))))</f>
        <v>B</v>
      </c>
      <c r="Z31" s="10" t="str">
        <f ca="1">CELL("contenu",INDIRECT(ADDRESS(ref!$K$10,ref!H30,1,,CELL("contenu",$AC$2))))</f>
        <v>A</v>
      </c>
      <c r="AA31" s="14" t="str">
        <f ca="1">CELL("contenu",INDIRECT(ADDRESS(ref!$K$11,ref!H30,1,,CELL("contenu",$AC$2))))</f>
        <v>B</v>
      </c>
    </row>
  </sheetData>
  <sheetProtection algorithmName="SHA-512" hashValue="C4CS5PFDRR8e7SIhMxpkKLYwfwfmtMMcCQy7ff+ExdTD0k2mMnhxV7nwUp1+efro25GNKYkbP9pV4qE2dA6MDQ==" saltValue="Tmxl3xFKGo/gRTWpTjWujA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VX24"/>
  <sheetViews>
    <sheetView topLeftCell="A3" zoomScale="80" zoomScaleNormal="80" workbookViewId="0">
      <pane xSplit="2" topLeftCell="ER1" activePane="topRight" state="frozen"/>
      <selection activeCell="A6" sqref="A6:B6"/>
      <selection pane="topRight" activeCell="FA19" sqref="FA19"/>
    </sheetView>
  </sheetViews>
  <sheetFormatPr baseColWidth="10" defaultColWidth="5.68359375" defaultRowHeight="14.4" x14ac:dyDescent="0.55000000000000004"/>
  <cols>
    <col min="1" max="1" width="17.68359375" style="168" customWidth="1"/>
    <col min="2" max="2" width="13.68359375" style="168" customWidth="1"/>
    <col min="3" max="5" width="4.68359375" style="159" customWidth="1"/>
    <col min="6" max="6" width="4.68359375" style="190" customWidth="1"/>
    <col min="7" max="7" width="8.68359375" style="191" customWidth="1"/>
    <col min="8" max="11" width="4.68359375" style="158" customWidth="1"/>
    <col min="12" max="12" width="4.68359375" style="191" customWidth="1"/>
    <col min="13" max="13" width="8.68359375" style="191" customWidth="1"/>
    <col min="14" max="18" width="4.68359375" style="158" customWidth="1"/>
    <col min="19" max="19" width="4.68359375" style="191" customWidth="1"/>
    <col min="20" max="20" width="8.68359375" style="191" customWidth="1"/>
    <col min="21" max="21" width="4.68359375" style="191" customWidth="1"/>
    <col min="22" max="22" width="8.68359375" style="191" customWidth="1"/>
    <col min="23" max="25" width="4.68359375" style="159" customWidth="1"/>
    <col min="26" max="26" width="4.68359375" style="190" customWidth="1"/>
    <col min="27" max="27" width="8.68359375" style="191" customWidth="1"/>
    <col min="28" max="31" width="4.68359375" style="158" customWidth="1"/>
    <col min="32" max="32" width="4.68359375" style="191" customWidth="1"/>
    <col min="33" max="33" width="8.68359375" style="191" customWidth="1"/>
    <col min="34" max="38" width="4.68359375" style="158" customWidth="1"/>
    <col min="39" max="39" width="4.68359375" style="191" customWidth="1"/>
    <col min="40" max="40" width="8.68359375" style="191" customWidth="1"/>
    <col min="41" max="41" width="4.68359375" style="191" customWidth="1"/>
    <col min="42" max="42" width="8.68359375" style="191" customWidth="1"/>
    <col min="43" max="46" width="4.68359375" style="159" customWidth="1"/>
    <col min="47" max="47" width="8.68359375" style="157" customWidth="1"/>
    <col min="48" max="51" width="4.68359375" style="158" customWidth="1"/>
    <col min="52" max="52" width="4.68359375" style="157" customWidth="1"/>
    <col min="53" max="53" width="8.68359375" style="157" customWidth="1"/>
    <col min="54" max="58" width="4.68359375" style="158" customWidth="1"/>
    <col min="59" max="59" width="4.68359375" style="157" customWidth="1"/>
    <col min="60" max="60" width="8.68359375" style="157" customWidth="1"/>
    <col min="61" max="61" width="4.68359375" style="157" customWidth="1"/>
    <col min="62" max="62" width="8.68359375" style="157" customWidth="1"/>
    <col min="63" max="66" width="4.68359375" style="159" customWidth="1"/>
    <col min="67" max="67" width="8.68359375" style="157" customWidth="1"/>
    <col min="68" max="71" width="4.68359375" style="158" customWidth="1"/>
    <col min="72" max="72" width="4.68359375" style="157" customWidth="1"/>
    <col min="73" max="73" width="8.68359375" style="157" customWidth="1"/>
    <col min="74" max="78" width="4.68359375" style="158" customWidth="1"/>
    <col min="79" max="79" width="4.68359375" style="157" customWidth="1"/>
    <col min="80" max="80" width="8.68359375" style="157" customWidth="1"/>
    <col min="81" max="81" width="4.68359375" style="157" customWidth="1"/>
    <col min="82" max="82" width="8.68359375" style="157" customWidth="1"/>
    <col min="83" max="86" width="4.68359375" style="159" customWidth="1"/>
    <col min="87" max="87" width="8.68359375" style="157" customWidth="1"/>
    <col min="88" max="91" width="4.68359375" style="158" customWidth="1"/>
    <col min="92" max="92" width="4.68359375" style="157" customWidth="1"/>
    <col min="93" max="93" width="8.68359375" style="157" customWidth="1"/>
    <col min="94" max="98" width="4.68359375" style="158" customWidth="1"/>
    <col min="99" max="99" width="4.68359375" style="157" customWidth="1"/>
    <col min="100" max="100" width="8.68359375" style="157" customWidth="1"/>
    <col min="101" max="101" width="4.68359375" style="157" customWidth="1"/>
    <col min="102" max="102" width="8.68359375" style="157" customWidth="1"/>
    <col min="103" max="106" width="4.68359375" style="159" customWidth="1"/>
    <col min="107" max="107" width="8.68359375" style="157" customWidth="1"/>
    <col min="108" max="111" width="4.68359375" style="158" customWidth="1"/>
    <col min="112" max="112" width="4.68359375" style="157" customWidth="1"/>
    <col min="113" max="113" width="8.68359375" style="157" customWidth="1"/>
    <col min="114" max="118" width="4.68359375" style="158" customWidth="1"/>
    <col min="119" max="119" width="4.68359375" style="157" customWidth="1"/>
    <col min="120" max="120" width="8.68359375" style="157" customWidth="1"/>
    <col min="121" max="121" width="4.68359375" style="157" customWidth="1"/>
    <col min="122" max="122" width="8.68359375" style="157" customWidth="1"/>
    <col min="123" max="126" width="4.68359375" style="159" customWidth="1"/>
    <col min="127" max="127" width="8.68359375" style="157" customWidth="1"/>
    <col min="128" max="131" width="4.68359375" style="158" customWidth="1"/>
    <col min="132" max="132" width="4.68359375" style="157" customWidth="1"/>
    <col min="133" max="133" width="8.68359375" style="157" customWidth="1"/>
    <col min="134" max="138" width="4.68359375" style="158" customWidth="1"/>
    <col min="139" max="139" width="4.68359375" style="157" customWidth="1"/>
    <col min="140" max="140" width="8.68359375" style="157" customWidth="1"/>
    <col min="141" max="141" width="4.68359375" style="157" customWidth="1"/>
    <col min="142" max="142" width="8.68359375" style="157" customWidth="1"/>
    <col min="143" max="146" width="4.68359375" style="159" customWidth="1"/>
    <col min="147" max="147" width="8.68359375" style="157" customWidth="1"/>
    <col min="148" max="151" width="4.68359375" style="158" customWidth="1"/>
    <col min="152" max="152" width="4.68359375" style="157" customWidth="1"/>
    <col min="153" max="153" width="8.68359375" style="157" customWidth="1"/>
    <col min="154" max="158" width="4.68359375" style="158" customWidth="1"/>
    <col min="159" max="159" width="4.68359375" style="157" customWidth="1"/>
    <col min="160" max="160" width="8.68359375" style="157" customWidth="1"/>
    <col min="161" max="161" width="4.68359375" style="157" customWidth="1"/>
    <col min="162" max="162" width="8.68359375" style="157" customWidth="1"/>
    <col min="163" max="166" width="4.68359375" style="159" customWidth="1"/>
    <col min="167" max="167" width="8.68359375" style="157" customWidth="1"/>
    <col min="168" max="171" width="4.68359375" style="158" customWidth="1"/>
    <col min="172" max="172" width="4.68359375" style="157" customWidth="1"/>
    <col min="173" max="173" width="8.68359375" style="157" customWidth="1"/>
    <col min="174" max="178" width="4.68359375" style="158" customWidth="1"/>
    <col min="179" max="179" width="4.68359375" style="157" customWidth="1"/>
    <col min="180" max="180" width="8.68359375" style="157" customWidth="1"/>
    <col min="181" max="181" width="4.68359375" style="157" customWidth="1"/>
    <col min="182" max="182" width="8.68359375" style="157" customWidth="1"/>
    <col min="183" max="186" width="4.68359375" style="159" customWidth="1"/>
    <col min="187" max="187" width="8.68359375" style="157" customWidth="1"/>
    <col min="188" max="191" width="4.68359375" style="158" customWidth="1"/>
    <col min="192" max="192" width="4.68359375" style="157" customWidth="1"/>
    <col min="193" max="193" width="8.68359375" style="157" customWidth="1"/>
    <col min="194" max="198" width="4.68359375" style="158" customWidth="1"/>
    <col min="199" max="199" width="4.68359375" style="157" customWidth="1"/>
    <col min="200" max="200" width="8.68359375" style="157" customWidth="1"/>
    <col min="201" max="201" width="4.68359375" style="157" customWidth="1"/>
    <col min="202" max="202" width="8.68359375" style="157" customWidth="1"/>
    <col min="203" max="206" width="4.68359375" style="159" customWidth="1"/>
    <col min="207" max="207" width="8.68359375" style="157" customWidth="1"/>
    <col min="208" max="211" width="4.68359375" style="158" customWidth="1"/>
    <col min="212" max="212" width="4.68359375" style="157" customWidth="1"/>
    <col min="213" max="213" width="8.68359375" style="157" customWidth="1"/>
    <col min="214" max="218" width="4.68359375" style="158" customWidth="1"/>
    <col min="219" max="219" width="4.68359375" style="157" customWidth="1"/>
    <col min="220" max="220" width="8.68359375" style="157" customWidth="1"/>
    <col min="221" max="221" width="4.68359375" style="157" customWidth="1"/>
    <col min="222" max="222" width="8.68359375" style="157" customWidth="1"/>
    <col min="223" max="226" width="4.68359375" style="159" customWidth="1"/>
    <col min="227" max="227" width="8.68359375" style="157" customWidth="1"/>
    <col min="228" max="231" width="4.68359375" style="158" customWidth="1"/>
    <col min="232" max="232" width="4.68359375" style="157" customWidth="1"/>
    <col min="233" max="233" width="8.68359375" style="157" customWidth="1"/>
    <col min="234" max="238" width="4.68359375" style="158" customWidth="1"/>
    <col min="239" max="239" width="4.68359375" style="157" customWidth="1"/>
    <col min="240" max="240" width="8.68359375" style="157" customWidth="1"/>
    <col min="241" max="241" width="4.68359375" style="157" customWidth="1"/>
    <col min="242" max="242" width="8.68359375" style="157" customWidth="1"/>
    <col min="243" max="246" width="4.68359375" style="159" customWidth="1"/>
    <col min="247" max="247" width="8.68359375" style="157" customWidth="1"/>
    <col min="248" max="251" width="4.68359375" style="158" customWidth="1"/>
    <col min="252" max="252" width="4.68359375" style="157" customWidth="1"/>
    <col min="253" max="253" width="8.68359375" style="157" customWidth="1"/>
    <col min="254" max="258" width="4.68359375" style="158" customWidth="1"/>
    <col min="259" max="259" width="4.68359375" style="157" customWidth="1"/>
    <col min="260" max="260" width="8.68359375" style="157" customWidth="1"/>
    <col min="261" max="261" width="4.68359375" style="157" customWidth="1"/>
    <col min="262" max="262" width="8.68359375" style="157" customWidth="1"/>
    <col min="263" max="266" width="4.68359375" style="159" customWidth="1"/>
    <col min="267" max="267" width="8.68359375" style="157" customWidth="1"/>
    <col min="268" max="271" width="4.68359375" style="158" customWidth="1"/>
    <col min="272" max="272" width="4.68359375" style="157" customWidth="1"/>
    <col min="273" max="273" width="8.68359375" style="157" customWidth="1"/>
    <col min="274" max="278" width="4.68359375" style="158" customWidth="1"/>
    <col min="279" max="279" width="4.68359375" style="157" customWidth="1"/>
    <col min="280" max="280" width="8.68359375" style="157" customWidth="1"/>
    <col min="281" max="281" width="4.68359375" style="157" customWidth="1"/>
    <col min="282" max="282" width="8.68359375" style="157" customWidth="1"/>
    <col min="283" max="286" width="4.68359375" style="159" customWidth="1"/>
    <col min="287" max="287" width="8.68359375" style="157" customWidth="1"/>
    <col min="288" max="291" width="4.68359375" style="158" customWidth="1"/>
    <col min="292" max="292" width="4.68359375" style="157" customWidth="1"/>
    <col min="293" max="293" width="8.68359375" style="157" customWidth="1"/>
    <col min="294" max="298" width="4.68359375" style="158" customWidth="1"/>
    <col min="299" max="299" width="4.68359375" style="157" customWidth="1"/>
    <col min="300" max="300" width="8.68359375" style="157" customWidth="1"/>
    <col min="301" max="301" width="4.68359375" style="157" customWidth="1"/>
    <col min="302" max="302" width="8.68359375" style="157" customWidth="1"/>
    <col min="303" max="306" width="4.68359375" style="159" customWidth="1"/>
    <col min="307" max="307" width="8.68359375" style="157" customWidth="1"/>
    <col min="308" max="311" width="4.68359375" style="158" customWidth="1"/>
    <col min="312" max="312" width="4.68359375" style="157" customWidth="1"/>
    <col min="313" max="313" width="8.68359375" style="157" customWidth="1"/>
    <col min="314" max="318" width="4.68359375" style="158" customWidth="1"/>
    <col min="319" max="319" width="4.68359375" style="157" customWidth="1"/>
    <col min="320" max="320" width="8.68359375" style="157" customWidth="1"/>
    <col min="321" max="321" width="4.68359375" style="157" customWidth="1"/>
    <col min="322" max="322" width="8.68359375" style="157" customWidth="1"/>
    <col min="323" max="326" width="4.68359375" style="159" customWidth="1"/>
    <col min="327" max="327" width="8.68359375" style="157" customWidth="1"/>
    <col min="328" max="331" width="4.68359375" style="158" customWidth="1"/>
    <col min="332" max="332" width="4.68359375" style="157" customWidth="1"/>
    <col min="333" max="333" width="8.68359375" style="157" customWidth="1"/>
    <col min="334" max="338" width="4.68359375" style="158" customWidth="1"/>
    <col min="339" max="339" width="4.68359375" style="157" customWidth="1"/>
    <col min="340" max="340" width="8.68359375" style="157" customWidth="1"/>
    <col min="341" max="341" width="4.68359375" style="157" customWidth="1"/>
    <col min="342" max="342" width="8.68359375" style="157" customWidth="1"/>
    <col min="343" max="346" width="4.68359375" style="159" customWidth="1"/>
    <col min="347" max="347" width="8.68359375" style="157" customWidth="1"/>
    <col min="348" max="351" width="4.68359375" style="158" customWidth="1"/>
    <col min="352" max="352" width="4.68359375" style="157" customWidth="1"/>
    <col min="353" max="353" width="8.68359375" style="157" customWidth="1"/>
    <col min="354" max="358" width="4.68359375" style="158" customWidth="1"/>
    <col min="359" max="359" width="4.68359375" style="157" customWidth="1"/>
    <col min="360" max="360" width="8.68359375" style="157" customWidth="1"/>
    <col min="361" max="361" width="4.68359375" style="157" customWidth="1"/>
    <col min="362" max="362" width="8.68359375" style="157" customWidth="1"/>
    <col min="363" max="366" width="4.68359375" style="159" customWidth="1"/>
    <col min="367" max="367" width="8.68359375" style="157" customWidth="1"/>
    <col min="368" max="371" width="4.68359375" style="158" customWidth="1"/>
    <col min="372" max="372" width="4.68359375" style="157" customWidth="1"/>
    <col min="373" max="373" width="8.68359375" style="157" customWidth="1"/>
    <col min="374" max="378" width="4.68359375" style="158" customWidth="1"/>
    <col min="379" max="379" width="4.68359375" style="157" customWidth="1"/>
    <col min="380" max="380" width="8.68359375" style="157" customWidth="1"/>
    <col min="381" max="381" width="4.68359375" style="157" customWidth="1"/>
    <col min="382" max="382" width="8.68359375" style="157" customWidth="1"/>
    <col min="383" max="386" width="4.68359375" style="159" customWidth="1"/>
    <col min="387" max="387" width="8.68359375" style="157" customWidth="1"/>
    <col min="388" max="391" width="4.68359375" style="158" customWidth="1"/>
    <col min="392" max="392" width="4.68359375" style="157" customWidth="1"/>
    <col min="393" max="393" width="8.68359375" style="157" customWidth="1"/>
    <col min="394" max="398" width="4.68359375" style="158" customWidth="1"/>
    <col min="399" max="399" width="4.68359375" style="157" customWidth="1"/>
    <col min="400" max="400" width="8.68359375" style="157" customWidth="1"/>
    <col min="401" max="401" width="4.68359375" style="157" customWidth="1"/>
    <col min="402" max="402" width="8.68359375" style="157" customWidth="1"/>
    <col min="403" max="406" width="4.68359375" style="159" customWidth="1"/>
    <col min="407" max="407" width="8.68359375" style="157" customWidth="1"/>
    <col min="408" max="411" width="4.68359375" style="158" customWidth="1"/>
    <col min="412" max="412" width="4.68359375" style="157" customWidth="1"/>
    <col min="413" max="413" width="8.68359375" style="157" customWidth="1"/>
    <col min="414" max="418" width="4.68359375" style="158" customWidth="1"/>
    <col min="419" max="419" width="4.68359375" style="157" customWidth="1"/>
    <col min="420" max="420" width="8.68359375" style="157" customWidth="1"/>
    <col min="421" max="421" width="4.68359375" style="157" customWidth="1"/>
    <col min="422" max="422" width="8.68359375" style="157" customWidth="1"/>
    <col min="423" max="426" width="4.68359375" style="159" customWidth="1"/>
    <col min="427" max="427" width="8.68359375" style="157" customWidth="1"/>
    <col min="428" max="431" width="4.68359375" style="158" customWidth="1"/>
    <col min="432" max="432" width="4.68359375" style="157" customWidth="1"/>
    <col min="433" max="433" width="8.68359375" style="157" customWidth="1"/>
    <col min="434" max="438" width="4.68359375" style="158" customWidth="1"/>
    <col min="439" max="439" width="4.68359375" style="157" customWidth="1"/>
    <col min="440" max="440" width="8.68359375" style="157" customWidth="1"/>
    <col min="441" max="441" width="4.68359375" style="157" customWidth="1"/>
    <col min="442" max="442" width="8.68359375" style="157" customWidth="1"/>
    <col min="443" max="446" width="4.68359375" style="159" customWidth="1"/>
    <col min="447" max="447" width="8.68359375" style="157" customWidth="1"/>
    <col min="448" max="451" width="4.68359375" style="158" customWidth="1"/>
    <col min="452" max="452" width="4.68359375" style="157" customWidth="1"/>
    <col min="453" max="453" width="8.68359375" style="157" customWidth="1"/>
    <col min="454" max="458" width="4.68359375" style="158" customWidth="1"/>
    <col min="459" max="459" width="4.68359375" style="157" customWidth="1"/>
    <col min="460" max="460" width="8.68359375" style="157" customWidth="1"/>
    <col min="461" max="461" width="4.68359375" style="157" customWidth="1"/>
    <col min="462" max="462" width="8.68359375" style="157" customWidth="1"/>
    <col min="463" max="466" width="4.68359375" style="159" customWidth="1"/>
    <col min="467" max="467" width="8.68359375" style="157" customWidth="1"/>
    <col min="468" max="471" width="4.68359375" style="158" customWidth="1"/>
    <col min="472" max="472" width="4.68359375" style="157" customWidth="1"/>
    <col min="473" max="473" width="8.68359375" style="157" customWidth="1"/>
    <col min="474" max="478" width="4.68359375" style="158" customWidth="1"/>
    <col min="479" max="479" width="4.68359375" style="157" customWidth="1"/>
    <col min="480" max="480" width="8.68359375" style="157" customWidth="1"/>
    <col min="481" max="481" width="4.68359375" style="157" customWidth="1"/>
    <col min="482" max="482" width="8.68359375" style="157" customWidth="1"/>
    <col min="483" max="486" width="4.68359375" style="159" customWidth="1"/>
    <col min="487" max="487" width="8.68359375" style="157" customWidth="1"/>
    <col min="488" max="491" width="4.68359375" style="158" customWidth="1"/>
    <col min="492" max="492" width="4.68359375" style="157" customWidth="1"/>
    <col min="493" max="493" width="8.68359375" style="157" customWidth="1"/>
    <col min="494" max="498" width="4.68359375" style="158" customWidth="1"/>
    <col min="499" max="499" width="4.68359375" style="157" customWidth="1"/>
    <col min="500" max="500" width="8.68359375" style="157" customWidth="1"/>
    <col min="501" max="501" width="4.68359375" style="157" customWidth="1"/>
    <col min="502" max="502" width="8.68359375" style="157" customWidth="1"/>
    <col min="503" max="506" width="4.68359375" style="159" customWidth="1"/>
    <col min="507" max="507" width="8.68359375" style="157" customWidth="1"/>
    <col min="508" max="511" width="4.68359375" style="158" customWidth="1"/>
    <col min="512" max="512" width="4.68359375" style="157" customWidth="1"/>
    <col min="513" max="513" width="8.68359375" style="157" customWidth="1"/>
    <col min="514" max="518" width="4.68359375" style="158" customWidth="1"/>
    <col min="519" max="519" width="4.68359375" style="157" customWidth="1"/>
    <col min="520" max="520" width="8.68359375" style="157" customWidth="1"/>
    <col min="521" max="521" width="4.68359375" style="157" customWidth="1"/>
    <col min="522" max="522" width="8.68359375" style="157" customWidth="1"/>
    <col min="523" max="526" width="4.68359375" style="159" customWidth="1"/>
    <col min="527" max="527" width="8.68359375" style="157" customWidth="1"/>
    <col min="528" max="531" width="4.68359375" style="158" customWidth="1"/>
    <col min="532" max="532" width="4.68359375" style="157" customWidth="1"/>
    <col min="533" max="533" width="8.68359375" style="157" customWidth="1"/>
    <col min="534" max="538" width="4.68359375" style="158" customWidth="1"/>
    <col min="539" max="539" width="4.68359375" style="157" customWidth="1"/>
    <col min="540" max="540" width="8.68359375" style="157" customWidth="1"/>
    <col min="541" max="541" width="4.68359375" style="157" customWidth="1"/>
    <col min="542" max="542" width="8.68359375" style="157" customWidth="1"/>
    <col min="543" max="546" width="4.68359375" style="159" customWidth="1"/>
    <col min="547" max="547" width="8.68359375" style="157" customWidth="1"/>
    <col min="548" max="551" width="4.68359375" style="158" customWidth="1"/>
    <col min="552" max="552" width="4.68359375" style="157" customWidth="1"/>
    <col min="553" max="553" width="8.68359375" style="157" customWidth="1"/>
    <col min="554" max="558" width="4.68359375" style="158" customWidth="1"/>
    <col min="559" max="559" width="4.68359375" style="157" customWidth="1"/>
    <col min="560" max="560" width="8.68359375" style="157" customWidth="1"/>
    <col min="561" max="561" width="4.68359375" style="157" customWidth="1"/>
    <col min="562" max="562" width="8.68359375" style="157" customWidth="1"/>
    <col min="563" max="566" width="4.68359375" style="159" customWidth="1"/>
    <col min="567" max="567" width="8.68359375" style="157" customWidth="1"/>
    <col min="568" max="570" width="4.68359375" style="158" customWidth="1"/>
    <col min="571" max="571" width="4.68359375" style="157" customWidth="1"/>
    <col min="572" max="572" width="8.68359375" style="157" customWidth="1"/>
    <col min="573" max="575" width="4.68359375" style="158" customWidth="1"/>
    <col min="576" max="576" width="4.68359375" style="157" customWidth="1"/>
    <col min="577" max="577" width="8.68359375" style="157" customWidth="1"/>
    <col min="578" max="578" width="4.68359375" style="157" customWidth="1"/>
    <col min="579" max="579" width="8.68359375" style="157" customWidth="1"/>
    <col min="580" max="583" width="4.68359375" style="159" customWidth="1"/>
    <col min="584" max="584" width="8.68359375" style="157" customWidth="1"/>
    <col min="585" max="587" width="4.68359375" style="158" customWidth="1"/>
    <col min="588" max="588" width="4.68359375" style="157" customWidth="1"/>
    <col min="589" max="589" width="8.68359375" style="157" customWidth="1"/>
    <col min="590" max="592" width="4.68359375" style="158" customWidth="1"/>
    <col min="593" max="593" width="4.68359375" style="157" customWidth="1"/>
    <col min="594" max="594" width="8.68359375" style="157" customWidth="1"/>
    <col min="595" max="595" width="4.68359375" style="157" customWidth="1"/>
    <col min="596" max="596" width="8.68359375" style="157" customWidth="1"/>
    <col min="597" max="16384" width="5.68359375" style="84"/>
  </cols>
  <sheetData>
    <row r="1" spans="1:596" ht="18" customHeight="1" thickBot="1" x14ac:dyDescent="0.6">
      <c r="A1" s="244" t="s">
        <v>44</v>
      </c>
      <c r="B1" s="245"/>
      <c r="C1" s="170">
        <v>4</v>
      </c>
      <c r="D1" s="80"/>
      <c r="E1" s="80"/>
      <c r="F1" s="174"/>
      <c r="G1" s="175"/>
      <c r="H1" s="173"/>
      <c r="I1" s="82"/>
      <c r="J1" s="82"/>
      <c r="K1" s="82"/>
      <c r="L1" s="175"/>
      <c r="M1" s="175"/>
      <c r="N1" s="173"/>
      <c r="O1" s="82"/>
      <c r="P1" s="82"/>
      <c r="Q1" s="82"/>
      <c r="R1" s="82"/>
      <c r="S1" s="175"/>
      <c r="T1" s="175"/>
      <c r="U1" s="175"/>
      <c r="V1" s="196"/>
      <c r="W1" s="213">
        <f>C1+1</f>
        <v>5</v>
      </c>
      <c r="X1" s="80"/>
      <c r="Y1" s="80"/>
      <c r="Z1" s="174"/>
      <c r="AA1" s="175"/>
      <c r="AB1" s="173"/>
      <c r="AC1" s="82"/>
      <c r="AD1" s="82"/>
      <c r="AE1" s="82"/>
      <c r="AF1" s="175"/>
      <c r="AG1" s="175"/>
      <c r="AH1" s="173"/>
      <c r="AI1" s="82"/>
      <c r="AJ1" s="82"/>
      <c r="AK1" s="82"/>
      <c r="AL1" s="82"/>
      <c r="AM1" s="175"/>
      <c r="AN1" s="175"/>
      <c r="AO1" s="175"/>
      <c r="AP1" s="175"/>
      <c r="AQ1" s="213">
        <f>W1+1</f>
        <v>6</v>
      </c>
      <c r="AR1" s="80"/>
      <c r="AS1" s="80"/>
      <c r="AT1" s="174"/>
      <c r="AU1" s="175"/>
      <c r="AV1" s="173"/>
      <c r="AW1" s="82"/>
      <c r="AX1" s="82"/>
      <c r="AY1" s="82"/>
      <c r="AZ1" s="175"/>
      <c r="BA1" s="175"/>
      <c r="BB1" s="173"/>
      <c r="BC1" s="82"/>
      <c r="BD1" s="82"/>
      <c r="BE1" s="82"/>
      <c r="BF1" s="82"/>
      <c r="BG1" s="175"/>
      <c r="BH1" s="175"/>
      <c r="BI1" s="175"/>
      <c r="BJ1" s="175"/>
      <c r="BK1" s="213">
        <f>AQ1+1</f>
        <v>7</v>
      </c>
      <c r="BL1" s="80"/>
      <c r="BM1" s="80"/>
      <c r="BN1" s="174"/>
      <c r="BO1" s="175"/>
      <c r="BP1" s="173"/>
      <c r="BQ1" s="82"/>
      <c r="BR1" s="82"/>
      <c r="BS1" s="82"/>
      <c r="BT1" s="175"/>
      <c r="BU1" s="175"/>
      <c r="BV1" s="173"/>
      <c r="BW1" s="82"/>
      <c r="BX1" s="82"/>
      <c r="BY1" s="82"/>
      <c r="BZ1" s="82"/>
      <c r="CA1" s="175"/>
      <c r="CB1" s="175"/>
      <c r="CC1" s="175"/>
      <c r="CD1" s="175"/>
      <c r="CE1" s="213">
        <f>BK1+1</f>
        <v>8</v>
      </c>
      <c r="CF1" s="80"/>
      <c r="CG1" s="80"/>
      <c r="CH1" s="174"/>
      <c r="CI1" s="175"/>
      <c r="CJ1" s="173"/>
      <c r="CK1" s="82"/>
      <c r="CL1" s="82"/>
      <c r="CM1" s="82"/>
      <c r="CN1" s="175"/>
      <c r="CO1" s="175"/>
      <c r="CP1" s="173"/>
      <c r="CQ1" s="82"/>
      <c r="CR1" s="82"/>
      <c r="CS1" s="82"/>
      <c r="CT1" s="82"/>
      <c r="CU1" s="175"/>
      <c r="CV1" s="175"/>
      <c r="CW1" s="175"/>
      <c r="CX1" s="175"/>
      <c r="CY1" s="213">
        <f>CE1+1</f>
        <v>9</v>
      </c>
      <c r="CZ1" s="80"/>
      <c r="DA1" s="80"/>
      <c r="DB1" s="174"/>
      <c r="DC1" s="175"/>
      <c r="DD1" s="173"/>
      <c r="DE1" s="82"/>
      <c r="DF1" s="82"/>
      <c r="DG1" s="82"/>
      <c r="DH1" s="175"/>
      <c r="DI1" s="175"/>
      <c r="DJ1" s="173"/>
      <c r="DK1" s="82"/>
      <c r="DL1" s="82"/>
      <c r="DM1" s="82"/>
      <c r="DN1" s="82"/>
      <c r="DO1" s="175"/>
      <c r="DP1" s="175"/>
      <c r="DQ1" s="175"/>
      <c r="DR1" s="175"/>
      <c r="DS1" s="213">
        <f>CY1+1</f>
        <v>10</v>
      </c>
      <c r="DT1" s="80"/>
      <c r="DU1" s="80"/>
      <c r="DV1" s="174"/>
      <c r="DW1" s="175"/>
      <c r="DX1" s="173"/>
      <c r="DY1" s="82"/>
      <c r="DZ1" s="82"/>
      <c r="EA1" s="82"/>
      <c r="EB1" s="175"/>
      <c r="EC1" s="175"/>
      <c r="ED1" s="173"/>
      <c r="EE1" s="82"/>
      <c r="EF1" s="82"/>
      <c r="EG1" s="82"/>
      <c r="EH1" s="82"/>
      <c r="EI1" s="175"/>
      <c r="EJ1" s="175"/>
      <c r="EK1" s="175"/>
      <c r="EL1" s="175"/>
      <c r="EM1" s="213">
        <f>DS1+1</f>
        <v>11</v>
      </c>
      <c r="EN1" s="80"/>
      <c r="EO1" s="80"/>
      <c r="EP1" s="174"/>
      <c r="EQ1" s="175"/>
      <c r="ER1" s="173"/>
      <c r="ES1" s="82"/>
      <c r="ET1" s="82"/>
      <c r="EU1" s="82"/>
      <c r="EV1" s="175"/>
      <c r="EW1" s="175"/>
      <c r="EX1" s="173"/>
      <c r="EY1" s="82"/>
      <c r="EZ1" s="82"/>
      <c r="FA1" s="82"/>
      <c r="FB1" s="82"/>
      <c r="FC1" s="175"/>
      <c r="FD1" s="175"/>
      <c r="FE1" s="175"/>
      <c r="FF1" s="175"/>
      <c r="FG1" s="213">
        <f>EM1+1</f>
        <v>12</v>
      </c>
      <c r="FH1" s="80"/>
      <c r="FI1" s="80"/>
      <c r="FJ1" s="174"/>
      <c r="FK1" s="175"/>
      <c r="FL1" s="173"/>
      <c r="FM1" s="82"/>
      <c r="FN1" s="82"/>
      <c r="FO1" s="82"/>
      <c r="FP1" s="175"/>
      <c r="FQ1" s="175"/>
      <c r="FR1" s="173"/>
      <c r="FS1" s="82"/>
      <c r="FT1" s="82"/>
      <c r="FU1" s="82"/>
      <c r="FV1" s="82"/>
      <c r="FW1" s="175"/>
      <c r="FX1" s="175"/>
      <c r="FY1" s="175"/>
      <c r="FZ1" s="175"/>
      <c r="GA1" s="213">
        <f>FG1+1</f>
        <v>13</v>
      </c>
      <c r="GB1" s="80"/>
      <c r="GC1" s="80"/>
      <c r="GD1" s="174"/>
      <c r="GE1" s="175"/>
      <c r="GF1" s="173"/>
      <c r="GG1" s="82"/>
      <c r="GH1" s="82"/>
      <c r="GI1" s="82"/>
      <c r="GJ1" s="175"/>
      <c r="GK1" s="175"/>
      <c r="GL1" s="173"/>
      <c r="GM1" s="82"/>
      <c r="GN1" s="82"/>
      <c r="GO1" s="82"/>
      <c r="GP1" s="82"/>
      <c r="GQ1" s="175"/>
      <c r="GR1" s="175"/>
      <c r="GS1" s="175"/>
      <c r="GT1" s="175"/>
      <c r="GU1" s="213">
        <f>GA1+1</f>
        <v>14</v>
      </c>
      <c r="GV1" s="80"/>
      <c r="GW1" s="80"/>
      <c r="GX1" s="174"/>
      <c r="GY1" s="175"/>
      <c r="GZ1" s="173"/>
      <c r="HA1" s="82"/>
      <c r="HB1" s="82"/>
      <c r="HC1" s="82"/>
      <c r="HD1" s="175"/>
      <c r="HE1" s="175"/>
      <c r="HF1" s="173"/>
      <c r="HG1" s="82"/>
      <c r="HH1" s="82"/>
      <c r="HI1" s="82"/>
      <c r="HJ1" s="82"/>
      <c r="HK1" s="175"/>
      <c r="HL1" s="175"/>
      <c r="HM1" s="175"/>
      <c r="HN1" s="175"/>
      <c r="HO1" s="213">
        <f>GU1+1</f>
        <v>15</v>
      </c>
      <c r="HP1" s="80"/>
      <c r="HQ1" s="80"/>
      <c r="HR1" s="174"/>
      <c r="HS1" s="175"/>
      <c r="HT1" s="173"/>
      <c r="HU1" s="82"/>
      <c r="HV1" s="82"/>
      <c r="HW1" s="82"/>
      <c r="HX1" s="175"/>
      <c r="HY1" s="175"/>
      <c r="HZ1" s="173"/>
      <c r="IA1" s="82"/>
      <c r="IB1" s="82"/>
      <c r="IC1" s="82"/>
      <c r="ID1" s="82"/>
      <c r="IE1" s="175"/>
      <c r="IF1" s="175"/>
      <c r="IG1" s="175"/>
      <c r="IH1" s="175"/>
      <c r="II1" s="213">
        <f>HO1+1</f>
        <v>16</v>
      </c>
      <c r="IJ1" s="80"/>
      <c r="IK1" s="80"/>
      <c r="IL1" s="174"/>
      <c r="IM1" s="175"/>
      <c r="IN1" s="173"/>
      <c r="IO1" s="82"/>
      <c r="IP1" s="82"/>
      <c r="IQ1" s="82"/>
      <c r="IR1" s="175"/>
      <c r="IS1" s="175"/>
      <c r="IT1" s="173"/>
      <c r="IU1" s="82"/>
      <c r="IV1" s="82"/>
      <c r="IW1" s="82"/>
      <c r="IX1" s="82"/>
      <c r="IY1" s="175"/>
      <c r="IZ1" s="175"/>
      <c r="JA1" s="175"/>
      <c r="JB1" s="175"/>
      <c r="JC1" s="213">
        <f>II1+1</f>
        <v>17</v>
      </c>
      <c r="JD1" s="80"/>
      <c r="JE1" s="80"/>
      <c r="JF1" s="174"/>
      <c r="JG1" s="175"/>
      <c r="JH1" s="173"/>
      <c r="JI1" s="82"/>
      <c r="JJ1" s="82"/>
      <c r="JK1" s="82"/>
      <c r="JL1" s="175"/>
      <c r="JM1" s="175"/>
      <c r="JN1" s="173"/>
      <c r="JO1" s="82"/>
      <c r="JP1" s="82"/>
      <c r="JQ1" s="82"/>
      <c r="JR1" s="82"/>
      <c r="JS1" s="175"/>
      <c r="JT1" s="175"/>
      <c r="JU1" s="175"/>
      <c r="JV1" s="175"/>
      <c r="JW1" s="213">
        <f>JC1+1</f>
        <v>18</v>
      </c>
      <c r="JX1" s="80"/>
      <c r="JY1" s="80"/>
      <c r="JZ1" s="174"/>
      <c r="KA1" s="175"/>
      <c r="KB1" s="173"/>
      <c r="KC1" s="82"/>
      <c r="KD1" s="82"/>
      <c r="KE1" s="82"/>
      <c r="KF1" s="175"/>
      <c r="KG1" s="175"/>
      <c r="KH1" s="173"/>
      <c r="KI1" s="82"/>
      <c r="KJ1" s="82"/>
      <c r="KK1" s="82"/>
      <c r="KL1" s="82"/>
      <c r="KM1" s="175"/>
      <c r="KN1" s="175"/>
      <c r="KO1" s="175"/>
      <c r="KP1" s="175"/>
      <c r="KQ1" s="213">
        <f>JW1+1</f>
        <v>19</v>
      </c>
      <c r="KR1" s="80"/>
      <c r="KS1" s="80"/>
      <c r="KT1" s="174"/>
      <c r="KU1" s="175"/>
      <c r="KV1" s="173"/>
      <c r="KW1" s="82"/>
      <c r="KX1" s="82"/>
      <c r="KY1" s="82"/>
      <c r="KZ1" s="175"/>
      <c r="LA1" s="175"/>
      <c r="LB1" s="173"/>
      <c r="LC1" s="82"/>
      <c r="LD1" s="82"/>
      <c r="LE1" s="82"/>
      <c r="LF1" s="82"/>
      <c r="LG1" s="175"/>
      <c r="LH1" s="175"/>
      <c r="LI1" s="175"/>
      <c r="LJ1" s="175"/>
      <c r="LK1" s="213">
        <f>KQ1+1</f>
        <v>20</v>
      </c>
      <c r="LL1" s="80"/>
      <c r="LM1" s="80"/>
      <c r="LN1" s="174"/>
      <c r="LO1" s="175"/>
      <c r="LP1" s="173"/>
      <c r="LQ1" s="82"/>
      <c r="LR1" s="82"/>
      <c r="LS1" s="82"/>
      <c r="LT1" s="175"/>
      <c r="LU1" s="175"/>
      <c r="LV1" s="173"/>
      <c r="LW1" s="82"/>
      <c r="LX1" s="82"/>
      <c r="LY1" s="82"/>
      <c r="LZ1" s="82"/>
      <c r="MA1" s="175"/>
      <c r="MB1" s="175"/>
      <c r="MC1" s="175"/>
      <c r="MD1" s="175"/>
      <c r="ME1" s="213">
        <f>LK1+1</f>
        <v>21</v>
      </c>
      <c r="MF1" s="80"/>
      <c r="MG1" s="80"/>
      <c r="MH1" s="174"/>
      <c r="MI1" s="175"/>
      <c r="MJ1" s="173"/>
      <c r="MK1" s="82"/>
      <c r="ML1" s="82"/>
      <c r="MM1" s="82"/>
      <c r="MN1" s="175"/>
      <c r="MO1" s="175"/>
      <c r="MP1" s="173"/>
      <c r="MQ1" s="82"/>
      <c r="MR1" s="82"/>
      <c r="MS1" s="82"/>
      <c r="MT1" s="82"/>
      <c r="MU1" s="175"/>
      <c r="MV1" s="175"/>
      <c r="MW1" s="175"/>
      <c r="MX1" s="175"/>
      <c r="MY1" s="213">
        <f>ME1+1</f>
        <v>22</v>
      </c>
      <c r="MZ1" s="80"/>
      <c r="NA1" s="80"/>
      <c r="NB1" s="174"/>
      <c r="NC1" s="175"/>
      <c r="ND1" s="173"/>
      <c r="NE1" s="82"/>
      <c r="NF1" s="82"/>
      <c r="NG1" s="82"/>
      <c r="NH1" s="175"/>
      <c r="NI1" s="175"/>
      <c r="NJ1" s="173"/>
      <c r="NK1" s="82"/>
      <c r="NL1" s="82"/>
      <c r="NM1" s="82"/>
      <c r="NN1" s="82"/>
      <c r="NO1" s="175"/>
      <c r="NP1" s="175"/>
      <c r="NQ1" s="175"/>
      <c r="NR1" s="175"/>
      <c r="NS1" s="213">
        <f>MY1+1</f>
        <v>23</v>
      </c>
      <c r="NT1" s="80"/>
      <c r="NU1" s="80"/>
      <c r="NV1" s="174"/>
      <c r="NW1" s="175"/>
      <c r="NX1" s="173"/>
      <c r="NY1" s="82"/>
      <c r="NZ1" s="82"/>
      <c r="OA1" s="82"/>
      <c r="OB1" s="175"/>
      <c r="OC1" s="175"/>
      <c r="OD1" s="173"/>
      <c r="OE1" s="82"/>
      <c r="OF1" s="82"/>
      <c r="OG1" s="82"/>
      <c r="OH1" s="82"/>
      <c r="OI1" s="175"/>
      <c r="OJ1" s="175"/>
      <c r="OK1" s="175"/>
      <c r="OL1" s="175"/>
      <c r="OM1" s="213">
        <f>NS1+1</f>
        <v>24</v>
      </c>
      <c r="ON1" s="80"/>
      <c r="OO1" s="80"/>
      <c r="OP1" s="174"/>
      <c r="OQ1" s="175"/>
      <c r="OR1" s="173"/>
      <c r="OS1" s="82"/>
      <c r="OT1" s="82"/>
      <c r="OU1" s="82"/>
      <c r="OV1" s="175"/>
      <c r="OW1" s="175"/>
      <c r="OX1" s="173"/>
      <c r="OY1" s="82"/>
      <c r="OZ1" s="82"/>
      <c r="PA1" s="82"/>
      <c r="PB1" s="82"/>
      <c r="PC1" s="175"/>
      <c r="PD1" s="175"/>
      <c r="PE1" s="175"/>
      <c r="PF1" s="175"/>
      <c r="PG1" s="213">
        <f>OM1+1</f>
        <v>25</v>
      </c>
      <c r="PH1" s="80"/>
      <c r="PI1" s="80"/>
      <c r="PJ1" s="174"/>
      <c r="PK1" s="175"/>
      <c r="PL1" s="173"/>
      <c r="PM1" s="82"/>
      <c r="PN1" s="82"/>
      <c r="PO1" s="82"/>
      <c r="PP1" s="175"/>
      <c r="PQ1" s="175"/>
      <c r="PR1" s="173"/>
      <c r="PS1" s="82"/>
      <c r="PT1" s="82"/>
      <c r="PU1" s="82"/>
      <c r="PV1" s="82"/>
      <c r="PW1" s="175"/>
      <c r="PX1" s="175"/>
      <c r="PY1" s="175"/>
      <c r="PZ1" s="175"/>
      <c r="QA1" s="213">
        <f>PG1+1</f>
        <v>26</v>
      </c>
      <c r="QB1" s="80"/>
      <c r="QC1" s="80"/>
      <c r="QD1" s="174"/>
      <c r="QE1" s="175"/>
      <c r="QF1" s="173"/>
      <c r="QG1" s="82"/>
      <c r="QH1" s="82"/>
      <c r="QI1" s="82"/>
      <c r="QJ1" s="175"/>
      <c r="QK1" s="175"/>
      <c r="QL1" s="173"/>
      <c r="QM1" s="82"/>
      <c r="QN1" s="82"/>
      <c r="QO1" s="82"/>
      <c r="QP1" s="82"/>
      <c r="QQ1" s="175"/>
      <c r="QR1" s="175"/>
      <c r="QS1" s="175"/>
      <c r="QT1" s="175"/>
      <c r="QU1" s="213">
        <f>QA1+1</f>
        <v>27</v>
      </c>
      <c r="QV1" s="80"/>
      <c r="QW1" s="80"/>
      <c r="QX1" s="174"/>
      <c r="QY1" s="175"/>
      <c r="QZ1" s="173"/>
      <c r="RA1" s="82"/>
      <c r="RB1" s="82"/>
      <c r="RC1" s="82"/>
      <c r="RD1" s="175"/>
      <c r="RE1" s="175"/>
      <c r="RF1" s="173"/>
      <c r="RG1" s="82"/>
      <c r="RH1" s="82"/>
      <c r="RI1" s="82"/>
      <c r="RJ1" s="82"/>
      <c r="RK1" s="175"/>
      <c r="RL1" s="175"/>
      <c r="RM1" s="175"/>
      <c r="RN1" s="175"/>
      <c r="RO1" s="213">
        <f>QU1+1</f>
        <v>28</v>
      </c>
      <c r="RP1" s="80"/>
      <c r="RQ1" s="80"/>
      <c r="RR1" s="174"/>
      <c r="RS1" s="175"/>
      <c r="RT1" s="173"/>
      <c r="RU1" s="82"/>
      <c r="RV1" s="82"/>
      <c r="RW1" s="82"/>
      <c r="RX1" s="175"/>
      <c r="RY1" s="175"/>
      <c r="RZ1" s="173"/>
      <c r="SA1" s="82"/>
      <c r="SB1" s="82"/>
      <c r="SC1" s="82"/>
      <c r="SD1" s="82"/>
      <c r="SE1" s="175"/>
      <c r="SF1" s="175"/>
      <c r="SG1" s="175"/>
      <c r="SH1" s="175"/>
      <c r="SI1" s="213">
        <f>RO1+1</f>
        <v>29</v>
      </c>
      <c r="SJ1" s="80"/>
      <c r="SK1" s="80"/>
      <c r="SL1" s="174"/>
      <c r="SM1" s="175"/>
      <c r="SN1" s="173"/>
      <c r="SO1" s="82"/>
      <c r="SP1" s="82"/>
      <c r="SQ1" s="82"/>
      <c r="SR1" s="175"/>
      <c r="SS1" s="175"/>
      <c r="ST1" s="173"/>
      <c r="SU1" s="82"/>
      <c r="SV1" s="82"/>
      <c r="SW1" s="82"/>
      <c r="SX1" s="82"/>
      <c r="SY1" s="175"/>
      <c r="SZ1" s="175"/>
      <c r="TA1" s="175"/>
      <c r="TB1" s="175"/>
      <c r="TC1" s="213">
        <f>SI1+1</f>
        <v>30</v>
      </c>
      <c r="TD1" s="80"/>
      <c r="TE1" s="80"/>
      <c r="TF1" s="174"/>
      <c r="TG1" s="175"/>
      <c r="TH1" s="173"/>
      <c r="TI1" s="82"/>
      <c r="TJ1" s="82"/>
      <c r="TK1" s="82"/>
      <c r="TL1" s="175"/>
      <c r="TM1" s="175"/>
      <c r="TN1" s="173"/>
      <c r="TO1" s="82"/>
      <c r="TP1" s="82"/>
      <c r="TQ1" s="82"/>
      <c r="TR1" s="82"/>
      <c r="TS1" s="175"/>
      <c r="TT1" s="175"/>
      <c r="TU1" s="175"/>
      <c r="TV1" s="175"/>
      <c r="TW1" s="213">
        <f>TC1+1</f>
        <v>31</v>
      </c>
      <c r="TX1" s="80"/>
      <c r="TY1" s="80"/>
      <c r="TZ1" s="174"/>
      <c r="UA1" s="175"/>
      <c r="UB1" s="173"/>
      <c r="UC1" s="82"/>
      <c r="UD1" s="82"/>
      <c r="UE1" s="82"/>
      <c r="UF1" s="175"/>
      <c r="UG1" s="175"/>
      <c r="UH1" s="173"/>
      <c r="UI1" s="82"/>
      <c r="UJ1" s="82"/>
      <c r="UK1" s="82"/>
      <c r="UL1" s="82"/>
      <c r="UM1" s="175"/>
      <c r="UN1" s="175"/>
      <c r="UO1" s="175"/>
      <c r="UP1" s="175"/>
      <c r="UQ1" s="83">
        <f>TW1+1</f>
        <v>32</v>
      </c>
      <c r="UR1" s="80"/>
      <c r="US1" s="80"/>
      <c r="UT1" s="80"/>
      <c r="UU1" s="81"/>
      <c r="UV1" s="82"/>
      <c r="UW1" s="82"/>
      <c r="UX1" s="82"/>
      <c r="UY1" s="81"/>
      <c r="UZ1" s="81"/>
      <c r="VA1" s="82"/>
      <c r="VB1" s="82"/>
      <c r="VC1" s="82"/>
      <c r="VD1" s="81"/>
      <c r="VE1" s="81"/>
      <c r="VF1" s="81"/>
      <c r="VG1" s="81"/>
      <c r="VH1" s="83">
        <f>UQ1+1</f>
        <v>33</v>
      </c>
      <c r="VI1" s="80"/>
      <c r="VJ1" s="80"/>
      <c r="VK1" s="80"/>
      <c r="VL1" s="81"/>
      <c r="VM1" s="82"/>
      <c r="VN1" s="82"/>
      <c r="VO1" s="82"/>
      <c r="VP1" s="81"/>
      <c r="VQ1" s="81"/>
      <c r="VR1" s="82"/>
      <c r="VS1" s="82"/>
      <c r="VT1" s="82"/>
      <c r="VU1" s="81"/>
      <c r="VV1" s="81"/>
      <c r="VW1" s="81"/>
      <c r="VX1" s="81"/>
    </row>
    <row r="2" spans="1:596" ht="60" customHeight="1" thickBot="1" x14ac:dyDescent="0.6">
      <c r="A2" s="160" t="s">
        <v>43</v>
      </c>
      <c r="B2" s="161" t="s">
        <v>196</v>
      </c>
      <c r="C2" s="171" t="str">
        <f ca="1">IF(CELL("contenu",INDIRECT(ADDRESS(C1,1,1,1,CELL("contenu",$B$2))))="","----",CELL("contenu",INDIRECT(ADDRESS(C1,1,1,1,CELL("contenu",$B$2)))))</f>
        <v>BOHBOT Juliette</v>
      </c>
      <c r="D2" s="169"/>
      <c r="E2" s="169"/>
      <c r="F2" s="171"/>
      <c r="G2" s="171"/>
      <c r="H2" s="171"/>
      <c r="I2" s="169"/>
      <c r="J2" s="169"/>
      <c r="K2" s="169"/>
      <c r="L2" s="171"/>
      <c r="M2" s="171"/>
      <c r="N2" s="171"/>
      <c r="O2" s="169"/>
      <c r="P2" s="169"/>
      <c r="Q2" s="169"/>
      <c r="R2" s="169"/>
      <c r="S2" s="171"/>
      <c r="T2" s="171"/>
      <c r="U2" s="171"/>
      <c r="V2" s="197"/>
      <c r="W2" s="171" t="str">
        <f ca="1">IF(CELL("contenu",INDIRECT(ADDRESS(W1,1,1,1,CELL("contenu",$B$2))))="","----",CELL("contenu",INDIRECT(ADDRESS(W1,1,1,1,CELL("contenu",$B$2)))))</f>
        <v>COLINOT Anaelle</v>
      </c>
      <c r="X2" s="169"/>
      <c r="Y2" s="169"/>
      <c r="Z2" s="171"/>
      <c r="AA2" s="171"/>
      <c r="AB2" s="171"/>
      <c r="AC2" s="169"/>
      <c r="AD2" s="169"/>
      <c r="AE2" s="169"/>
      <c r="AF2" s="171"/>
      <c r="AG2" s="171"/>
      <c r="AH2" s="171"/>
      <c r="AI2" s="169"/>
      <c r="AJ2" s="169"/>
      <c r="AK2" s="169"/>
      <c r="AL2" s="169"/>
      <c r="AM2" s="171"/>
      <c r="AN2" s="171"/>
      <c r="AO2" s="171"/>
      <c r="AP2" s="197"/>
      <c r="AQ2" s="171" t="str">
        <f ca="1">IF(CELL("contenu",INDIRECT(ADDRESS(AQ1,1,1,1,CELL("contenu",$B$2))))="","----",CELL("contenu",INDIRECT(ADDRESS(AQ1,1,1,1,CELL("contenu",$B$2)))))</f>
        <v>DE BENGY Jean-Baptiste</v>
      </c>
      <c r="AR2" s="169"/>
      <c r="AS2" s="169"/>
      <c r="AT2" s="171"/>
      <c r="AU2" s="171"/>
      <c r="AV2" s="171"/>
      <c r="AW2" s="169"/>
      <c r="AX2" s="169"/>
      <c r="AY2" s="169"/>
      <c r="AZ2" s="171"/>
      <c r="BA2" s="171"/>
      <c r="BB2" s="171"/>
      <c r="BC2" s="169"/>
      <c r="BD2" s="169"/>
      <c r="BE2" s="169"/>
      <c r="BF2" s="169"/>
      <c r="BG2" s="171"/>
      <c r="BH2" s="171"/>
      <c r="BI2" s="171"/>
      <c r="BJ2" s="197"/>
      <c r="BK2" s="171" t="str">
        <f ca="1">IF(CELL("contenu",INDIRECT(ADDRESS(BK1,1,1,1,CELL("contenu",$B$2))))="","----",CELL("contenu",INDIRECT(ADDRESS(BK1,1,1,1,CELL("contenu",$B$2)))))</f>
        <v>DESEILLE Rose</v>
      </c>
      <c r="BL2" s="169"/>
      <c r="BM2" s="169"/>
      <c r="BN2" s="171"/>
      <c r="BO2" s="171"/>
      <c r="BP2" s="171"/>
      <c r="BQ2" s="169"/>
      <c r="BR2" s="169"/>
      <c r="BS2" s="169"/>
      <c r="BT2" s="171"/>
      <c r="BU2" s="171"/>
      <c r="BV2" s="171"/>
      <c r="BW2" s="169"/>
      <c r="BX2" s="169"/>
      <c r="BY2" s="169"/>
      <c r="BZ2" s="169"/>
      <c r="CA2" s="171"/>
      <c r="CB2" s="171"/>
      <c r="CC2" s="171"/>
      <c r="CD2" s="197"/>
      <c r="CE2" s="171" t="str">
        <f ca="1">IF(CELL("contenu",INDIRECT(ADDRESS(CE1,1,1,1,CELL("contenu",$B$2))))="","----",CELL("contenu",INDIRECT(ADDRESS(CE1,1,1,1,CELL("contenu",$B$2)))))</f>
        <v>DURVAUX Alexandre</v>
      </c>
      <c r="CF2" s="169"/>
      <c r="CG2" s="169"/>
      <c r="CH2" s="171"/>
      <c r="CI2" s="171"/>
      <c r="CJ2" s="171"/>
      <c r="CK2" s="169"/>
      <c r="CL2" s="169"/>
      <c r="CM2" s="169"/>
      <c r="CN2" s="171"/>
      <c r="CO2" s="171"/>
      <c r="CP2" s="171"/>
      <c r="CQ2" s="169"/>
      <c r="CR2" s="169"/>
      <c r="CS2" s="169"/>
      <c r="CT2" s="169"/>
      <c r="CU2" s="171"/>
      <c r="CV2" s="171"/>
      <c r="CW2" s="171"/>
      <c r="CX2" s="197"/>
      <c r="CY2" s="171" t="str">
        <f ca="1">IF(CELL("contenu",INDIRECT(ADDRESS(CY1,1,1,1,CELL("contenu",$B$2))))="","----",CELL("contenu",INDIRECT(ADDRESS(CY1,1,1,1,CELL("contenu",$B$2)))))</f>
        <v>ELEAUME Diane</v>
      </c>
      <c r="CZ2" s="169"/>
      <c r="DA2" s="169"/>
      <c r="DB2" s="171"/>
      <c r="DC2" s="171"/>
      <c r="DD2" s="171"/>
      <c r="DE2" s="169"/>
      <c r="DF2" s="169"/>
      <c r="DG2" s="169"/>
      <c r="DH2" s="171"/>
      <c r="DI2" s="171"/>
      <c r="DJ2" s="171"/>
      <c r="DK2" s="169"/>
      <c r="DL2" s="169"/>
      <c r="DM2" s="169"/>
      <c r="DN2" s="169"/>
      <c r="DO2" s="171"/>
      <c r="DP2" s="171"/>
      <c r="DQ2" s="171"/>
      <c r="DR2" s="197"/>
      <c r="DS2" s="171" t="str">
        <f ca="1">IF(CELL("contenu",INDIRECT(ADDRESS(DS1,1,1,1,CELL("contenu",$B$2))))="","----",CELL("contenu",INDIRECT(ADDRESS(DS1,1,1,1,CELL("contenu",$B$2)))))</f>
        <v>GIRAULT Jean-Baptiste</v>
      </c>
      <c r="DT2" s="169"/>
      <c r="DU2" s="169"/>
      <c r="DV2" s="171"/>
      <c r="DW2" s="171"/>
      <c r="DX2" s="171"/>
      <c r="DY2" s="169"/>
      <c r="DZ2" s="169"/>
      <c r="EA2" s="169"/>
      <c r="EB2" s="171"/>
      <c r="EC2" s="171"/>
      <c r="ED2" s="171"/>
      <c r="EE2" s="169"/>
      <c r="EF2" s="169"/>
      <c r="EG2" s="169"/>
      <c r="EH2" s="169"/>
      <c r="EI2" s="171"/>
      <c r="EJ2" s="171"/>
      <c r="EK2" s="171"/>
      <c r="EL2" s="197"/>
      <c r="EM2" s="171" t="str">
        <f ca="1">IF(CELL("contenu",INDIRECT(ADDRESS(EM1,1,1,1,CELL("contenu",$B$2))))="","----",CELL("contenu",INDIRECT(ADDRESS(EM1,1,1,1,CELL("contenu",$B$2)))))</f>
        <v>GOUVAZE Eglantine</v>
      </c>
      <c r="EN2" s="169"/>
      <c r="EO2" s="169"/>
      <c r="EP2" s="171"/>
      <c r="EQ2" s="171"/>
      <c r="ER2" s="171"/>
      <c r="ES2" s="169"/>
      <c r="ET2" s="169"/>
      <c r="EU2" s="169"/>
      <c r="EV2" s="171"/>
      <c r="EW2" s="171"/>
      <c r="EX2" s="171"/>
      <c r="EY2" s="169"/>
      <c r="EZ2" s="169"/>
      <c r="FA2" s="169"/>
      <c r="FB2" s="169"/>
      <c r="FC2" s="171"/>
      <c r="FD2" s="171"/>
      <c r="FE2" s="171"/>
      <c r="FF2" s="197"/>
      <c r="FG2" s="171" t="str">
        <f ca="1">IF(CELL("contenu",INDIRECT(ADDRESS(FG1,1,1,1,CELL("contenu",$B$2))))="","----",CELL("contenu",INDIRECT(ADDRESS(FG1,1,1,1,CELL("contenu",$B$2)))))</f>
        <v>JAUZENQUE Charlotte</v>
      </c>
      <c r="FH2" s="169"/>
      <c r="FI2" s="169"/>
      <c r="FJ2" s="171"/>
      <c r="FK2" s="171"/>
      <c r="FL2" s="171"/>
      <c r="FM2" s="169"/>
      <c r="FN2" s="169"/>
      <c r="FO2" s="169"/>
      <c r="FP2" s="171"/>
      <c r="FQ2" s="171"/>
      <c r="FR2" s="171"/>
      <c r="FS2" s="169"/>
      <c r="FT2" s="169"/>
      <c r="FU2" s="169"/>
      <c r="FV2" s="169"/>
      <c r="FW2" s="171"/>
      <c r="FX2" s="171"/>
      <c r="FY2" s="171"/>
      <c r="FZ2" s="197"/>
      <c r="GA2" s="171" t="str">
        <f ca="1">IF(CELL("contenu",INDIRECT(ADDRESS(GA1,1,1,1,CELL("contenu",$B$2))))="","----",CELL("contenu",INDIRECT(ADDRESS(GA1,1,1,1,CELL("contenu",$B$2)))))</f>
        <v>MALLEJAC Antoine</v>
      </c>
      <c r="GB2" s="169"/>
      <c r="GC2" s="169"/>
      <c r="GD2" s="171"/>
      <c r="GE2" s="171"/>
      <c r="GF2" s="171"/>
      <c r="GG2" s="169"/>
      <c r="GH2" s="169"/>
      <c r="GI2" s="169"/>
      <c r="GJ2" s="171"/>
      <c r="GK2" s="171"/>
      <c r="GL2" s="171"/>
      <c r="GM2" s="169"/>
      <c r="GN2" s="169"/>
      <c r="GO2" s="169"/>
      <c r="GP2" s="169"/>
      <c r="GQ2" s="171"/>
      <c r="GR2" s="171"/>
      <c r="GS2" s="171"/>
      <c r="GT2" s="197"/>
      <c r="GU2" s="171" t="str">
        <f ca="1">IF(CELL("contenu",INDIRECT(ADDRESS(GU1,1,1,1,CELL("contenu",$B$2))))="","----",CELL("contenu",INDIRECT(ADDRESS(GU1,1,1,1,CELL("contenu",$B$2)))))</f>
        <v>MARTINAT Romain</v>
      </c>
      <c r="GV2" s="169"/>
      <c r="GW2" s="169"/>
      <c r="GX2" s="171"/>
      <c r="GY2" s="171"/>
      <c r="GZ2" s="171"/>
      <c r="HA2" s="169"/>
      <c r="HB2" s="169"/>
      <c r="HC2" s="169"/>
      <c r="HD2" s="171"/>
      <c r="HE2" s="171"/>
      <c r="HF2" s="171"/>
      <c r="HG2" s="169"/>
      <c r="HH2" s="169"/>
      <c r="HI2" s="169"/>
      <c r="HJ2" s="169"/>
      <c r="HK2" s="171"/>
      <c r="HL2" s="171"/>
      <c r="HM2" s="171"/>
      <c r="HN2" s="197"/>
      <c r="HO2" s="171" t="str">
        <f ca="1">IF(CELL("contenu",INDIRECT(ADDRESS(HO1,1,1,1,CELL("contenu",$B$2))))="","----",CELL("contenu",INDIRECT(ADDRESS(HO1,1,1,1,CELL("contenu",$B$2)))))</f>
        <v>MONTEMBAULT Gabrielle</v>
      </c>
      <c r="HP2" s="169"/>
      <c r="HQ2" s="169"/>
      <c r="HR2" s="171"/>
      <c r="HS2" s="171"/>
      <c r="HT2" s="171"/>
      <c r="HU2" s="169"/>
      <c r="HV2" s="169"/>
      <c r="HW2" s="169"/>
      <c r="HX2" s="171"/>
      <c r="HY2" s="171"/>
      <c r="HZ2" s="171"/>
      <c r="IA2" s="169"/>
      <c r="IB2" s="169"/>
      <c r="IC2" s="169"/>
      <c r="ID2" s="169"/>
      <c r="IE2" s="171"/>
      <c r="IF2" s="171"/>
      <c r="IG2" s="171"/>
      <c r="IH2" s="197"/>
      <c r="II2" s="171" t="str">
        <f ca="1">IF(CELL("contenu",INDIRECT(ADDRESS(II1,1,1,1,CELL("contenu",$B$2))))="","----",CELL("contenu",INDIRECT(ADDRESS(II1,1,1,1,CELL("contenu",$B$2)))))</f>
        <v>MORAINE Quentin</v>
      </c>
      <c r="IJ2" s="169"/>
      <c r="IK2" s="169"/>
      <c r="IL2" s="171"/>
      <c r="IM2" s="171"/>
      <c r="IN2" s="171"/>
      <c r="IO2" s="169"/>
      <c r="IP2" s="169"/>
      <c r="IQ2" s="169"/>
      <c r="IR2" s="171"/>
      <c r="IS2" s="171"/>
      <c r="IT2" s="171"/>
      <c r="IU2" s="169"/>
      <c r="IV2" s="169"/>
      <c r="IW2" s="169"/>
      <c r="IX2" s="169"/>
      <c r="IY2" s="171"/>
      <c r="IZ2" s="171"/>
      <c r="JA2" s="171"/>
      <c r="JB2" s="197"/>
      <c r="JC2" s="171" t="str">
        <f ca="1">IF(CELL("contenu",INDIRECT(ADDRESS(JC1,1,1,1,CELL("contenu",$B$2))))="","----",CELL("contenu",INDIRECT(ADDRESS(JC1,1,1,1,CELL("contenu",$B$2)))))</f>
        <v>MOUNIROU DEEN Adeola</v>
      </c>
      <c r="JD2" s="169"/>
      <c r="JE2" s="169"/>
      <c r="JF2" s="171"/>
      <c r="JG2" s="171"/>
      <c r="JH2" s="171"/>
      <c r="JI2" s="169"/>
      <c r="JJ2" s="169"/>
      <c r="JK2" s="169"/>
      <c r="JL2" s="171"/>
      <c r="JM2" s="171"/>
      <c r="JN2" s="171"/>
      <c r="JO2" s="169"/>
      <c r="JP2" s="169"/>
      <c r="JQ2" s="169"/>
      <c r="JR2" s="169"/>
      <c r="JS2" s="171"/>
      <c r="JT2" s="171"/>
      <c r="JU2" s="171"/>
      <c r="JV2" s="197"/>
      <c r="JW2" s="171" t="str">
        <f ca="1">IF(CELL("contenu",INDIRECT(ADDRESS(JW1,1,1,1,CELL("contenu",$B$2))))="","----",CELL("contenu",INDIRECT(ADDRESS(JW1,1,1,1,CELL("contenu",$B$2)))))</f>
        <v>PERRIN Anatole</v>
      </c>
      <c r="JX2" s="169"/>
      <c r="JY2" s="169"/>
      <c r="JZ2" s="171"/>
      <c r="KA2" s="171"/>
      <c r="KB2" s="171"/>
      <c r="KC2" s="169"/>
      <c r="KD2" s="169"/>
      <c r="KE2" s="169"/>
      <c r="KF2" s="171"/>
      <c r="KG2" s="171"/>
      <c r="KH2" s="171"/>
      <c r="KI2" s="169"/>
      <c r="KJ2" s="169"/>
      <c r="KK2" s="169"/>
      <c r="KL2" s="169"/>
      <c r="KM2" s="171"/>
      <c r="KN2" s="171"/>
      <c r="KO2" s="171"/>
      <c r="KP2" s="197"/>
      <c r="KQ2" s="171" t="str">
        <f ca="1">IF(CELL("contenu",INDIRECT(ADDRESS(KQ1,1,1,1,CELL("contenu",$B$2))))="","----",CELL("contenu",INDIRECT(ADDRESS(KQ1,1,1,1,CELL("contenu",$B$2)))))</f>
        <v>PERROTIN Eliott</v>
      </c>
      <c r="KR2" s="169"/>
      <c r="KS2" s="169"/>
      <c r="KT2" s="171"/>
      <c r="KU2" s="171"/>
      <c r="KV2" s="171"/>
      <c r="KW2" s="169"/>
      <c r="KX2" s="169"/>
      <c r="KY2" s="169"/>
      <c r="KZ2" s="171"/>
      <c r="LA2" s="171"/>
      <c r="LB2" s="171"/>
      <c r="LC2" s="169"/>
      <c r="LD2" s="169"/>
      <c r="LE2" s="169"/>
      <c r="LF2" s="169"/>
      <c r="LG2" s="171"/>
      <c r="LH2" s="171"/>
      <c r="LI2" s="171"/>
      <c r="LJ2" s="197"/>
      <c r="LK2" s="171" t="str">
        <f ca="1">IF(CELL("contenu",INDIRECT(ADDRESS(LK1,1,1,1,CELL("contenu",$B$2))))="","----",CELL("contenu",INDIRECT(ADDRESS(LK1,1,1,1,CELL("contenu",$B$2)))))</f>
        <v>PICHOT Anthony</v>
      </c>
      <c r="LL2" s="169"/>
      <c r="LM2" s="169"/>
      <c r="LN2" s="171"/>
      <c r="LO2" s="171"/>
      <c r="LP2" s="171"/>
      <c r="LQ2" s="169"/>
      <c r="LR2" s="169"/>
      <c r="LS2" s="169"/>
      <c r="LT2" s="171"/>
      <c r="LU2" s="171"/>
      <c r="LV2" s="171"/>
      <c r="LW2" s="169"/>
      <c r="LX2" s="169"/>
      <c r="LY2" s="169"/>
      <c r="LZ2" s="169"/>
      <c r="MA2" s="171"/>
      <c r="MB2" s="171"/>
      <c r="MC2" s="171"/>
      <c r="MD2" s="197"/>
      <c r="ME2" s="171" t="str">
        <f ca="1">IF(CELL("contenu",INDIRECT(ADDRESS(ME1,1,1,1,CELL("contenu",$B$2))))="","----",CELL("contenu",INDIRECT(ADDRESS(ME1,1,1,1,CELL("contenu",$B$2)))))</f>
        <v>PROFFIT Xavier</v>
      </c>
      <c r="MF2" s="169"/>
      <c r="MG2" s="169"/>
      <c r="MH2" s="171"/>
      <c r="MI2" s="171"/>
      <c r="MJ2" s="171"/>
      <c r="MK2" s="169"/>
      <c r="ML2" s="169"/>
      <c r="MM2" s="169"/>
      <c r="MN2" s="171"/>
      <c r="MO2" s="171"/>
      <c r="MP2" s="171"/>
      <c r="MQ2" s="169"/>
      <c r="MR2" s="169"/>
      <c r="MS2" s="169"/>
      <c r="MT2" s="169"/>
      <c r="MU2" s="171"/>
      <c r="MV2" s="171"/>
      <c r="MW2" s="171"/>
      <c r="MX2" s="197"/>
      <c r="MY2" s="171" t="str">
        <f ca="1">IF(CELL("contenu",INDIRECT(ADDRESS(MY1,1,1,1,CELL("contenu",$B$2))))="","----",CELL("contenu",INDIRECT(ADDRESS(MY1,1,1,1,CELL("contenu",$B$2)))))</f>
        <v>PROUVOST Marie-Munezero</v>
      </c>
      <c r="MZ2" s="169"/>
      <c r="NA2" s="169"/>
      <c r="NB2" s="171"/>
      <c r="NC2" s="171"/>
      <c r="ND2" s="171"/>
      <c r="NE2" s="169"/>
      <c r="NF2" s="169"/>
      <c r="NG2" s="169"/>
      <c r="NH2" s="171"/>
      <c r="NI2" s="171"/>
      <c r="NJ2" s="171"/>
      <c r="NK2" s="169"/>
      <c r="NL2" s="169"/>
      <c r="NM2" s="169"/>
      <c r="NN2" s="169"/>
      <c r="NO2" s="171"/>
      <c r="NP2" s="171"/>
      <c r="NQ2" s="171"/>
      <c r="NR2" s="197"/>
      <c r="NS2" s="171" t="str">
        <f ca="1">IF(CELL("contenu",INDIRECT(ADDRESS(NS1,1,1,1,CELL("contenu",$B$2))))="","----",CELL("contenu",INDIRECT(ADDRESS(NS1,1,1,1,CELL("contenu",$B$2)))))</f>
        <v>REYES Alessandro</v>
      </c>
      <c r="NT2" s="169"/>
      <c r="NU2" s="169"/>
      <c r="NV2" s="171"/>
      <c r="NW2" s="171"/>
      <c r="NX2" s="171"/>
      <c r="NY2" s="169"/>
      <c r="NZ2" s="169"/>
      <c r="OA2" s="169"/>
      <c r="OB2" s="171"/>
      <c r="OC2" s="171"/>
      <c r="OD2" s="171"/>
      <c r="OE2" s="169"/>
      <c r="OF2" s="169"/>
      <c r="OG2" s="169"/>
      <c r="OH2" s="169"/>
      <c r="OI2" s="171"/>
      <c r="OJ2" s="171"/>
      <c r="OK2" s="171"/>
      <c r="OL2" s="197"/>
      <c r="OM2" s="171" t="str">
        <f ca="1">IF(CELL("contenu",INDIRECT(ADDRESS(OM1,1,1,1,CELL("contenu",$B$2))))="","----",CELL("contenu",INDIRECT(ADDRESS(OM1,1,1,1,CELL("contenu",$B$2)))))</f>
        <v>ROULLET DE LA BOUILLERIE Hyacinthe</v>
      </c>
      <c r="ON2" s="169"/>
      <c r="OO2" s="169"/>
      <c r="OP2" s="171"/>
      <c r="OQ2" s="171"/>
      <c r="OR2" s="171"/>
      <c r="OS2" s="169"/>
      <c r="OT2" s="169"/>
      <c r="OU2" s="169"/>
      <c r="OV2" s="171"/>
      <c r="OW2" s="171"/>
      <c r="OX2" s="171"/>
      <c r="OY2" s="169"/>
      <c r="OZ2" s="169"/>
      <c r="PA2" s="169"/>
      <c r="PB2" s="169"/>
      <c r="PC2" s="171"/>
      <c r="PD2" s="171"/>
      <c r="PE2" s="171"/>
      <c r="PF2" s="197"/>
      <c r="PG2" s="171" t="str">
        <f ca="1">IF(CELL("contenu",INDIRECT(ADDRESS(PG1,1,1,1,CELL("contenu",$B$2))))="","----",CELL("contenu",INDIRECT(ADDRESS(PG1,1,1,1,CELL("contenu",$B$2)))))</f>
        <v>ROUZIER Aglae</v>
      </c>
      <c r="PH2" s="169"/>
      <c r="PI2" s="169"/>
      <c r="PJ2" s="171"/>
      <c r="PK2" s="171"/>
      <c r="PL2" s="171"/>
      <c r="PM2" s="169"/>
      <c r="PN2" s="169"/>
      <c r="PO2" s="169"/>
      <c r="PP2" s="171"/>
      <c r="PQ2" s="171"/>
      <c r="PR2" s="171"/>
      <c r="PS2" s="169"/>
      <c r="PT2" s="169"/>
      <c r="PU2" s="169"/>
      <c r="PV2" s="169"/>
      <c r="PW2" s="171"/>
      <c r="PX2" s="171"/>
      <c r="PY2" s="171"/>
      <c r="PZ2" s="197"/>
      <c r="QA2" s="171" t="str">
        <f ca="1">IF(CELL("contenu",INDIRECT(ADDRESS(QA1,1,1,1,CELL("contenu",$B$2))))="","----",CELL("contenu",INDIRECT(ADDRESS(QA1,1,1,1,CELL("contenu",$B$2)))))</f>
        <v>SAA GODOY Benjamin</v>
      </c>
      <c r="QB2" s="169"/>
      <c r="QC2" s="169"/>
      <c r="QD2" s="171"/>
      <c r="QE2" s="171"/>
      <c r="QF2" s="171"/>
      <c r="QG2" s="169"/>
      <c r="QH2" s="169"/>
      <c r="QI2" s="169"/>
      <c r="QJ2" s="171"/>
      <c r="QK2" s="171"/>
      <c r="QL2" s="171"/>
      <c r="QM2" s="169"/>
      <c r="QN2" s="169"/>
      <c r="QO2" s="169"/>
      <c r="QP2" s="169"/>
      <c r="QQ2" s="171"/>
      <c r="QR2" s="171"/>
      <c r="QS2" s="171"/>
      <c r="QT2" s="197"/>
      <c r="QU2" s="171" t="str">
        <f ca="1">IF(CELL("contenu",INDIRECT(ADDRESS(QU1,1,1,1,CELL("contenu",$B$2))))="","----",CELL("contenu",INDIRECT(ADDRESS(QU1,1,1,1,CELL("contenu",$B$2)))))</f>
        <v>SABOURIN Amelie</v>
      </c>
      <c r="QV2" s="169"/>
      <c r="QW2" s="169"/>
      <c r="QX2" s="171"/>
      <c r="QY2" s="171"/>
      <c r="QZ2" s="171"/>
      <c r="RA2" s="169"/>
      <c r="RB2" s="169"/>
      <c r="RC2" s="169"/>
      <c r="RD2" s="171"/>
      <c r="RE2" s="171"/>
      <c r="RF2" s="171"/>
      <c r="RG2" s="169"/>
      <c r="RH2" s="169"/>
      <c r="RI2" s="169"/>
      <c r="RJ2" s="169"/>
      <c r="RK2" s="171"/>
      <c r="RL2" s="171"/>
      <c r="RM2" s="171"/>
      <c r="RN2" s="197"/>
      <c r="RO2" s="171" t="str">
        <f ca="1">IF(CELL("contenu",INDIRECT(ADDRESS(RO1,1,1,1,CELL("contenu",$B$2))))="","----",CELL("contenu",INDIRECT(ADDRESS(RO1,1,1,1,CELL("contenu",$B$2)))))</f>
        <v>SCHUMACHER Marie</v>
      </c>
      <c r="RP2" s="169"/>
      <c r="RQ2" s="169"/>
      <c r="RR2" s="171"/>
      <c r="RS2" s="171"/>
      <c r="RT2" s="171"/>
      <c r="RU2" s="169"/>
      <c r="RV2" s="169"/>
      <c r="RW2" s="169"/>
      <c r="RX2" s="171"/>
      <c r="RY2" s="171"/>
      <c r="RZ2" s="171"/>
      <c r="SA2" s="169"/>
      <c r="SB2" s="169"/>
      <c r="SC2" s="169"/>
      <c r="SD2" s="169"/>
      <c r="SE2" s="171"/>
      <c r="SF2" s="171"/>
      <c r="SG2" s="171"/>
      <c r="SH2" s="197"/>
      <c r="SI2" s="171" t="str">
        <f ca="1">IF(CELL("contenu",INDIRECT(ADDRESS(SI1,1,1,1,CELL("contenu",$B$2))))="","----",CELL("contenu",INDIRECT(ADDRESS(SI1,1,1,1,CELL("contenu",$B$2)))))</f>
        <v>SOUEF Alexis</v>
      </c>
      <c r="SJ2" s="169"/>
      <c r="SK2" s="169"/>
      <c r="SL2" s="171"/>
      <c r="SM2" s="171"/>
      <c r="SN2" s="171"/>
      <c r="SO2" s="169"/>
      <c r="SP2" s="169"/>
      <c r="SQ2" s="169"/>
      <c r="SR2" s="171"/>
      <c r="SS2" s="171"/>
      <c r="ST2" s="171"/>
      <c r="SU2" s="169"/>
      <c r="SV2" s="169"/>
      <c r="SW2" s="169"/>
      <c r="SX2" s="169"/>
      <c r="SY2" s="171"/>
      <c r="SZ2" s="171"/>
      <c r="TA2" s="171"/>
      <c r="TB2" s="197"/>
      <c r="TC2" s="171" t="str">
        <f ca="1">IF(CELL("contenu",INDIRECT(ADDRESS(TC1,1,1,1,CELL("contenu",$B$2))))="","----",CELL("contenu",INDIRECT(ADDRESS(TC1,1,1,1,CELL("contenu",$B$2)))))</f>
        <v>SUZANNE Cleophee</v>
      </c>
      <c r="TD2" s="169"/>
      <c r="TE2" s="169"/>
      <c r="TF2" s="171"/>
      <c r="TG2" s="171"/>
      <c r="TH2" s="171"/>
      <c r="TI2" s="169"/>
      <c r="TJ2" s="169"/>
      <c r="TK2" s="169"/>
      <c r="TL2" s="171"/>
      <c r="TM2" s="171"/>
      <c r="TN2" s="171"/>
      <c r="TO2" s="169"/>
      <c r="TP2" s="169"/>
      <c r="TQ2" s="169"/>
      <c r="TR2" s="169"/>
      <c r="TS2" s="171"/>
      <c r="TT2" s="171"/>
      <c r="TU2" s="171"/>
      <c r="TV2" s="197"/>
      <c r="TW2" s="171" t="str">
        <f ca="1">IF(CELL("contenu",INDIRECT(ADDRESS(TW1,1,1,1,CELL("contenu",$B$2))))="","----",CELL("contenu",INDIRECT(ADDRESS(TW1,1,1,1,CELL("contenu",$B$2)))))</f>
        <v>ZHENDRE Manon</v>
      </c>
      <c r="TX2" s="169"/>
      <c r="TY2" s="169"/>
      <c r="TZ2" s="171"/>
      <c r="UA2" s="171"/>
      <c r="UB2" s="171"/>
      <c r="UC2" s="169"/>
      <c r="UD2" s="169"/>
      <c r="UE2" s="169"/>
      <c r="UF2" s="171"/>
      <c r="UG2" s="171"/>
      <c r="UH2" s="171"/>
      <c r="UI2" s="169"/>
      <c r="UJ2" s="169"/>
      <c r="UK2" s="169"/>
      <c r="UL2" s="169"/>
      <c r="UM2" s="171"/>
      <c r="UN2" s="171"/>
      <c r="UO2" s="171"/>
      <c r="UP2" s="197"/>
      <c r="UQ2" s="85" t="str">
        <f ca="1">IF(CELL("contenu",INDIRECT(ADDRESS(UQ1,1,1,1,CELL("contenu",$B$2))))="","----",CELL("contenu",INDIRECT(ADDRESS(UQ1,1,1,1,CELL("contenu",$B$2)))))</f>
        <v>----</v>
      </c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85"/>
      <c r="VC2" s="85"/>
      <c r="VD2" s="85"/>
      <c r="VE2" s="85"/>
      <c r="VF2" s="85"/>
      <c r="VG2" s="86"/>
      <c r="VH2" s="85" t="str">
        <f ca="1">IF(CELL("contenu",INDIRECT(ADDRESS(VH1,1,1,1,CELL("contenu",$B$2))))="","----",CELL("contenu",INDIRECT(ADDRESS(VH1,1,1,1,CELL("contenu",$B$2)))))</f>
        <v>----</v>
      </c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6"/>
    </row>
    <row r="3" spans="1:596" ht="60" customHeight="1" thickBot="1" x14ac:dyDescent="0.6">
      <c r="A3" s="162"/>
      <c r="B3" s="163" t="s">
        <v>36</v>
      </c>
      <c r="C3" s="87" t="s">
        <v>197</v>
      </c>
      <c r="D3" s="88" t="s">
        <v>198</v>
      </c>
      <c r="E3" s="89"/>
      <c r="F3" s="176" t="s">
        <v>7</v>
      </c>
      <c r="G3" s="177"/>
      <c r="H3" s="87" t="s">
        <v>199</v>
      </c>
      <c r="I3" s="92" t="s">
        <v>202</v>
      </c>
      <c r="J3" s="89"/>
      <c r="K3" s="89"/>
      <c r="L3" s="192" t="s">
        <v>8</v>
      </c>
      <c r="M3" s="193"/>
      <c r="N3" s="87" t="s">
        <v>203</v>
      </c>
      <c r="O3" s="92" t="s">
        <v>204</v>
      </c>
      <c r="P3" s="89" t="s">
        <v>205</v>
      </c>
      <c r="Q3" s="89"/>
      <c r="R3" s="89"/>
      <c r="S3" s="198" t="s">
        <v>9</v>
      </c>
      <c r="T3" s="199"/>
      <c r="U3" s="200" t="s">
        <v>10</v>
      </c>
      <c r="V3" s="201"/>
      <c r="W3" s="99" t="str">
        <f>IF(C3="","",C3)</f>
        <v>Eval E2</v>
      </c>
      <c r="X3" s="100" t="str">
        <f>IF(D3="","",D3)</f>
        <v>Fiche CH6/1</v>
      </c>
      <c r="Y3" s="101" t="str">
        <f>IF(E3="","",E3)</f>
        <v/>
      </c>
      <c r="Z3" s="176" t="s">
        <v>7</v>
      </c>
      <c r="AA3" s="177"/>
      <c r="AB3" s="102" t="str">
        <f>IF(H3="","",H3)</f>
        <v>Eval CH6</v>
      </c>
      <c r="AC3" s="100" t="str">
        <f>IF(I3="","",I3)</f>
        <v>Fiche CH7/5</v>
      </c>
      <c r="AD3" s="216" t="str">
        <f>IF(J3="","",J3)</f>
        <v/>
      </c>
      <c r="AE3" s="101" t="str">
        <f>IF(K3="","",K3)</f>
        <v/>
      </c>
      <c r="AF3" s="192" t="s">
        <v>8</v>
      </c>
      <c r="AG3" s="193"/>
      <c r="AH3" s="102" t="str">
        <f>IF(N3="","",N3)</f>
        <v>EC</v>
      </c>
      <c r="AI3" s="100" t="str">
        <f>IF(O3="","",O3)</f>
        <v>Fiche CH7/6</v>
      </c>
      <c r="AJ3" s="216" t="str">
        <f>IF(P3="","",P3)</f>
        <v>Fiche E3/3</v>
      </c>
      <c r="AK3" s="216" t="str">
        <f>IF(Q3="","",Q3)</f>
        <v/>
      </c>
      <c r="AL3" s="216" t="str">
        <f>IF(R3="","",R3)</f>
        <v/>
      </c>
      <c r="AM3" s="198" t="s">
        <v>9</v>
      </c>
      <c r="AN3" s="199"/>
      <c r="AO3" s="200" t="s">
        <v>10</v>
      </c>
      <c r="AP3" s="201"/>
      <c r="AQ3" s="99" t="str">
        <f>IF(W3="","",W3)</f>
        <v>Eval E2</v>
      </c>
      <c r="AR3" s="100" t="str">
        <f>IF(X3="","",X3)</f>
        <v>Fiche CH6/1</v>
      </c>
      <c r="AS3" s="101" t="str">
        <f>IF(Y3="","",Y3)</f>
        <v/>
      </c>
      <c r="AT3" s="176" t="s">
        <v>7</v>
      </c>
      <c r="AU3" s="177"/>
      <c r="AV3" s="102" t="str">
        <f>IF(AB3="","",AB3)</f>
        <v>Eval CH6</v>
      </c>
      <c r="AW3" s="100" t="str">
        <f>IF(AC3="","",AC3)</f>
        <v>Fiche CH7/5</v>
      </c>
      <c r="AX3" s="216" t="str">
        <f>IF(AD3="","",AD3)</f>
        <v/>
      </c>
      <c r="AY3" s="101" t="str">
        <f>IF(AE3="","",AE3)</f>
        <v/>
      </c>
      <c r="AZ3" s="192" t="s">
        <v>8</v>
      </c>
      <c r="BA3" s="193"/>
      <c r="BB3" s="102" t="str">
        <f>IF(AH3="","",AH3)</f>
        <v>EC</v>
      </c>
      <c r="BC3" s="100" t="str">
        <f>IF(AI3="","",AI3)</f>
        <v>Fiche CH7/6</v>
      </c>
      <c r="BD3" s="216" t="str">
        <f>IF(AJ3="","",AJ3)</f>
        <v>Fiche E3/3</v>
      </c>
      <c r="BE3" s="216" t="str">
        <f>IF(AK3="","",AK3)</f>
        <v/>
      </c>
      <c r="BF3" s="216" t="str">
        <f>IF(AL3="","",AL3)</f>
        <v/>
      </c>
      <c r="BG3" s="198" t="s">
        <v>9</v>
      </c>
      <c r="BH3" s="199"/>
      <c r="BI3" s="200" t="s">
        <v>10</v>
      </c>
      <c r="BJ3" s="201"/>
      <c r="BK3" s="99" t="str">
        <f>IF(AQ3="","",AQ3)</f>
        <v>Eval E2</v>
      </c>
      <c r="BL3" s="100" t="str">
        <f>IF(AR3="","",AR3)</f>
        <v>Fiche CH6/1</v>
      </c>
      <c r="BM3" s="101" t="str">
        <f>IF(AS3="","",AS3)</f>
        <v/>
      </c>
      <c r="BN3" s="176" t="s">
        <v>7</v>
      </c>
      <c r="BO3" s="177"/>
      <c r="BP3" s="102" t="str">
        <f>IF(AV3="","",AV3)</f>
        <v>Eval CH6</v>
      </c>
      <c r="BQ3" s="100" t="str">
        <f>IF(AW3="","",AW3)</f>
        <v>Fiche CH7/5</v>
      </c>
      <c r="BR3" s="216" t="str">
        <f>IF(AX3="","",AX3)</f>
        <v/>
      </c>
      <c r="BS3" s="101" t="str">
        <f>IF(AY3="","",AY3)</f>
        <v/>
      </c>
      <c r="BT3" s="192" t="s">
        <v>8</v>
      </c>
      <c r="BU3" s="193"/>
      <c r="BV3" s="102" t="str">
        <f>IF(BB3="","",BB3)</f>
        <v>EC</v>
      </c>
      <c r="BW3" s="100" t="str">
        <f>IF(BC3="","",BC3)</f>
        <v>Fiche CH7/6</v>
      </c>
      <c r="BX3" s="216" t="str">
        <f>IF(BD3="","",BD3)</f>
        <v>Fiche E3/3</v>
      </c>
      <c r="BY3" s="216" t="str">
        <f>IF(BE3="","",BE3)</f>
        <v/>
      </c>
      <c r="BZ3" s="216" t="str">
        <f>IF(BF3="","",BF3)</f>
        <v/>
      </c>
      <c r="CA3" s="198" t="s">
        <v>9</v>
      </c>
      <c r="CB3" s="199"/>
      <c r="CC3" s="200" t="s">
        <v>10</v>
      </c>
      <c r="CD3" s="201"/>
      <c r="CE3" s="99" t="str">
        <f>IF(BK3="","",BK3)</f>
        <v>Eval E2</v>
      </c>
      <c r="CF3" s="100" t="str">
        <f>IF(BL3="","",BL3)</f>
        <v>Fiche CH6/1</v>
      </c>
      <c r="CG3" s="101" t="str">
        <f>IF(BM3="","",BM3)</f>
        <v/>
      </c>
      <c r="CH3" s="176" t="s">
        <v>7</v>
      </c>
      <c r="CI3" s="177"/>
      <c r="CJ3" s="102" t="str">
        <f>IF(BP3="","",BP3)</f>
        <v>Eval CH6</v>
      </c>
      <c r="CK3" s="100" t="str">
        <f>IF(BQ3="","",BQ3)</f>
        <v>Fiche CH7/5</v>
      </c>
      <c r="CL3" s="216" t="str">
        <f>IF(BR3="","",BR3)</f>
        <v/>
      </c>
      <c r="CM3" s="101" t="str">
        <f>IF(BS3="","",BS3)</f>
        <v/>
      </c>
      <c r="CN3" s="192" t="s">
        <v>8</v>
      </c>
      <c r="CO3" s="193"/>
      <c r="CP3" s="102" t="str">
        <f>IF(BV3="","",BV3)</f>
        <v>EC</v>
      </c>
      <c r="CQ3" s="100" t="str">
        <f>IF(BW3="","",BW3)</f>
        <v>Fiche CH7/6</v>
      </c>
      <c r="CR3" s="216" t="str">
        <f>IF(BX3="","",BX3)</f>
        <v>Fiche E3/3</v>
      </c>
      <c r="CS3" s="216" t="str">
        <f>IF(BY3="","",BY3)</f>
        <v/>
      </c>
      <c r="CT3" s="216" t="str">
        <f>IF(BZ3="","",BZ3)</f>
        <v/>
      </c>
      <c r="CU3" s="198" t="s">
        <v>9</v>
      </c>
      <c r="CV3" s="199"/>
      <c r="CW3" s="200" t="s">
        <v>10</v>
      </c>
      <c r="CX3" s="201"/>
      <c r="CY3" s="99" t="str">
        <f>IF(CE3="","",CE3)</f>
        <v>Eval E2</v>
      </c>
      <c r="CZ3" s="100" t="str">
        <f>IF(CF3="","",CF3)</f>
        <v>Fiche CH6/1</v>
      </c>
      <c r="DA3" s="101" t="str">
        <f>IF(CG3="","",CG3)</f>
        <v/>
      </c>
      <c r="DB3" s="176" t="s">
        <v>7</v>
      </c>
      <c r="DC3" s="177"/>
      <c r="DD3" s="102" t="str">
        <f>IF(CJ3="","",CJ3)</f>
        <v>Eval CH6</v>
      </c>
      <c r="DE3" s="100" t="str">
        <f>IF(CK3="","",CK3)</f>
        <v>Fiche CH7/5</v>
      </c>
      <c r="DF3" s="216" t="str">
        <f>IF(CL3="","",CL3)</f>
        <v/>
      </c>
      <c r="DG3" s="101" t="str">
        <f>IF(CM3="","",CM3)</f>
        <v/>
      </c>
      <c r="DH3" s="192" t="s">
        <v>8</v>
      </c>
      <c r="DI3" s="193"/>
      <c r="DJ3" s="102" t="str">
        <f>IF(CP3="","",CP3)</f>
        <v>EC</v>
      </c>
      <c r="DK3" s="100" t="str">
        <f>IF(CQ3="","",CQ3)</f>
        <v>Fiche CH7/6</v>
      </c>
      <c r="DL3" s="216" t="str">
        <f>IF(CR3="","",CR3)</f>
        <v>Fiche E3/3</v>
      </c>
      <c r="DM3" s="216" t="str">
        <f>IF(CS3="","",CS3)</f>
        <v/>
      </c>
      <c r="DN3" s="216" t="str">
        <f>IF(CT3="","",CT3)</f>
        <v/>
      </c>
      <c r="DO3" s="198" t="s">
        <v>9</v>
      </c>
      <c r="DP3" s="199"/>
      <c r="DQ3" s="200" t="s">
        <v>10</v>
      </c>
      <c r="DR3" s="201"/>
      <c r="DS3" s="99" t="str">
        <f>IF(CY3="","",CY3)</f>
        <v>Eval E2</v>
      </c>
      <c r="DT3" s="100" t="str">
        <f>IF(CZ3="","",CZ3)</f>
        <v>Fiche CH6/1</v>
      </c>
      <c r="DU3" s="101" t="str">
        <f>IF(DA3="","",DA3)</f>
        <v/>
      </c>
      <c r="DV3" s="176" t="s">
        <v>7</v>
      </c>
      <c r="DW3" s="177"/>
      <c r="DX3" s="102" t="str">
        <f>IF(DD3="","",DD3)</f>
        <v>Eval CH6</v>
      </c>
      <c r="DY3" s="100" t="str">
        <f>IF(DE3="","",DE3)</f>
        <v>Fiche CH7/5</v>
      </c>
      <c r="DZ3" s="216" t="str">
        <f>IF(DF3="","",DF3)</f>
        <v/>
      </c>
      <c r="EA3" s="101" t="str">
        <f>IF(DG3="","",DG3)</f>
        <v/>
      </c>
      <c r="EB3" s="192" t="s">
        <v>8</v>
      </c>
      <c r="EC3" s="193"/>
      <c r="ED3" s="102" t="str">
        <f>IF(DJ3="","",DJ3)</f>
        <v>EC</v>
      </c>
      <c r="EE3" s="100" t="str">
        <f>IF(DK3="","",DK3)</f>
        <v>Fiche CH7/6</v>
      </c>
      <c r="EF3" s="216" t="str">
        <f>IF(DL3="","",DL3)</f>
        <v>Fiche E3/3</v>
      </c>
      <c r="EG3" s="216" t="str">
        <f>IF(DM3="","",DM3)</f>
        <v/>
      </c>
      <c r="EH3" s="216" t="str">
        <f>IF(DN3="","",DN3)</f>
        <v/>
      </c>
      <c r="EI3" s="198" t="s">
        <v>9</v>
      </c>
      <c r="EJ3" s="199"/>
      <c r="EK3" s="200" t="s">
        <v>10</v>
      </c>
      <c r="EL3" s="201"/>
      <c r="EM3" s="99" t="str">
        <f>IF(DS3="","",DS3)</f>
        <v>Eval E2</v>
      </c>
      <c r="EN3" s="100" t="str">
        <f>IF(DT3="","",DT3)</f>
        <v>Fiche CH6/1</v>
      </c>
      <c r="EO3" s="101" t="str">
        <f>IF(DU3="","",DU3)</f>
        <v/>
      </c>
      <c r="EP3" s="176" t="s">
        <v>7</v>
      </c>
      <c r="EQ3" s="177"/>
      <c r="ER3" s="102" t="str">
        <f>IF(DX3="","",DX3)</f>
        <v>Eval CH6</v>
      </c>
      <c r="ES3" s="100" t="str">
        <f>IF(DY3="","",DY3)</f>
        <v>Fiche CH7/5</v>
      </c>
      <c r="ET3" s="216" t="str">
        <f>IF(DZ3="","",DZ3)</f>
        <v/>
      </c>
      <c r="EU3" s="101" t="str">
        <f>IF(EA3="","",EA3)</f>
        <v/>
      </c>
      <c r="EV3" s="192" t="s">
        <v>8</v>
      </c>
      <c r="EW3" s="193"/>
      <c r="EX3" s="102" t="str">
        <f>IF(ED3="","",ED3)</f>
        <v>EC</v>
      </c>
      <c r="EY3" s="100" t="str">
        <f>IF(EE3="","",EE3)</f>
        <v>Fiche CH7/6</v>
      </c>
      <c r="EZ3" s="216" t="str">
        <f>IF(EF3="","",EF3)</f>
        <v>Fiche E3/3</v>
      </c>
      <c r="FA3" s="216" t="str">
        <f>IF(EG3="","",EG3)</f>
        <v/>
      </c>
      <c r="FB3" s="216" t="str">
        <f>IF(EH3="","",EH3)</f>
        <v/>
      </c>
      <c r="FC3" s="198" t="s">
        <v>9</v>
      </c>
      <c r="FD3" s="199"/>
      <c r="FE3" s="200" t="s">
        <v>10</v>
      </c>
      <c r="FF3" s="201"/>
      <c r="FG3" s="99" t="str">
        <f>IF(EM3="","",EM3)</f>
        <v>Eval E2</v>
      </c>
      <c r="FH3" s="100" t="str">
        <f>IF(EN3="","",EN3)</f>
        <v>Fiche CH6/1</v>
      </c>
      <c r="FI3" s="101" t="str">
        <f>IF(EO3="","",EO3)</f>
        <v/>
      </c>
      <c r="FJ3" s="176" t="s">
        <v>7</v>
      </c>
      <c r="FK3" s="177"/>
      <c r="FL3" s="102" t="str">
        <f>IF(ER3="","",ER3)</f>
        <v>Eval CH6</v>
      </c>
      <c r="FM3" s="100" t="str">
        <f>IF(ES3="","",ES3)</f>
        <v>Fiche CH7/5</v>
      </c>
      <c r="FN3" s="216" t="str">
        <f>IF(ET3="","",ET3)</f>
        <v/>
      </c>
      <c r="FO3" s="101" t="str">
        <f>IF(EU3="","",EU3)</f>
        <v/>
      </c>
      <c r="FP3" s="192" t="s">
        <v>8</v>
      </c>
      <c r="FQ3" s="193"/>
      <c r="FR3" s="102" t="str">
        <f>IF(EX3="","",EX3)</f>
        <v>EC</v>
      </c>
      <c r="FS3" s="100" t="str">
        <f>IF(EY3="","",EY3)</f>
        <v>Fiche CH7/6</v>
      </c>
      <c r="FT3" s="216" t="str">
        <f>IF(EZ3="","",EZ3)</f>
        <v>Fiche E3/3</v>
      </c>
      <c r="FU3" s="216" t="str">
        <f>IF(FA3="","",FA3)</f>
        <v/>
      </c>
      <c r="FV3" s="216" t="str">
        <f>IF(FB3="","",FB3)</f>
        <v/>
      </c>
      <c r="FW3" s="198" t="s">
        <v>9</v>
      </c>
      <c r="FX3" s="199"/>
      <c r="FY3" s="200" t="s">
        <v>10</v>
      </c>
      <c r="FZ3" s="201"/>
      <c r="GA3" s="99" t="str">
        <f>IF(FG3="","",FG3)</f>
        <v>Eval E2</v>
      </c>
      <c r="GB3" s="100" t="str">
        <f>IF(FH3="","",FH3)</f>
        <v>Fiche CH6/1</v>
      </c>
      <c r="GC3" s="101" t="str">
        <f>IF(FI3="","",FI3)</f>
        <v/>
      </c>
      <c r="GD3" s="176" t="s">
        <v>7</v>
      </c>
      <c r="GE3" s="177"/>
      <c r="GF3" s="102" t="str">
        <f>IF(FL3="","",FL3)</f>
        <v>Eval CH6</v>
      </c>
      <c r="GG3" s="100" t="str">
        <f>IF(FM3="","",FM3)</f>
        <v>Fiche CH7/5</v>
      </c>
      <c r="GH3" s="216" t="str">
        <f>IF(FN3="","",FN3)</f>
        <v/>
      </c>
      <c r="GI3" s="101" t="str">
        <f>IF(FO3="","",FO3)</f>
        <v/>
      </c>
      <c r="GJ3" s="192" t="s">
        <v>8</v>
      </c>
      <c r="GK3" s="193"/>
      <c r="GL3" s="102" t="str">
        <f>IF(FR3="","",FR3)</f>
        <v>EC</v>
      </c>
      <c r="GM3" s="100" t="str">
        <f>IF(FS3="","",FS3)</f>
        <v>Fiche CH7/6</v>
      </c>
      <c r="GN3" s="216" t="str">
        <f>IF(FT3="","",FT3)</f>
        <v>Fiche E3/3</v>
      </c>
      <c r="GO3" s="216" t="str">
        <f>IF(FU3="","",FU3)</f>
        <v/>
      </c>
      <c r="GP3" s="216" t="str">
        <f>IF(FV3="","",FV3)</f>
        <v/>
      </c>
      <c r="GQ3" s="198" t="s">
        <v>9</v>
      </c>
      <c r="GR3" s="199"/>
      <c r="GS3" s="200" t="s">
        <v>10</v>
      </c>
      <c r="GT3" s="201"/>
      <c r="GU3" s="99" t="str">
        <f>IF(GA3="","",GA3)</f>
        <v>Eval E2</v>
      </c>
      <c r="GV3" s="100" t="str">
        <f>IF(GB3="","",GB3)</f>
        <v>Fiche CH6/1</v>
      </c>
      <c r="GW3" s="101" t="str">
        <f>IF(GC3="","",GC3)</f>
        <v/>
      </c>
      <c r="GX3" s="176" t="s">
        <v>7</v>
      </c>
      <c r="GY3" s="177"/>
      <c r="GZ3" s="102" t="str">
        <f>IF(GF3="","",GF3)</f>
        <v>Eval CH6</v>
      </c>
      <c r="HA3" s="100" t="str">
        <f>IF(GG3="","",GG3)</f>
        <v>Fiche CH7/5</v>
      </c>
      <c r="HB3" s="216" t="str">
        <f>IF(GH3="","",GH3)</f>
        <v/>
      </c>
      <c r="HC3" s="101" t="str">
        <f>IF(GI3="","",GI3)</f>
        <v/>
      </c>
      <c r="HD3" s="192" t="s">
        <v>8</v>
      </c>
      <c r="HE3" s="193"/>
      <c r="HF3" s="102" t="str">
        <f>IF(GL3="","",GL3)</f>
        <v>EC</v>
      </c>
      <c r="HG3" s="100" t="str">
        <f>IF(GM3="","",GM3)</f>
        <v>Fiche CH7/6</v>
      </c>
      <c r="HH3" s="216" t="str">
        <f>IF(GN3="","",GN3)</f>
        <v>Fiche E3/3</v>
      </c>
      <c r="HI3" s="216" t="str">
        <f>IF(GO3="","",GO3)</f>
        <v/>
      </c>
      <c r="HJ3" s="216" t="str">
        <f>IF(GP3="","",GP3)</f>
        <v/>
      </c>
      <c r="HK3" s="198" t="s">
        <v>9</v>
      </c>
      <c r="HL3" s="199"/>
      <c r="HM3" s="200" t="s">
        <v>10</v>
      </c>
      <c r="HN3" s="201"/>
      <c r="HO3" s="99" t="str">
        <f>IF(GU3="","",GU3)</f>
        <v>Eval E2</v>
      </c>
      <c r="HP3" s="100" t="str">
        <f>IF(GV3="","",GV3)</f>
        <v>Fiche CH6/1</v>
      </c>
      <c r="HQ3" s="101" t="str">
        <f>IF(GW3="","",GW3)</f>
        <v/>
      </c>
      <c r="HR3" s="176" t="s">
        <v>7</v>
      </c>
      <c r="HS3" s="177"/>
      <c r="HT3" s="102" t="str">
        <f>IF(GZ3="","",GZ3)</f>
        <v>Eval CH6</v>
      </c>
      <c r="HU3" s="100" t="str">
        <f>IF(HA3="","",HA3)</f>
        <v>Fiche CH7/5</v>
      </c>
      <c r="HV3" s="216" t="str">
        <f>IF(HB3="","",HB3)</f>
        <v/>
      </c>
      <c r="HW3" s="101" t="str">
        <f>IF(HC3="","",HC3)</f>
        <v/>
      </c>
      <c r="HX3" s="192" t="s">
        <v>8</v>
      </c>
      <c r="HY3" s="193"/>
      <c r="HZ3" s="102" t="str">
        <f>IF(HF3="","",HF3)</f>
        <v>EC</v>
      </c>
      <c r="IA3" s="100" t="str">
        <f>IF(HG3="","",HG3)</f>
        <v>Fiche CH7/6</v>
      </c>
      <c r="IB3" s="216" t="str">
        <f>IF(HH3="","",HH3)</f>
        <v>Fiche E3/3</v>
      </c>
      <c r="IC3" s="216" t="str">
        <f>IF(HI3="","",HI3)</f>
        <v/>
      </c>
      <c r="ID3" s="216" t="str">
        <f>IF(HJ3="","",HJ3)</f>
        <v/>
      </c>
      <c r="IE3" s="198" t="s">
        <v>9</v>
      </c>
      <c r="IF3" s="199"/>
      <c r="IG3" s="200" t="s">
        <v>10</v>
      </c>
      <c r="IH3" s="201"/>
      <c r="II3" s="99" t="str">
        <f>IF(HO3="","",HO3)</f>
        <v>Eval E2</v>
      </c>
      <c r="IJ3" s="100" t="str">
        <f>IF(HP3="","",HP3)</f>
        <v>Fiche CH6/1</v>
      </c>
      <c r="IK3" s="101" t="str">
        <f>IF(HQ3="","",HQ3)</f>
        <v/>
      </c>
      <c r="IL3" s="176" t="s">
        <v>7</v>
      </c>
      <c r="IM3" s="177"/>
      <c r="IN3" s="102" t="str">
        <f>IF(HT3="","",HT3)</f>
        <v>Eval CH6</v>
      </c>
      <c r="IO3" s="100" t="str">
        <f>IF(HU3="","",HU3)</f>
        <v>Fiche CH7/5</v>
      </c>
      <c r="IP3" s="216" t="str">
        <f>IF(HV3="","",HV3)</f>
        <v/>
      </c>
      <c r="IQ3" s="101" t="str">
        <f>IF(HW3="","",HW3)</f>
        <v/>
      </c>
      <c r="IR3" s="192" t="s">
        <v>8</v>
      </c>
      <c r="IS3" s="193"/>
      <c r="IT3" s="102" t="str">
        <f>IF(HZ3="","",HZ3)</f>
        <v>EC</v>
      </c>
      <c r="IU3" s="100" t="str">
        <f>IF(IA3="","",IA3)</f>
        <v>Fiche CH7/6</v>
      </c>
      <c r="IV3" s="216" t="str">
        <f>IF(IB3="","",IB3)</f>
        <v>Fiche E3/3</v>
      </c>
      <c r="IW3" s="216" t="str">
        <f>IF(IC3="","",IC3)</f>
        <v/>
      </c>
      <c r="IX3" s="216" t="str">
        <f>IF(ID3="","",ID3)</f>
        <v/>
      </c>
      <c r="IY3" s="198" t="s">
        <v>9</v>
      </c>
      <c r="IZ3" s="199"/>
      <c r="JA3" s="200" t="s">
        <v>10</v>
      </c>
      <c r="JB3" s="201"/>
      <c r="JC3" s="99" t="str">
        <f>IF(II3="","",II3)</f>
        <v>Eval E2</v>
      </c>
      <c r="JD3" s="100" t="str">
        <f>IF(IJ3="","",IJ3)</f>
        <v>Fiche CH6/1</v>
      </c>
      <c r="JE3" s="101" t="str">
        <f>IF(IK3="","",IK3)</f>
        <v/>
      </c>
      <c r="JF3" s="176" t="s">
        <v>7</v>
      </c>
      <c r="JG3" s="177"/>
      <c r="JH3" s="102" t="str">
        <f>IF(IN3="","",IN3)</f>
        <v>Eval CH6</v>
      </c>
      <c r="JI3" s="100" t="str">
        <f>IF(IO3="","",IO3)</f>
        <v>Fiche CH7/5</v>
      </c>
      <c r="JJ3" s="216" t="str">
        <f>IF(IP3="","",IP3)</f>
        <v/>
      </c>
      <c r="JK3" s="101" t="str">
        <f>IF(IQ3="","",IQ3)</f>
        <v/>
      </c>
      <c r="JL3" s="192" t="s">
        <v>8</v>
      </c>
      <c r="JM3" s="193"/>
      <c r="JN3" s="102" t="str">
        <f>IF(IT3="","",IT3)</f>
        <v>EC</v>
      </c>
      <c r="JO3" s="100" t="str">
        <f>IF(IU3="","",IU3)</f>
        <v>Fiche CH7/6</v>
      </c>
      <c r="JP3" s="216" t="str">
        <f>IF(IV3="","",IV3)</f>
        <v>Fiche E3/3</v>
      </c>
      <c r="JQ3" s="216" t="str">
        <f>IF(IW3="","",IW3)</f>
        <v/>
      </c>
      <c r="JR3" s="216" t="str">
        <f>IF(IX3="","",IX3)</f>
        <v/>
      </c>
      <c r="JS3" s="198" t="s">
        <v>9</v>
      </c>
      <c r="JT3" s="199"/>
      <c r="JU3" s="200" t="s">
        <v>10</v>
      </c>
      <c r="JV3" s="201"/>
      <c r="JW3" s="99" t="str">
        <f>IF(JC3="","",JC3)</f>
        <v>Eval E2</v>
      </c>
      <c r="JX3" s="100" t="str">
        <f>IF(JD3="","",JD3)</f>
        <v>Fiche CH6/1</v>
      </c>
      <c r="JY3" s="101" t="str">
        <f>IF(JE3="","",JE3)</f>
        <v/>
      </c>
      <c r="JZ3" s="176" t="s">
        <v>7</v>
      </c>
      <c r="KA3" s="177"/>
      <c r="KB3" s="102" t="str">
        <f>IF(JH3="","",JH3)</f>
        <v>Eval CH6</v>
      </c>
      <c r="KC3" s="100" t="str">
        <f>IF(JI3="","",JI3)</f>
        <v>Fiche CH7/5</v>
      </c>
      <c r="KD3" s="216" t="str">
        <f>IF(JJ3="","",JJ3)</f>
        <v/>
      </c>
      <c r="KE3" s="101" t="str">
        <f>IF(JK3="","",JK3)</f>
        <v/>
      </c>
      <c r="KF3" s="192" t="s">
        <v>8</v>
      </c>
      <c r="KG3" s="193"/>
      <c r="KH3" s="102" t="str">
        <f>IF(JN3="","",JN3)</f>
        <v>EC</v>
      </c>
      <c r="KI3" s="100" t="str">
        <f>IF(JO3="","",JO3)</f>
        <v>Fiche CH7/6</v>
      </c>
      <c r="KJ3" s="216" t="str">
        <f>IF(JP3="","",JP3)</f>
        <v>Fiche E3/3</v>
      </c>
      <c r="KK3" s="216" t="str">
        <f>IF(JQ3="","",JQ3)</f>
        <v/>
      </c>
      <c r="KL3" s="216" t="str">
        <f>IF(JR3="","",JR3)</f>
        <v/>
      </c>
      <c r="KM3" s="198" t="s">
        <v>9</v>
      </c>
      <c r="KN3" s="199"/>
      <c r="KO3" s="200" t="s">
        <v>10</v>
      </c>
      <c r="KP3" s="201"/>
      <c r="KQ3" s="99" t="str">
        <f>IF(JW3="","",JW3)</f>
        <v>Eval E2</v>
      </c>
      <c r="KR3" s="100" t="str">
        <f>IF(JX3="","",JX3)</f>
        <v>Fiche CH6/1</v>
      </c>
      <c r="KS3" s="101" t="str">
        <f>IF(JY3="","",JY3)</f>
        <v/>
      </c>
      <c r="KT3" s="176" t="s">
        <v>7</v>
      </c>
      <c r="KU3" s="177"/>
      <c r="KV3" s="102" t="str">
        <f>IF(KB3="","",KB3)</f>
        <v>Eval CH6</v>
      </c>
      <c r="KW3" s="100" t="str">
        <f>IF(KC3="","",KC3)</f>
        <v>Fiche CH7/5</v>
      </c>
      <c r="KX3" s="216" t="str">
        <f>IF(KD3="","",KD3)</f>
        <v/>
      </c>
      <c r="KY3" s="101" t="str">
        <f>IF(KE3="","",KE3)</f>
        <v/>
      </c>
      <c r="KZ3" s="192" t="s">
        <v>8</v>
      </c>
      <c r="LA3" s="193"/>
      <c r="LB3" s="102" t="str">
        <f>IF(KH3="","",KH3)</f>
        <v>EC</v>
      </c>
      <c r="LC3" s="100" t="str">
        <f>IF(KI3="","",KI3)</f>
        <v>Fiche CH7/6</v>
      </c>
      <c r="LD3" s="216" t="str">
        <f>IF(KJ3="","",KJ3)</f>
        <v>Fiche E3/3</v>
      </c>
      <c r="LE3" s="216" t="str">
        <f>IF(KK3="","",KK3)</f>
        <v/>
      </c>
      <c r="LF3" s="216" t="str">
        <f>IF(KL3="","",KL3)</f>
        <v/>
      </c>
      <c r="LG3" s="198" t="s">
        <v>9</v>
      </c>
      <c r="LH3" s="199"/>
      <c r="LI3" s="200" t="s">
        <v>10</v>
      </c>
      <c r="LJ3" s="201"/>
      <c r="LK3" s="99" t="str">
        <f>IF(KQ3="","",KQ3)</f>
        <v>Eval E2</v>
      </c>
      <c r="LL3" s="100" t="str">
        <f>IF(KR3="","",KR3)</f>
        <v>Fiche CH6/1</v>
      </c>
      <c r="LM3" s="101" t="str">
        <f>IF(KS3="","",KS3)</f>
        <v/>
      </c>
      <c r="LN3" s="176" t="s">
        <v>7</v>
      </c>
      <c r="LO3" s="177"/>
      <c r="LP3" s="102" t="str">
        <f>IF(KV3="","",KV3)</f>
        <v>Eval CH6</v>
      </c>
      <c r="LQ3" s="100" t="str">
        <f>IF(KW3="","",KW3)</f>
        <v>Fiche CH7/5</v>
      </c>
      <c r="LR3" s="216" t="str">
        <f>IF(KX3="","",KX3)</f>
        <v/>
      </c>
      <c r="LS3" s="101" t="str">
        <f>IF(KY3="","",KY3)</f>
        <v/>
      </c>
      <c r="LT3" s="192" t="s">
        <v>8</v>
      </c>
      <c r="LU3" s="193"/>
      <c r="LV3" s="102" t="str">
        <f>IF(LB3="","",LB3)</f>
        <v>EC</v>
      </c>
      <c r="LW3" s="100" t="str">
        <f>IF(LC3="","",LC3)</f>
        <v>Fiche CH7/6</v>
      </c>
      <c r="LX3" s="216" t="str">
        <f>IF(LD3="","",LD3)</f>
        <v>Fiche E3/3</v>
      </c>
      <c r="LY3" s="216" t="str">
        <f>IF(LE3="","",LE3)</f>
        <v/>
      </c>
      <c r="LZ3" s="216" t="str">
        <f>IF(LF3="","",LF3)</f>
        <v/>
      </c>
      <c r="MA3" s="198" t="s">
        <v>9</v>
      </c>
      <c r="MB3" s="199"/>
      <c r="MC3" s="200" t="s">
        <v>10</v>
      </c>
      <c r="MD3" s="201"/>
      <c r="ME3" s="99" t="str">
        <f>IF(LK3="","",LK3)</f>
        <v>Eval E2</v>
      </c>
      <c r="MF3" s="100" t="str">
        <f>IF(LL3="","",LL3)</f>
        <v>Fiche CH6/1</v>
      </c>
      <c r="MG3" s="101" t="str">
        <f>IF(LM3="","",LM3)</f>
        <v/>
      </c>
      <c r="MH3" s="176" t="s">
        <v>7</v>
      </c>
      <c r="MI3" s="177"/>
      <c r="MJ3" s="102" t="str">
        <f>IF(LP3="","",LP3)</f>
        <v>Eval CH6</v>
      </c>
      <c r="MK3" s="100" t="str">
        <f>IF(LQ3="","",LQ3)</f>
        <v>Fiche CH7/5</v>
      </c>
      <c r="ML3" s="216" t="str">
        <f>IF(LR3="","",LR3)</f>
        <v/>
      </c>
      <c r="MM3" s="101" t="str">
        <f>IF(LS3="","",LS3)</f>
        <v/>
      </c>
      <c r="MN3" s="192" t="s">
        <v>8</v>
      </c>
      <c r="MO3" s="193"/>
      <c r="MP3" s="102" t="str">
        <f>IF(LV3="","",LV3)</f>
        <v>EC</v>
      </c>
      <c r="MQ3" s="100" t="str">
        <f>IF(LW3="","",LW3)</f>
        <v>Fiche CH7/6</v>
      </c>
      <c r="MR3" s="216" t="str">
        <f>IF(LX3="","",LX3)</f>
        <v>Fiche E3/3</v>
      </c>
      <c r="MS3" s="216" t="str">
        <f>IF(LY3="","",LY3)</f>
        <v/>
      </c>
      <c r="MT3" s="216" t="str">
        <f>IF(LZ3="","",LZ3)</f>
        <v/>
      </c>
      <c r="MU3" s="198" t="s">
        <v>9</v>
      </c>
      <c r="MV3" s="199"/>
      <c r="MW3" s="200" t="s">
        <v>10</v>
      </c>
      <c r="MX3" s="201"/>
      <c r="MY3" s="99" t="str">
        <f>IF(ME3="","",ME3)</f>
        <v>Eval E2</v>
      </c>
      <c r="MZ3" s="100" t="str">
        <f>IF(MF3="","",MF3)</f>
        <v>Fiche CH6/1</v>
      </c>
      <c r="NA3" s="101" t="str">
        <f>IF(MG3="","",MG3)</f>
        <v/>
      </c>
      <c r="NB3" s="176" t="s">
        <v>7</v>
      </c>
      <c r="NC3" s="177"/>
      <c r="ND3" s="102" t="str">
        <f>IF(MJ3="","",MJ3)</f>
        <v>Eval CH6</v>
      </c>
      <c r="NE3" s="100" t="str">
        <f>IF(MK3="","",MK3)</f>
        <v>Fiche CH7/5</v>
      </c>
      <c r="NF3" s="216" t="str">
        <f>IF(ML3="","",ML3)</f>
        <v/>
      </c>
      <c r="NG3" s="101" t="str">
        <f>IF(MM3="","",MM3)</f>
        <v/>
      </c>
      <c r="NH3" s="192" t="s">
        <v>8</v>
      </c>
      <c r="NI3" s="193"/>
      <c r="NJ3" s="102" t="str">
        <f>IF(MP3="","",MP3)</f>
        <v>EC</v>
      </c>
      <c r="NK3" s="100" t="str">
        <f>IF(MQ3="","",MQ3)</f>
        <v>Fiche CH7/6</v>
      </c>
      <c r="NL3" s="216" t="str">
        <f>IF(MR3="","",MR3)</f>
        <v>Fiche E3/3</v>
      </c>
      <c r="NM3" s="216" t="str">
        <f>IF(MS3="","",MS3)</f>
        <v/>
      </c>
      <c r="NN3" s="216" t="str">
        <f>IF(MT3="","",MT3)</f>
        <v/>
      </c>
      <c r="NO3" s="198" t="s">
        <v>9</v>
      </c>
      <c r="NP3" s="199"/>
      <c r="NQ3" s="200" t="s">
        <v>10</v>
      </c>
      <c r="NR3" s="201"/>
      <c r="NS3" s="99" t="str">
        <f>IF(MY3="","",MY3)</f>
        <v>Eval E2</v>
      </c>
      <c r="NT3" s="100" t="str">
        <f>IF(MZ3="","",MZ3)</f>
        <v>Fiche CH6/1</v>
      </c>
      <c r="NU3" s="101" t="str">
        <f>IF(NA3="","",NA3)</f>
        <v/>
      </c>
      <c r="NV3" s="176" t="s">
        <v>7</v>
      </c>
      <c r="NW3" s="177"/>
      <c r="NX3" s="102" t="str">
        <f>IF(ND3="","",ND3)</f>
        <v>Eval CH6</v>
      </c>
      <c r="NY3" s="100" t="str">
        <f>IF(NE3="","",NE3)</f>
        <v>Fiche CH7/5</v>
      </c>
      <c r="NZ3" s="216" t="str">
        <f>IF(NF3="","",NF3)</f>
        <v/>
      </c>
      <c r="OA3" s="101" t="str">
        <f>IF(NG3="","",NG3)</f>
        <v/>
      </c>
      <c r="OB3" s="192" t="s">
        <v>8</v>
      </c>
      <c r="OC3" s="193"/>
      <c r="OD3" s="102" t="str">
        <f>IF(NJ3="","",NJ3)</f>
        <v>EC</v>
      </c>
      <c r="OE3" s="100" t="str">
        <f>IF(NK3="","",NK3)</f>
        <v>Fiche CH7/6</v>
      </c>
      <c r="OF3" s="216" t="str">
        <f>IF(NL3="","",NL3)</f>
        <v>Fiche E3/3</v>
      </c>
      <c r="OG3" s="216" t="str">
        <f>IF(NM3="","",NM3)</f>
        <v/>
      </c>
      <c r="OH3" s="216" t="str">
        <f>IF(NN3="","",NN3)</f>
        <v/>
      </c>
      <c r="OI3" s="198" t="s">
        <v>9</v>
      </c>
      <c r="OJ3" s="199"/>
      <c r="OK3" s="200" t="s">
        <v>10</v>
      </c>
      <c r="OL3" s="201"/>
      <c r="OM3" s="99" t="str">
        <f>IF(NS3="","",NS3)</f>
        <v>Eval E2</v>
      </c>
      <c r="ON3" s="100" t="str">
        <f>IF(NT3="","",NT3)</f>
        <v>Fiche CH6/1</v>
      </c>
      <c r="OO3" s="101" t="str">
        <f>IF(NU3="","",NU3)</f>
        <v/>
      </c>
      <c r="OP3" s="176" t="s">
        <v>7</v>
      </c>
      <c r="OQ3" s="177"/>
      <c r="OR3" s="102" t="str">
        <f>IF(NX3="","",NX3)</f>
        <v>Eval CH6</v>
      </c>
      <c r="OS3" s="100" t="str">
        <f>IF(NY3="","",NY3)</f>
        <v>Fiche CH7/5</v>
      </c>
      <c r="OT3" s="216" t="str">
        <f>IF(NZ3="","",NZ3)</f>
        <v/>
      </c>
      <c r="OU3" s="101" t="str">
        <f>IF(OA3="","",OA3)</f>
        <v/>
      </c>
      <c r="OV3" s="192" t="s">
        <v>8</v>
      </c>
      <c r="OW3" s="193"/>
      <c r="OX3" s="102" t="str">
        <f>IF(OD3="","",OD3)</f>
        <v>EC</v>
      </c>
      <c r="OY3" s="100" t="str">
        <f>IF(OE3="","",OE3)</f>
        <v>Fiche CH7/6</v>
      </c>
      <c r="OZ3" s="216" t="str">
        <f>IF(OF3="","",OF3)</f>
        <v>Fiche E3/3</v>
      </c>
      <c r="PA3" s="216" t="str">
        <f>IF(OG3="","",OG3)</f>
        <v/>
      </c>
      <c r="PB3" s="216" t="str">
        <f>IF(OH3="","",OH3)</f>
        <v/>
      </c>
      <c r="PC3" s="198" t="s">
        <v>9</v>
      </c>
      <c r="PD3" s="199"/>
      <c r="PE3" s="200" t="s">
        <v>10</v>
      </c>
      <c r="PF3" s="201"/>
      <c r="PG3" s="99" t="str">
        <f>IF(OM3="","",OM3)</f>
        <v>Eval E2</v>
      </c>
      <c r="PH3" s="100" t="str">
        <f>IF(ON3="","",ON3)</f>
        <v>Fiche CH6/1</v>
      </c>
      <c r="PI3" s="101" t="str">
        <f>IF(OO3="","",OO3)</f>
        <v/>
      </c>
      <c r="PJ3" s="176" t="s">
        <v>7</v>
      </c>
      <c r="PK3" s="177"/>
      <c r="PL3" s="102" t="str">
        <f>IF(OR3="","",OR3)</f>
        <v>Eval CH6</v>
      </c>
      <c r="PM3" s="100" t="str">
        <f>IF(OS3="","",OS3)</f>
        <v>Fiche CH7/5</v>
      </c>
      <c r="PN3" s="216" t="str">
        <f>IF(OT3="","",OT3)</f>
        <v/>
      </c>
      <c r="PO3" s="101" t="str">
        <f>IF(OU3="","",OU3)</f>
        <v/>
      </c>
      <c r="PP3" s="192" t="s">
        <v>8</v>
      </c>
      <c r="PQ3" s="193"/>
      <c r="PR3" s="102" t="str">
        <f>IF(OX3="","",OX3)</f>
        <v>EC</v>
      </c>
      <c r="PS3" s="100" t="str">
        <f>IF(OY3="","",OY3)</f>
        <v>Fiche CH7/6</v>
      </c>
      <c r="PT3" s="216" t="str">
        <f>IF(OZ3="","",OZ3)</f>
        <v>Fiche E3/3</v>
      </c>
      <c r="PU3" s="216" t="str">
        <f>IF(PA3="","",PA3)</f>
        <v/>
      </c>
      <c r="PV3" s="216" t="str">
        <f>IF(PB3="","",PB3)</f>
        <v/>
      </c>
      <c r="PW3" s="198" t="s">
        <v>9</v>
      </c>
      <c r="PX3" s="199"/>
      <c r="PY3" s="200" t="s">
        <v>10</v>
      </c>
      <c r="PZ3" s="201"/>
      <c r="QA3" s="99" t="str">
        <f>IF(PG3="","",PG3)</f>
        <v>Eval E2</v>
      </c>
      <c r="QB3" s="100" t="str">
        <f>IF(PH3="","",PH3)</f>
        <v>Fiche CH6/1</v>
      </c>
      <c r="QC3" s="101" t="str">
        <f>IF(PI3="","",PI3)</f>
        <v/>
      </c>
      <c r="QD3" s="176" t="s">
        <v>7</v>
      </c>
      <c r="QE3" s="177"/>
      <c r="QF3" s="102" t="str">
        <f>IF(PL3="","",PL3)</f>
        <v>Eval CH6</v>
      </c>
      <c r="QG3" s="100" t="str">
        <f>IF(PM3="","",PM3)</f>
        <v>Fiche CH7/5</v>
      </c>
      <c r="QH3" s="216" t="str">
        <f>IF(PN3="","",PN3)</f>
        <v/>
      </c>
      <c r="QI3" s="101" t="str">
        <f>IF(PO3="","",PO3)</f>
        <v/>
      </c>
      <c r="QJ3" s="192" t="s">
        <v>8</v>
      </c>
      <c r="QK3" s="193"/>
      <c r="QL3" s="102" t="str">
        <f>IF(PR3="","",PR3)</f>
        <v>EC</v>
      </c>
      <c r="QM3" s="100" t="str">
        <f>IF(PS3="","",PS3)</f>
        <v>Fiche CH7/6</v>
      </c>
      <c r="QN3" s="216" t="str">
        <f>IF(PT3="","",PT3)</f>
        <v>Fiche E3/3</v>
      </c>
      <c r="QO3" s="216" t="str">
        <f>IF(PU3="","",PU3)</f>
        <v/>
      </c>
      <c r="QP3" s="216" t="str">
        <f>IF(PV3="","",PV3)</f>
        <v/>
      </c>
      <c r="QQ3" s="198" t="s">
        <v>9</v>
      </c>
      <c r="QR3" s="199"/>
      <c r="QS3" s="200" t="s">
        <v>10</v>
      </c>
      <c r="QT3" s="201"/>
      <c r="QU3" s="99" t="str">
        <f>IF(QA3="","",QA3)</f>
        <v>Eval E2</v>
      </c>
      <c r="QV3" s="100" t="str">
        <f>IF(QB3="","",QB3)</f>
        <v>Fiche CH6/1</v>
      </c>
      <c r="QW3" s="101" t="str">
        <f>IF(QC3="","",QC3)</f>
        <v/>
      </c>
      <c r="QX3" s="176" t="s">
        <v>7</v>
      </c>
      <c r="QY3" s="177"/>
      <c r="QZ3" s="102" t="str">
        <f>IF(QF3="","",QF3)</f>
        <v>Eval CH6</v>
      </c>
      <c r="RA3" s="100" t="str">
        <f>IF(QG3="","",QG3)</f>
        <v>Fiche CH7/5</v>
      </c>
      <c r="RB3" s="216" t="str">
        <f>IF(QH3="","",QH3)</f>
        <v/>
      </c>
      <c r="RC3" s="101" t="str">
        <f>IF(QI3="","",QI3)</f>
        <v/>
      </c>
      <c r="RD3" s="192" t="s">
        <v>8</v>
      </c>
      <c r="RE3" s="193"/>
      <c r="RF3" s="102" t="str">
        <f>IF(QL3="","",QL3)</f>
        <v>EC</v>
      </c>
      <c r="RG3" s="100" t="str">
        <f>IF(QM3="","",QM3)</f>
        <v>Fiche CH7/6</v>
      </c>
      <c r="RH3" s="216" t="str">
        <f>IF(QN3="","",QN3)</f>
        <v>Fiche E3/3</v>
      </c>
      <c r="RI3" s="216" t="str">
        <f>IF(QO3="","",QO3)</f>
        <v/>
      </c>
      <c r="RJ3" s="216" t="str">
        <f>IF(QP3="","",QP3)</f>
        <v/>
      </c>
      <c r="RK3" s="198" t="s">
        <v>9</v>
      </c>
      <c r="RL3" s="199"/>
      <c r="RM3" s="200" t="s">
        <v>10</v>
      </c>
      <c r="RN3" s="201"/>
      <c r="RO3" s="99" t="str">
        <f>IF(QU3="","",QU3)</f>
        <v>Eval E2</v>
      </c>
      <c r="RP3" s="100" t="str">
        <f>IF(QV3="","",QV3)</f>
        <v>Fiche CH6/1</v>
      </c>
      <c r="RQ3" s="101" t="str">
        <f>IF(QW3="","",QW3)</f>
        <v/>
      </c>
      <c r="RR3" s="176" t="s">
        <v>7</v>
      </c>
      <c r="RS3" s="177"/>
      <c r="RT3" s="102" t="str">
        <f>IF(QZ3="","",QZ3)</f>
        <v>Eval CH6</v>
      </c>
      <c r="RU3" s="100" t="str">
        <f>IF(RA3="","",RA3)</f>
        <v>Fiche CH7/5</v>
      </c>
      <c r="RV3" s="216" t="str">
        <f>IF(RB3="","",RB3)</f>
        <v/>
      </c>
      <c r="RW3" s="101" t="str">
        <f>IF(RC3="","",RC3)</f>
        <v/>
      </c>
      <c r="RX3" s="192" t="s">
        <v>8</v>
      </c>
      <c r="RY3" s="193"/>
      <c r="RZ3" s="102" t="str">
        <f>IF(RF3="","",RF3)</f>
        <v>EC</v>
      </c>
      <c r="SA3" s="100" t="str">
        <f>IF(RG3="","",RG3)</f>
        <v>Fiche CH7/6</v>
      </c>
      <c r="SB3" s="216" t="str">
        <f>IF(RH3="","",RH3)</f>
        <v>Fiche E3/3</v>
      </c>
      <c r="SC3" s="216" t="str">
        <f>IF(RI3="","",RI3)</f>
        <v/>
      </c>
      <c r="SD3" s="216" t="str">
        <f>IF(RJ3="","",RJ3)</f>
        <v/>
      </c>
      <c r="SE3" s="198" t="s">
        <v>9</v>
      </c>
      <c r="SF3" s="199"/>
      <c r="SG3" s="200" t="s">
        <v>10</v>
      </c>
      <c r="SH3" s="201"/>
      <c r="SI3" s="99" t="str">
        <f>IF(RO3="","",RO3)</f>
        <v>Eval E2</v>
      </c>
      <c r="SJ3" s="100" t="str">
        <f>IF(RP3="","",RP3)</f>
        <v>Fiche CH6/1</v>
      </c>
      <c r="SK3" s="101" t="str">
        <f>IF(RQ3="","",RQ3)</f>
        <v/>
      </c>
      <c r="SL3" s="176" t="s">
        <v>7</v>
      </c>
      <c r="SM3" s="177"/>
      <c r="SN3" s="102" t="str">
        <f>IF(RT3="","",RT3)</f>
        <v>Eval CH6</v>
      </c>
      <c r="SO3" s="100" t="str">
        <f>IF(RU3="","",RU3)</f>
        <v>Fiche CH7/5</v>
      </c>
      <c r="SP3" s="216" t="str">
        <f>IF(RV3="","",RV3)</f>
        <v/>
      </c>
      <c r="SQ3" s="101" t="str">
        <f>IF(RW3="","",RW3)</f>
        <v/>
      </c>
      <c r="SR3" s="192" t="s">
        <v>8</v>
      </c>
      <c r="SS3" s="193"/>
      <c r="ST3" s="102" t="str">
        <f>IF(RZ3="","",RZ3)</f>
        <v>EC</v>
      </c>
      <c r="SU3" s="100" t="str">
        <f>IF(SA3="","",SA3)</f>
        <v>Fiche CH7/6</v>
      </c>
      <c r="SV3" s="216" t="str">
        <f>IF(SB3="","",SB3)</f>
        <v>Fiche E3/3</v>
      </c>
      <c r="SW3" s="216" t="str">
        <f>IF(SC3="","",SC3)</f>
        <v/>
      </c>
      <c r="SX3" s="216" t="str">
        <f>IF(SD3="","",SD3)</f>
        <v/>
      </c>
      <c r="SY3" s="198" t="s">
        <v>9</v>
      </c>
      <c r="SZ3" s="199"/>
      <c r="TA3" s="200" t="s">
        <v>10</v>
      </c>
      <c r="TB3" s="201"/>
      <c r="TC3" s="99" t="str">
        <f>IF(SI3="","",SI3)</f>
        <v>Eval E2</v>
      </c>
      <c r="TD3" s="100" t="str">
        <f>IF(SJ3="","",SJ3)</f>
        <v>Fiche CH6/1</v>
      </c>
      <c r="TE3" s="101" t="str">
        <f>IF(SK3="","",SK3)</f>
        <v/>
      </c>
      <c r="TF3" s="176" t="s">
        <v>7</v>
      </c>
      <c r="TG3" s="177"/>
      <c r="TH3" s="102" t="str">
        <f>IF(SN3="","",SN3)</f>
        <v>Eval CH6</v>
      </c>
      <c r="TI3" s="100" t="str">
        <f>IF(SO3="","",SO3)</f>
        <v>Fiche CH7/5</v>
      </c>
      <c r="TJ3" s="216" t="str">
        <f>IF(SP3="","",SP3)</f>
        <v/>
      </c>
      <c r="TK3" s="101" t="str">
        <f>IF(SQ3="","",SQ3)</f>
        <v/>
      </c>
      <c r="TL3" s="192" t="s">
        <v>8</v>
      </c>
      <c r="TM3" s="193"/>
      <c r="TN3" s="102" t="str">
        <f>IF(ST3="","",ST3)</f>
        <v>EC</v>
      </c>
      <c r="TO3" s="100" t="str">
        <f>IF(SU3="","",SU3)</f>
        <v>Fiche CH7/6</v>
      </c>
      <c r="TP3" s="216" t="str">
        <f>IF(SV3="","",SV3)</f>
        <v>Fiche E3/3</v>
      </c>
      <c r="TQ3" s="216" t="str">
        <f>IF(SW3="","",SW3)</f>
        <v/>
      </c>
      <c r="TR3" s="216" t="str">
        <f>IF(SX3="","",SX3)</f>
        <v/>
      </c>
      <c r="TS3" s="198" t="s">
        <v>9</v>
      </c>
      <c r="TT3" s="199"/>
      <c r="TU3" s="200" t="s">
        <v>10</v>
      </c>
      <c r="TV3" s="201"/>
      <c r="TW3" s="99" t="str">
        <f>IF(TC3="","",TC3)</f>
        <v>Eval E2</v>
      </c>
      <c r="TX3" s="100" t="str">
        <f>IF(TD3="","",TD3)</f>
        <v>Fiche CH6/1</v>
      </c>
      <c r="TY3" s="101" t="str">
        <f>IF(TE3="","",TE3)</f>
        <v/>
      </c>
      <c r="TZ3" s="176" t="s">
        <v>7</v>
      </c>
      <c r="UA3" s="177"/>
      <c r="UB3" s="102" t="str">
        <f>IF(TH3="","",TH3)</f>
        <v>Eval CH6</v>
      </c>
      <c r="UC3" s="100" t="str">
        <f>IF(TI3="","",TI3)</f>
        <v>Fiche CH7/5</v>
      </c>
      <c r="UD3" s="216" t="str">
        <f>IF(TJ3="","",TJ3)</f>
        <v/>
      </c>
      <c r="UE3" s="101" t="str">
        <f>IF(TK3="","",TK3)</f>
        <v/>
      </c>
      <c r="UF3" s="192" t="s">
        <v>8</v>
      </c>
      <c r="UG3" s="193"/>
      <c r="UH3" s="102" t="str">
        <f>IF(TN3="","",TN3)</f>
        <v>EC</v>
      </c>
      <c r="UI3" s="100" t="str">
        <f>IF(TO3="","",TO3)</f>
        <v>Fiche CH7/6</v>
      </c>
      <c r="UJ3" s="216" t="str">
        <f>IF(TP3="","",TP3)</f>
        <v>Fiche E3/3</v>
      </c>
      <c r="UK3" s="216" t="str">
        <f>IF(TQ3="","",TQ3)</f>
        <v/>
      </c>
      <c r="UL3" s="216" t="str">
        <f>IF(TR3="","",TR3)</f>
        <v/>
      </c>
      <c r="UM3" s="198" t="s">
        <v>9</v>
      </c>
      <c r="UN3" s="199"/>
      <c r="UO3" s="200" t="s">
        <v>10</v>
      </c>
      <c r="UP3" s="201"/>
      <c r="UQ3" s="99" t="str">
        <f>IF(TW3="","",TW3)</f>
        <v>Eval E2</v>
      </c>
      <c r="UR3" s="100" t="str">
        <f>IF(TX3="","",TX3)</f>
        <v>Fiche CH6/1</v>
      </c>
      <c r="US3" s="101" t="str">
        <f>IF(TY3="","",TY3)</f>
        <v/>
      </c>
      <c r="UT3" s="90" t="s">
        <v>7</v>
      </c>
      <c r="UU3" s="91"/>
      <c r="UV3" s="102" t="str">
        <f>IF(UB3="","",UB3)</f>
        <v>Eval CH6</v>
      </c>
      <c r="UW3" s="100" t="str">
        <f>IF(UC3="","",UC3)</f>
        <v>Fiche CH7/5</v>
      </c>
      <c r="UX3" s="101" t="str">
        <f>IF(UE3="","",UE3)</f>
        <v/>
      </c>
      <c r="UY3" s="93" t="s">
        <v>8</v>
      </c>
      <c r="UZ3" s="94"/>
      <c r="VA3" s="102" t="str">
        <f>IF(UH3="","",UH3)</f>
        <v>EC</v>
      </c>
      <c r="VB3" s="100" t="str">
        <f>IF(UI3="","",UI3)</f>
        <v>Fiche CH7/6</v>
      </c>
      <c r="VC3" s="101" t="e">
        <f>IF(#REF!="","",#REF!)</f>
        <v>#REF!</v>
      </c>
      <c r="VD3" s="95" t="s">
        <v>9</v>
      </c>
      <c r="VE3" s="96"/>
      <c r="VF3" s="97" t="s">
        <v>10</v>
      </c>
      <c r="VG3" s="98"/>
      <c r="VH3" s="99" t="str">
        <f>IF(UQ3="","",UQ3)</f>
        <v>Eval E2</v>
      </c>
      <c r="VI3" s="100" t="str">
        <f>IF(UR3="","",UR3)</f>
        <v>Fiche CH6/1</v>
      </c>
      <c r="VJ3" s="101" t="str">
        <f>IF(US3="","",US3)</f>
        <v/>
      </c>
      <c r="VK3" s="90" t="s">
        <v>7</v>
      </c>
      <c r="VL3" s="91"/>
      <c r="VM3" s="102" t="str">
        <f>IF(UV3="","",UV3)</f>
        <v>Eval CH6</v>
      </c>
      <c r="VN3" s="100" t="str">
        <f>IF(UW3="","",UW3)</f>
        <v>Fiche CH7/5</v>
      </c>
      <c r="VO3" s="101" t="str">
        <f>IF(UX3="","",UX3)</f>
        <v/>
      </c>
      <c r="VP3" s="93" t="s">
        <v>8</v>
      </c>
      <c r="VQ3" s="94"/>
      <c r="VR3" s="102" t="str">
        <f>IF(VA3="","",VA3)</f>
        <v>EC</v>
      </c>
      <c r="VS3" s="100" t="str">
        <f>IF(VB3="","",VB3)</f>
        <v>Fiche CH7/6</v>
      </c>
      <c r="VT3" s="101" t="e">
        <f>IF(VC3="","",VC3)</f>
        <v>#REF!</v>
      </c>
      <c r="VU3" s="95" t="s">
        <v>9</v>
      </c>
      <c r="VV3" s="96"/>
      <c r="VW3" s="97" t="s">
        <v>10</v>
      </c>
      <c r="VX3" s="98"/>
    </row>
    <row r="4" spans="1:596" s="115" customFormat="1" ht="30" customHeight="1" thickBot="1" x14ac:dyDescent="0.6">
      <c r="A4" s="164" t="s">
        <v>11</v>
      </c>
      <c r="B4" s="103">
        <v>2</v>
      </c>
      <c r="C4" s="225"/>
      <c r="D4" s="85"/>
      <c r="E4" s="105"/>
      <c r="F4" s="178">
        <f>IF(COUNT(F5:F9)=0,"",SUM(F5:F9)/COUNT(F5:F9))</f>
        <v>3</v>
      </c>
      <c r="G4" s="179" t="str">
        <f t="shared" ref="G4:G21" si="0">IF(F4="","",IF(F4&gt;3.7,"A",IF(F4&gt;2.8,"B",IF(F4&gt;1.5,"C",IF(F4&gt;0,"D",IF(F4=0,""))))))</f>
        <v>B</v>
      </c>
      <c r="H4" s="225"/>
      <c r="I4" s="85"/>
      <c r="J4" s="85"/>
      <c r="K4" s="105"/>
      <c r="L4" s="178">
        <f>IF(COUNT(L5:L9)=0,"",SUM(L5:L9)/COUNT(L5:L9))</f>
        <v>3.1666666666666665</v>
      </c>
      <c r="M4" s="194" t="str">
        <f t="shared" ref="M4:M21" si="1">IF(L4="","",IF(L4&gt;3.7,"A",IF(L4&gt;2.8,"B",IF(L4&gt;1.5,"C",IF(L4&gt;0,"D",IF(L4=0,""))))))</f>
        <v>B</v>
      </c>
      <c r="N4" s="172"/>
      <c r="O4" s="110"/>
      <c r="P4" s="110"/>
      <c r="Q4" s="110"/>
      <c r="R4" s="110"/>
      <c r="S4" s="178">
        <f>IF(COUNT(S5:S9)=0,"",SUM(S5:S9)/COUNT(S5:S9))</f>
        <v>3</v>
      </c>
      <c r="T4" s="202" t="str">
        <f t="shared" ref="T4:T21" si="2">IF(S4="","",IF(S4&gt;3.7,"A",IF(S4&gt;2.8,"B",IF(S4&gt;1.5,"C",IF(S4&gt;0,"D",IF(S4=0,""))))))</f>
        <v>B</v>
      </c>
      <c r="U4" s="203">
        <f>IF(COUNT(U5:U9)=0,"",SUM(U5:U9)/COUNT(U5:U9))</f>
        <v>3.1041666666666665</v>
      </c>
      <c r="V4" s="204" t="str">
        <f t="shared" ref="V4:V21" si="3">IF(U4="","",IF(U4&gt;3.7,"A",IF(U4&gt;2.8,"B",IF(U4&gt;1.5,"C",IF(U4&gt;0,"D",IF(U4=0,""))))))</f>
        <v>B</v>
      </c>
      <c r="W4" s="225"/>
      <c r="X4" s="85"/>
      <c r="Y4" s="105"/>
      <c r="Z4" s="178">
        <f>IF(COUNT(Z5:Z9)=0,"",SUM(Z5:Z9)/COUNT(Z5:Z9))</f>
        <v>2.6666666666666665</v>
      </c>
      <c r="AA4" s="179" t="str">
        <f t="shared" ref="AA4:AA21" si="4">IF(Z4="","",IF(Z4&gt;3.7,"A",IF(Z4&gt;2.8,"B",IF(Z4&gt;1.5,"C",IF(Z4&gt;0,"D",IF(Z4=0,""))))))</f>
        <v>C</v>
      </c>
      <c r="AB4" s="225"/>
      <c r="AC4" s="85"/>
      <c r="AD4" s="85"/>
      <c r="AE4" s="105"/>
      <c r="AF4" s="178">
        <f>IF(COUNT(AF5:AF9)=0,"",SUM(AF5:AF9)/COUNT(AF5:AF9))</f>
        <v>2.3333333333333335</v>
      </c>
      <c r="AG4" s="194" t="str">
        <f t="shared" ref="AG4:AG21" si="5">IF(AF4="","",IF(AF4&gt;3.7,"A",IF(AF4&gt;2.8,"B",IF(AF4&gt;1.5,"C",IF(AF4&gt;0,"D",IF(AF4=0,""))))))</f>
        <v>C</v>
      </c>
      <c r="AH4" s="172"/>
      <c r="AI4" s="110"/>
      <c r="AJ4" s="110"/>
      <c r="AK4" s="110"/>
      <c r="AL4" s="110"/>
      <c r="AM4" s="178">
        <f>IF(COUNT(AM5:AM9)=0,"",SUM(AM5:AM9)/COUNT(AM5:AM9))</f>
        <v>3.1666666666666665</v>
      </c>
      <c r="AN4" s="202" t="str">
        <f t="shared" ref="AN4:AN21" si="6">IF(AM4="","",IF(AM4&gt;3.7,"A",IF(AM4&gt;2.8,"B",IF(AM4&gt;1.5,"C",IF(AM4&gt;0,"D",IF(AM4=0,""))))))</f>
        <v>B</v>
      </c>
      <c r="AO4" s="203">
        <f>IF(COUNT(AO5:AO9)=0,"",SUM(AO5:AO9)/COUNT(AO5:AO9))</f>
        <v>2.8125</v>
      </c>
      <c r="AP4" s="204" t="str">
        <f t="shared" ref="AP4:AP21" si="7">IF(AO4="","",IF(AO4&gt;3.7,"A",IF(AO4&gt;2.8,"B",IF(AO4&gt;1.5,"C",IF(AO4&gt;0,"D",IF(AO4=0,""))))))</f>
        <v>B</v>
      </c>
      <c r="AQ4" s="225"/>
      <c r="AR4" s="85"/>
      <c r="AS4" s="105"/>
      <c r="AT4" s="178">
        <f>IF(COUNT(AT5:AT9)=0,"",SUM(AT5:AT9)/COUNT(AT5:AT9))</f>
        <v>3</v>
      </c>
      <c r="AU4" s="179" t="str">
        <f t="shared" ref="AU4:AU21" si="8">IF(AT4="","",IF(AT4&gt;3.7,"A",IF(AT4&gt;2.8,"B",IF(AT4&gt;1.5,"C",IF(AT4&gt;0,"D",IF(AT4=0,""))))))</f>
        <v>B</v>
      </c>
      <c r="AV4" s="225"/>
      <c r="AW4" s="85"/>
      <c r="AX4" s="85"/>
      <c r="AY4" s="105"/>
      <c r="AZ4" s="178">
        <f>IF(COUNT(AZ5:AZ9)=0,"",SUM(AZ5:AZ9)/COUNT(AZ5:AZ9))</f>
        <v>3.1666666666666665</v>
      </c>
      <c r="BA4" s="194" t="str">
        <f t="shared" ref="BA4:BA21" si="9">IF(AZ4="","",IF(AZ4&gt;3.7,"A",IF(AZ4&gt;2.8,"B",IF(AZ4&gt;1.5,"C",IF(AZ4&gt;0,"D",IF(AZ4=0,""))))))</f>
        <v>B</v>
      </c>
      <c r="BB4" s="172"/>
      <c r="BC4" s="110"/>
      <c r="BD4" s="110"/>
      <c r="BE4" s="110"/>
      <c r="BF4" s="110"/>
      <c r="BG4" s="178">
        <f>IF(COUNT(BG5:BG9)=0,"",SUM(BG5:BG9)/COUNT(BG5:BG9))</f>
        <v>2.5</v>
      </c>
      <c r="BH4" s="202" t="str">
        <f t="shared" ref="BH4:BH21" si="10">IF(BG4="","",IF(BG4&gt;3.7,"A",IF(BG4&gt;2.8,"B",IF(BG4&gt;1.5,"C",IF(BG4&gt;0,"D",IF(BG4=0,""))))))</f>
        <v>C</v>
      </c>
      <c r="BI4" s="203">
        <f>IF(COUNT(BI5:BI9)=0,"",SUM(BI5:BI9)/COUNT(BI5:BI9))</f>
        <v>2.9583333333333335</v>
      </c>
      <c r="BJ4" s="204" t="str">
        <f t="shared" ref="BJ4:BJ21" si="11">IF(BI4="","",IF(BI4&gt;3.7,"A",IF(BI4&gt;2.8,"B",IF(BI4&gt;1.5,"C",IF(BI4&gt;0,"D",IF(BI4=0,""))))))</f>
        <v>B</v>
      </c>
      <c r="BK4" s="225"/>
      <c r="BL4" s="85"/>
      <c r="BM4" s="105"/>
      <c r="BN4" s="178">
        <f>IF(COUNT(BN5:BN9)=0,"",SUM(BN5:BN9)/COUNT(BN5:BN9))</f>
        <v>2.6666666666666665</v>
      </c>
      <c r="BO4" s="179" t="str">
        <f t="shared" ref="BO4:BO21" si="12">IF(BN4="","",IF(BN4&gt;3.7,"A",IF(BN4&gt;2.8,"B",IF(BN4&gt;1.5,"C",IF(BN4&gt;0,"D",IF(BN4=0,""))))))</f>
        <v>C</v>
      </c>
      <c r="BP4" s="225"/>
      <c r="BQ4" s="85"/>
      <c r="BR4" s="85"/>
      <c r="BS4" s="105"/>
      <c r="BT4" s="178">
        <f>IF(COUNT(BT5:BT9)=0,"",SUM(BT5:BT9)/COUNT(BT5:BT9))</f>
        <v>3.5</v>
      </c>
      <c r="BU4" s="194" t="str">
        <f t="shared" ref="BU4:BU21" si="13">IF(BT4="","",IF(BT4&gt;3.7,"A",IF(BT4&gt;2.8,"B",IF(BT4&gt;1.5,"C",IF(BT4&gt;0,"D",IF(BT4=0,""))))))</f>
        <v>B</v>
      </c>
      <c r="BV4" s="172"/>
      <c r="BW4" s="110"/>
      <c r="BX4" s="110"/>
      <c r="BY4" s="110"/>
      <c r="BZ4" s="110"/>
      <c r="CA4" s="178">
        <f>IF(COUNT(CA5:CA9)=0,"",SUM(CA5:CA9)/COUNT(CA5:CA9))</f>
        <v>3.3333333333333335</v>
      </c>
      <c r="CB4" s="202" t="str">
        <f t="shared" ref="CB4:CB21" si="14">IF(CA4="","",IF(CA4&gt;3.7,"A",IF(CA4&gt;2.8,"B",IF(CA4&gt;1.5,"C",IF(CA4&gt;0,"D",IF(CA4=0,""))))))</f>
        <v>B</v>
      </c>
      <c r="CC4" s="203">
        <f>IF(COUNT(CC5:CC9)=0,"",SUM(CC5:CC9)/COUNT(CC5:CC9))</f>
        <v>3.2083333333333335</v>
      </c>
      <c r="CD4" s="204" t="str">
        <f t="shared" ref="CD4:CD21" si="15">IF(CC4="","",IF(CC4&gt;3.7,"A",IF(CC4&gt;2.8,"B",IF(CC4&gt;1.5,"C",IF(CC4&gt;0,"D",IF(CC4=0,""))))))</f>
        <v>B</v>
      </c>
      <c r="CE4" s="225"/>
      <c r="CF4" s="85"/>
      <c r="CG4" s="105"/>
      <c r="CH4" s="178">
        <f>IF(COUNT(CH5:CH9)=0,"",SUM(CH5:CH9)/COUNT(CH5:CH9))</f>
        <v>2.3333333333333335</v>
      </c>
      <c r="CI4" s="179" t="str">
        <f t="shared" ref="CI4:CI21" si="16">IF(CH4="","",IF(CH4&gt;3.7,"A",IF(CH4&gt;2.8,"B",IF(CH4&gt;1.5,"C",IF(CH4&gt;0,"D",IF(CH4=0,""))))))</f>
        <v>C</v>
      </c>
      <c r="CJ4" s="225"/>
      <c r="CK4" s="85"/>
      <c r="CL4" s="85"/>
      <c r="CM4" s="105"/>
      <c r="CN4" s="178">
        <f>IF(COUNT(CN5:CN9)=0,"",SUM(CN5:CN9)/COUNT(CN5:CN9))</f>
        <v>3</v>
      </c>
      <c r="CO4" s="194" t="str">
        <f t="shared" ref="CO4:CO21" si="17">IF(CN4="","",IF(CN4&gt;3.7,"A",IF(CN4&gt;2.8,"B",IF(CN4&gt;1.5,"C",IF(CN4&gt;0,"D",IF(CN4=0,""))))))</f>
        <v>B</v>
      </c>
      <c r="CP4" s="172"/>
      <c r="CQ4" s="110"/>
      <c r="CR4" s="110"/>
      <c r="CS4" s="110"/>
      <c r="CT4" s="110"/>
      <c r="CU4" s="178">
        <f>IF(COUNT(CU5:CU9)=0,"",SUM(CU5:CU9)/COUNT(CU5:CU9))</f>
        <v>2.3333333333333335</v>
      </c>
      <c r="CV4" s="202" t="str">
        <f t="shared" ref="CV4:CV21" si="18">IF(CU4="","",IF(CU4&gt;3.7,"A",IF(CU4&gt;2.8,"B",IF(CU4&gt;1.5,"C",IF(CU4&gt;0,"D",IF(CU4=0,""))))))</f>
        <v>C</v>
      </c>
      <c r="CW4" s="203">
        <f>IF(COUNT(CW5:CW9)=0,"",SUM(CW5:CW9)/COUNT(CW5:CW9))</f>
        <v>2.5833333333333335</v>
      </c>
      <c r="CX4" s="204" t="str">
        <f t="shared" ref="CX4:CX21" si="19">IF(CW4="","",IF(CW4&gt;3.7,"A",IF(CW4&gt;2.8,"B",IF(CW4&gt;1.5,"C",IF(CW4&gt;0,"D",IF(CW4=0,""))))))</f>
        <v>C</v>
      </c>
      <c r="CY4" s="225"/>
      <c r="CZ4" s="85"/>
      <c r="DA4" s="105"/>
      <c r="DB4" s="178">
        <f>IF(COUNT(DB5:DB9)=0,"",SUM(DB5:DB9)/COUNT(DB5:DB9))</f>
        <v>2.6666666666666665</v>
      </c>
      <c r="DC4" s="179" t="str">
        <f t="shared" ref="DC4:DC21" si="20">IF(DB4="","",IF(DB4&gt;3.7,"A",IF(DB4&gt;2.8,"B",IF(DB4&gt;1.5,"C",IF(DB4&gt;0,"D",IF(DB4=0,""))))))</f>
        <v>C</v>
      </c>
      <c r="DD4" s="225"/>
      <c r="DE4" s="85"/>
      <c r="DF4" s="85"/>
      <c r="DG4" s="105"/>
      <c r="DH4" s="178">
        <f>IF(COUNT(DH5:DH9)=0,"",SUM(DH5:DH9)/COUNT(DH5:DH9))</f>
        <v>2.8333333333333335</v>
      </c>
      <c r="DI4" s="194" t="str">
        <f t="shared" ref="DI4:DI21" si="21">IF(DH4="","",IF(DH4&gt;3.7,"A",IF(DH4&gt;2.8,"B",IF(DH4&gt;1.5,"C",IF(DH4&gt;0,"D",IF(DH4=0,""))))))</f>
        <v>B</v>
      </c>
      <c r="DJ4" s="172"/>
      <c r="DK4" s="110"/>
      <c r="DL4" s="110"/>
      <c r="DM4" s="110"/>
      <c r="DN4" s="110"/>
      <c r="DO4" s="178">
        <f>IF(COUNT(DO5:DO9)=0,"",SUM(DO5:DO9)/COUNT(DO5:DO9))</f>
        <v>2.8333333333333335</v>
      </c>
      <c r="DP4" s="202" t="str">
        <f t="shared" ref="DP4:DP21" si="22">IF(DO4="","",IF(DO4&gt;3.7,"A",IF(DO4&gt;2.8,"B",IF(DO4&gt;1.5,"C",IF(DO4&gt;0,"D",IF(DO4=0,""))))))</f>
        <v>B</v>
      </c>
      <c r="DQ4" s="203">
        <f>IF(COUNT(DQ5:DQ9)=0,"",SUM(DQ5:DQ9)/COUNT(DQ5:DQ9))</f>
        <v>2.8958333333333335</v>
      </c>
      <c r="DR4" s="204" t="str">
        <f t="shared" ref="DR4:DR21" si="23">IF(DQ4="","",IF(DQ4&gt;3.7,"A",IF(DQ4&gt;2.8,"B",IF(DQ4&gt;1.5,"C",IF(DQ4&gt;0,"D",IF(DQ4=0,""))))))</f>
        <v>B</v>
      </c>
      <c r="DS4" s="225"/>
      <c r="DT4" s="85"/>
      <c r="DU4" s="105"/>
      <c r="DV4" s="178">
        <f>IF(COUNT(DV5:DV9)=0,"",SUM(DV5:DV9)/COUNT(DV5:DV9))</f>
        <v>1.3333333333333333</v>
      </c>
      <c r="DW4" s="179" t="str">
        <f t="shared" ref="DW4:DW21" si="24">IF(DV4="","",IF(DV4&gt;3.7,"A",IF(DV4&gt;2.8,"B",IF(DV4&gt;1.5,"C",IF(DV4&gt;0,"D",IF(DV4=0,""))))))</f>
        <v>D</v>
      </c>
      <c r="DX4" s="225"/>
      <c r="DY4" s="85"/>
      <c r="DZ4" s="85"/>
      <c r="EA4" s="105"/>
      <c r="EB4" s="178">
        <f>IF(COUNT(EB5:EB9)=0,"",SUM(EB5:EB9)/COUNT(EB5:EB9))</f>
        <v>2.5</v>
      </c>
      <c r="EC4" s="194" t="str">
        <f t="shared" ref="EC4:EC21" si="25">IF(EB4="","",IF(EB4&gt;3.7,"A",IF(EB4&gt;2.8,"B",IF(EB4&gt;1.5,"C",IF(EB4&gt;0,"D",IF(EB4=0,""))))))</f>
        <v>C</v>
      </c>
      <c r="ED4" s="172"/>
      <c r="EE4" s="110"/>
      <c r="EF4" s="110"/>
      <c r="EG4" s="110"/>
      <c r="EH4" s="110"/>
      <c r="EI4" s="178">
        <f>IF(COUNT(EI5:EI9)=0,"",SUM(EI5:EI9)/COUNT(EI5:EI9))</f>
        <v>2.6666666666666665</v>
      </c>
      <c r="EJ4" s="202" t="str">
        <f t="shared" ref="EJ4:EJ21" si="26">IF(EI4="","",IF(EI4&gt;3.7,"A",IF(EI4&gt;2.8,"B",IF(EI4&gt;1.5,"C",IF(EI4&gt;0,"D",IF(EI4=0,""))))))</f>
        <v>C</v>
      </c>
      <c r="EK4" s="203">
        <f>IF(COUNT(EK5:EK9)=0,"",SUM(EK5:EK9)/COUNT(EK5:EK9))</f>
        <v>2.2291666666666665</v>
      </c>
      <c r="EL4" s="204" t="str">
        <f t="shared" ref="EL4:EL21" si="27">IF(EK4="","",IF(EK4&gt;3.7,"A",IF(EK4&gt;2.8,"B",IF(EK4&gt;1.5,"C",IF(EK4&gt;0,"D",IF(EK4=0,""))))))</f>
        <v>C</v>
      </c>
      <c r="EM4" s="225"/>
      <c r="EN4" s="85"/>
      <c r="EO4" s="105"/>
      <c r="EP4" s="178">
        <f>IF(COUNT(EP5:EP9)=0,"",SUM(EP5:EP9)/COUNT(EP5:EP9))</f>
        <v>2.6666666666666665</v>
      </c>
      <c r="EQ4" s="179" t="str">
        <f t="shared" ref="EQ4:EQ21" si="28">IF(EP4="","",IF(EP4&gt;3.7,"A",IF(EP4&gt;2.8,"B",IF(EP4&gt;1.5,"C",IF(EP4&gt;0,"D",IF(EP4=0,""))))))</f>
        <v>C</v>
      </c>
      <c r="ER4" s="225"/>
      <c r="ES4" s="85"/>
      <c r="ET4" s="85"/>
      <c r="EU4" s="105"/>
      <c r="EV4" s="178">
        <f>IF(COUNT(EV5:EV9)=0,"",SUM(EV5:EV9)/COUNT(EV5:EV9))</f>
        <v>4</v>
      </c>
      <c r="EW4" s="194" t="str">
        <f t="shared" ref="EW4:EW21" si="29">IF(EV4="","",IF(EV4&gt;3.7,"A",IF(EV4&gt;2.8,"B",IF(EV4&gt;1.5,"C",IF(EV4&gt;0,"D",IF(EV4=0,""))))))</f>
        <v>A</v>
      </c>
      <c r="EX4" s="172"/>
      <c r="EY4" s="110"/>
      <c r="EZ4" s="110"/>
      <c r="FA4" s="110"/>
      <c r="FB4" s="110"/>
      <c r="FC4" s="178">
        <f>IF(COUNT(FC5:FC9)=0,"",SUM(FC5:FC9)/COUNT(FC5:FC9))</f>
        <v>2.6666666666666665</v>
      </c>
      <c r="FD4" s="202" t="str">
        <f t="shared" ref="FD4:FD21" si="30">IF(FC4="","",IF(FC4&gt;3.7,"A",IF(FC4&gt;2.8,"B",IF(FC4&gt;1.5,"C",IF(FC4&gt;0,"D",IF(FC4=0,""))))))</f>
        <v>C</v>
      </c>
      <c r="FE4" s="203">
        <f>IF(COUNT(FE5:FE9)=0,"",SUM(FE5:FE9)/COUNT(FE5:FE9))</f>
        <v>3</v>
      </c>
      <c r="FF4" s="204" t="str">
        <f t="shared" ref="FF4:FF21" si="31">IF(FE4="","",IF(FE4&gt;3.7,"A",IF(FE4&gt;2.8,"B",IF(FE4&gt;1.5,"C",IF(FE4&gt;0,"D",IF(FE4=0,""))))))</f>
        <v>B</v>
      </c>
      <c r="FG4" s="225"/>
      <c r="FH4" s="85"/>
      <c r="FI4" s="105"/>
      <c r="FJ4" s="178">
        <f>IF(COUNT(FJ5:FJ9)=0,"",SUM(FJ5:FJ9)/COUNT(FJ5:FJ9))</f>
        <v>1.6666666666666667</v>
      </c>
      <c r="FK4" s="179" t="str">
        <f t="shared" ref="FK4:FK21" si="32">IF(FJ4="","",IF(FJ4&gt;3.7,"A",IF(FJ4&gt;2.8,"B",IF(FJ4&gt;1.5,"C",IF(FJ4&gt;0,"D",IF(FJ4=0,""))))))</f>
        <v>C</v>
      </c>
      <c r="FL4" s="225"/>
      <c r="FM4" s="85"/>
      <c r="FN4" s="85"/>
      <c r="FO4" s="105"/>
      <c r="FP4" s="178">
        <f>IF(COUNT(FP5:FP9)=0,"",SUM(FP5:FP9)/COUNT(FP5:FP9))</f>
        <v>2.3333333333333335</v>
      </c>
      <c r="FQ4" s="194" t="str">
        <f t="shared" ref="FQ4:FQ21" si="33">IF(FP4="","",IF(FP4&gt;3.7,"A",IF(FP4&gt;2.8,"B",IF(FP4&gt;1.5,"C",IF(FP4&gt;0,"D",IF(FP4=0,""))))))</f>
        <v>C</v>
      </c>
      <c r="FR4" s="172"/>
      <c r="FS4" s="110"/>
      <c r="FT4" s="110"/>
      <c r="FU4" s="110"/>
      <c r="FV4" s="110"/>
      <c r="FW4" s="178">
        <f>IF(COUNT(FW5:FW9)=0,"",SUM(FW5:FW9)/COUNT(FW5:FW9))</f>
        <v>2</v>
      </c>
      <c r="FX4" s="202" t="str">
        <f t="shared" ref="FX4:FX21" si="34">IF(FW4="","",IF(FW4&gt;3.7,"A",IF(FW4&gt;2.8,"B",IF(FW4&gt;1.5,"C",IF(FW4&gt;0,"D",IF(FW4=0,""))))))</f>
        <v>C</v>
      </c>
      <c r="FY4" s="203">
        <f>IF(COUNT(FY5:FY9)=0,"",SUM(FY5:FY9)/COUNT(FY5:FY9))</f>
        <v>1.9791666666666665</v>
      </c>
      <c r="FZ4" s="204" t="str">
        <f t="shared" ref="FZ4:FZ21" si="35">IF(FY4="","",IF(FY4&gt;3.7,"A",IF(FY4&gt;2.8,"B",IF(FY4&gt;1.5,"C",IF(FY4&gt;0,"D",IF(FY4=0,""))))))</f>
        <v>C</v>
      </c>
      <c r="GA4" s="225"/>
      <c r="GB4" s="85"/>
      <c r="GC4" s="105"/>
      <c r="GD4" s="178">
        <f>IF(COUNT(GD5:GD9)=0,"",SUM(GD5:GD9)/COUNT(GD5:GD9))</f>
        <v>3.3333333333333335</v>
      </c>
      <c r="GE4" s="179" t="str">
        <f t="shared" ref="GE4:GE21" si="36">IF(GD4="","",IF(GD4&gt;3.7,"A",IF(GD4&gt;2.8,"B",IF(GD4&gt;1.5,"C",IF(GD4&gt;0,"D",IF(GD4=0,""))))))</f>
        <v>B</v>
      </c>
      <c r="GF4" s="225"/>
      <c r="GG4" s="85"/>
      <c r="GH4" s="85"/>
      <c r="GI4" s="105"/>
      <c r="GJ4" s="178">
        <f>IF(COUNT(GJ5:GJ9)=0,"",SUM(GJ5:GJ9)/COUNT(GJ5:GJ9))</f>
        <v>3.5</v>
      </c>
      <c r="GK4" s="194" t="str">
        <f t="shared" ref="GK4:GK21" si="37">IF(GJ4="","",IF(GJ4&gt;3.7,"A",IF(GJ4&gt;2.8,"B",IF(GJ4&gt;1.5,"C",IF(GJ4&gt;0,"D",IF(GJ4=0,""))))))</f>
        <v>B</v>
      </c>
      <c r="GL4" s="172"/>
      <c r="GM4" s="110"/>
      <c r="GN4" s="110"/>
      <c r="GO4" s="110"/>
      <c r="GP4" s="110"/>
      <c r="GQ4" s="178">
        <f>IF(COUNT(GQ5:GQ9)=0,"",SUM(GQ5:GQ9)/COUNT(GQ5:GQ9))</f>
        <v>3.3333333333333335</v>
      </c>
      <c r="GR4" s="202" t="str">
        <f t="shared" ref="GR4:GR21" si="38">IF(GQ4="","",IF(GQ4&gt;3.7,"A",IF(GQ4&gt;2.8,"B",IF(GQ4&gt;1.5,"C",IF(GQ4&gt;0,"D",IF(GQ4=0,""))))))</f>
        <v>B</v>
      </c>
      <c r="GS4" s="203">
        <f>IF(COUNT(GS5:GS9)=0,"",SUM(GS5:GS9)/COUNT(GS5:GS9))</f>
        <v>3.4166666666666665</v>
      </c>
      <c r="GT4" s="204" t="str">
        <f t="shared" ref="GT4:GT21" si="39">IF(GS4="","",IF(GS4&gt;3.7,"A",IF(GS4&gt;2.8,"B",IF(GS4&gt;1.5,"C",IF(GS4&gt;0,"D",IF(GS4=0,""))))))</f>
        <v>B</v>
      </c>
      <c r="GU4" s="225"/>
      <c r="GV4" s="85"/>
      <c r="GW4" s="105"/>
      <c r="GX4" s="178">
        <f>IF(COUNT(GX5:GX9)=0,"",SUM(GX5:GX9)/COUNT(GX5:GX9))</f>
        <v>1.3333333333333333</v>
      </c>
      <c r="GY4" s="179" t="str">
        <f t="shared" ref="GY4:GY21" si="40">IF(GX4="","",IF(GX4&gt;3.7,"A",IF(GX4&gt;2.8,"B",IF(GX4&gt;1.5,"C",IF(GX4&gt;0,"D",IF(GX4=0,""))))))</f>
        <v>D</v>
      </c>
      <c r="GZ4" s="225"/>
      <c r="HA4" s="85"/>
      <c r="HB4" s="85"/>
      <c r="HC4" s="105"/>
      <c r="HD4" s="178">
        <f>IF(COUNT(HD5:HD9)=0,"",SUM(HD5:HD9)/COUNT(HD5:HD9))</f>
        <v>3</v>
      </c>
      <c r="HE4" s="194" t="str">
        <f t="shared" ref="HE4:HE21" si="41">IF(HD4="","",IF(HD4&gt;3.7,"A",IF(HD4&gt;2.8,"B",IF(HD4&gt;1.5,"C",IF(HD4&gt;0,"D",IF(HD4=0,""))))))</f>
        <v>B</v>
      </c>
      <c r="HF4" s="172"/>
      <c r="HG4" s="110"/>
      <c r="HH4" s="110"/>
      <c r="HI4" s="110"/>
      <c r="HJ4" s="110"/>
      <c r="HK4" s="178">
        <f>IF(COUNT(HK5:HK9)=0,"",SUM(HK5:HK9)/COUNT(HK5:HK9))</f>
        <v>2.6666666666666665</v>
      </c>
      <c r="HL4" s="202" t="str">
        <f t="shared" ref="HL4:HL21" si="42">IF(HK4="","",IF(HK4&gt;3.7,"A",IF(HK4&gt;2.8,"B",IF(HK4&gt;1.5,"C",IF(HK4&gt;0,"D",IF(HK4=0,""))))))</f>
        <v>C</v>
      </c>
      <c r="HM4" s="203">
        <f>IF(COUNT(HM5:HM9)=0,"",SUM(HM5:HM9)/COUNT(HM5:HM9))</f>
        <v>2.25</v>
      </c>
      <c r="HN4" s="204" t="str">
        <f t="shared" ref="HN4:HN21" si="43">IF(HM4="","",IF(HM4&gt;3.7,"A",IF(HM4&gt;2.8,"B",IF(HM4&gt;1.5,"C",IF(HM4&gt;0,"D",IF(HM4=0,""))))))</f>
        <v>C</v>
      </c>
      <c r="HO4" s="225"/>
      <c r="HP4" s="85"/>
      <c r="HQ4" s="105"/>
      <c r="HR4" s="178">
        <f>IF(COUNT(HR5:HR9)=0,"",SUM(HR5:HR9)/COUNT(HR5:HR9))</f>
        <v>2.3333333333333335</v>
      </c>
      <c r="HS4" s="179" t="str">
        <f t="shared" ref="HS4:HS21" si="44">IF(HR4="","",IF(HR4&gt;3.7,"A",IF(HR4&gt;2.8,"B",IF(HR4&gt;1.5,"C",IF(HR4&gt;0,"D",IF(HR4=0,""))))))</f>
        <v>C</v>
      </c>
      <c r="HT4" s="225"/>
      <c r="HU4" s="85"/>
      <c r="HV4" s="85"/>
      <c r="HW4" s="105"/>
      <c r="HX4" s="178">
        <f>IF(COUNT(HX5:HX9)=0,"",SUM(HX5:HX9)/COUNT(HX5:HX9))</f>
        <v>3.6666666666666665</v>
      </c>
      <c r="HY4" s="194" t="str">
        <f t="shared" ref="HY4:HY21" si="45">IF(HX4="","",IF(HX4&gt;3.7,"A",IF(HX4&gt;2.8,"B",IF(HX4&gt;1.5,"C",IF(HX4&gt;0,"D",IF(HX4=0,""))))))</f>
        <v>B</v>
      </c>
      <c r="HZ4" s="172"/>
      <c r="IA4" s="110"/>
      <c r="IB4" s="110"/>
      <c r="IC4" s="110"/>
      <c r="ID4" s="110"/>
      <c r="IE4" s="178">
        <f>IF(COUNT(IE5:IE9)=0,"",SUM(IE5:IE9)/COUNT(IE5:IE9))</f>
        <v>3.5</v>
      </c>
      <c r="IF4" s="202" t="str">
        <f t="shared" ref="IF4:IF21" si="46">IF(IE4="","",IF(IE4&gt;3.7,"A",IF(IE4&gt;2.8,"B",IF(IE4&gt;1.5,"C",IF(IE4&gt;0,"D",IF(IE4=0,""))))))</f>
        <v>B</v>
      </c>
      <c r="IG4" s="203">
        <f>IF(COUNT(IG5:IG9)=0,"",SUM(IG5:IG9)/COUNT(IG5:IG9))</f>
        <v>3.2291666666666665</v>
      </c>
      <c r="IH4" s="204" t="str">
        <f t="shared" ref="IH4:IH21" si="47">IF(IG4="","",IF(IG4&gt;3.7,"A",IF(IG4&gt;2.8,"B",IF(IG4&gt;1.5,"C",IF(IG4&gt;0,"D",IF(IG4=0,""))))))</f>
        <v>B</v>
      </c>
      <c r="II4" s="225"/>
      <c r="IJ4" s="85"/>
      <c r="IK4" s="105"/>
      <c r="IL4" s="178">
        <f>IF(COUNT(IL5:IL9)=0,"",SUM(IL5:IL9)/COUNT(IL5:IL9))</f>
        <v>3</v>
      </c>
      <c r="IM4" s="179" t="str">
        <f t="shared" ref="IM4:IM21" si="48">IF(IL4="","",IF(IL4&gt;3.7,"A",IF(IL4&gt;2.8,"B",IF(IL4&gt;1.5,"C",IF(IL4&gt;0,"D",IF(IL4=0,""))))))</f>
        <v>B</v>
      </c>
      <c r="IN4" s="225"/>
      <c r="IO4" s="85"/>
      <c r="IP4" s="85"/>
      <c r="IQ4" s="105"/>
      <c r="IR4" s="178">
        <f>IF(COUNT(IR5:IR9)=0,"",SUM(IR5:IR9)/COUNT(IR5:IR9))</f>
        <v>3.1666666666666665</v>
      </c>
      <c r="IS4" s="194" t="str">
        <f t="shared" ref="IS4:IS21" si="49">IF(IR4="","",IF(IR4&gt;3.7,"A",IF(IR4&gt;2.8,"B",IF(IR4&gt;1.5,"C",IF(IR4&gt;0,"D",IF(IR4=0,""))))))</f>
        <v>B</v>
      </c>
      <c r="IT4" s="172"/>
      <c r="IU4" s="110"/>
      <c r="IV4" s="110"/>
      <c r="IW4" s="110"/>
      <c r="IX4" s="110"/>
      <c r="IY4" s="178">
        <f>IF(COUNT(IY5:IY9)=0,"",SUM(IY5:IY9)/COUNT(IY5:IY9))</f>
        <v>2.3333333333333335</v>
      </c>
      <c r="IZ4" s="202" t="str">
        <f t="shared" ref="IZ4:IZ21" si="50">IF(IY4="","",IF(IY4&gt;3.7,"A",IF(IY4&gt;2.8,"B",IF(IY4&gt;1.5,"C",IF(IY4&gt;0,"D",IF(IY4=0,""))))))</f>
        <v>C</v>
      </c>
      <c r="JA4" s="203">
        <f>IF(COUNT(JA5:JA9)=0,"",SUM(JA5:JA9)/COUNT(JA5:JA9))</f>
        <v>2.9166666666666665</v>
      </c>
      <c r="JB4" s="204" t="str">
        <f t="shared" ref="JB4:JB21" si="51">IF(JA4="","",IF(JA4&gt;3.7,"A",IF(JA4&gt;2.8,"B",IF(JA4&gt;1.5,"C",IF(JA4&gt;0,"D",IF(JA4=0,""))))))</f>
        <v>B</v>
      </c>
      <c r="JC4" s="225"/>
      <c r="JD4" s="85"/>
      <c r="JE4" s="105"/>
      <c r="JF4" s="178">
        <f>IF(COUNT(JF5:JF9)=0,"",SUM(JF5:JF9)/COUNT(JF5:JF9))</f>
        <v>3</v>
      </c>
      <c r="JG4" s="179" t="str">
        <f t="shared" ref="JG4:JG21" si="52">IF(JF4="","",IF(JF4&gt;3.7,"A",IF(JF4&gt;2.8,"B",IF(JF4&gt;1.5,"C",IF(JF4&gt;0,"D",IF(JF4=0,""))))))</f>
        <v>B</v>
      </c>
      <c r="JH4" s="225"/>
      <c r="JI4" s="85"/>
      <c r="JJ4" s="85"/>
      <c r="JK4" s="105"/>
      <c r="JL4" s="178">
        <f>IF(COUNT(JL5:JL9)=0,"",SUM(JL5:JL9)/COUNT(JL5:JL9))</f>
        <v>3</v>
      </c>
      <c r="JM4" s="194" t="str">
        <f t="shared" ref="JM4:JM21" si="53">IF(JL4="","",IF(JL4&gt;3.7,"A",IF(JL4&gt;2.8,"B",IF(JL4&gt;1.5,"C",IF(JL4&gt;0,"D",IF(JL4=0,""))))))</f>
        <v>B</v>
      </c>
      <c r="JN4" s="172"/>
      <c r="JO4" s="110"/>
      <c r="JP4" s="110"/>
      <c r="JQ4" s="110"/>
      <c r="JR4" s="110"/>
      <c r="JS4" s="178">
        <f>IF(COUNT(JS5:JS9)=0,"",SUM(JS5:JS9)/COUNT(JS5:JS9))</f>
        <v>3.1666666666666665</v>
      </c>
      <c r="JT4" s="202" t="str">
        <f t="shared" ref="JT4:JT21" si="54">IF(JS4="","",IF(JS4&gt;3.7,"A",IF(JS4&gt;2.8,"B",IF(JS4&gt;1.5,"C",IF(JS4&gt;0,"D",IF(JS4=0,""))))))</f>
        <v>B</v>
      </c>
      <c r="JU4" s="203">
        <f>IF(COUNT(JU5:JU9)=0,"",SUM(JU5:JU9)/COUNT(JU5:JU9))</f>
        <v>3.125</v>
      </c>
      <c r="JV4" s="204" t="str">
        <f t="shared" ref="JV4:JV21" si="55">IF(JU4="","",IF(JU4&gt;3.7,"A",IF(JU4&gt;2.8,"B",IF(JU4&gt;1.5,"C",IF(JU4&gt;0,"D",IF(JU4=0,""))))))</f>
        <v>B</v>
      </c>
      <c r="JW4" s="225"/>
      <c r="JX4" s="85"/>
      <c r="JY4" s="105"/>
      <c r="JZ4" s="178">
        <f>IF(COUNT(JZ5:JZ9)=0,"",SUM(JZ5:JZ9)/COUNT(JZ5:JZ9))</f>
        <v>2.6666666666666665</v>
      </c>
      <c r="KA4" s="179" t="str">
        <f t="shared" ref="KA4:KA21" si="56">IF(JZ4="","",IF(JZ4&gt;3.7,"A",IF(JZ4&gt;2.8,"B",IF(JZ4&gt;1.5,"C",IF(JZ4&gt;0,"D",IF(JZ4=0,""))))))</f>
        <v>C</v>
      </c>
      <c r="KB4" s="225"/>
      <c r="KC4" s="85"/>
      <c r="KD4" s="85"/>
      <c r="KE4" s="105"/>
      <c r="KF4" s="178">
        <f>IF(COUNT(KF5:KF9)=0,"",SUM(KF5:KF9)/COUNT(KF5:KF9))</f>
        <v>2.8333333333333335</v>
      </c>
      <c r="KG4" s="194" t="str">
        <f t="shared" ref="KG4:KG21" si="57">IF(KF4="","",IF(KF4&gt;3.7,"A",IF(KF4&gt;2.8,"B",IF(KF4&gt;1.5,"C",IF(KF4&gt;0,"D",IF(KF4=0,""))))))</f>
        <v>B</v>
      </c>
      <c r="KH4" s="172"/>
      <c r="KI4" s="110"/>
      <c r="KJ4" s="110"/>
      <c r="KK4" s="110"/>
      <c r="KL4" s="110"/>
      <c r="KM4" s="178">
        <f>IF(COUNT(KM5:KM9)=0,"",SUM(KM5:KM9)/COUNT(KM5:KM9))</f>
        <v>3</v>
      </c>
      <c r="KN4" s="202" t="str">
        <f t="shared" ref="KN4:KN21" si="58">IF(KM4="","",IF(KM4&gt;3.7,"A",IF(KM4&gt;2.8,"B",IF(KM4&gt;1.5,"C",IF(KM4&gt;0,"D",IF(KM4=0,""))))))</f>
        <v>B</v>
      </c>
      <c r="KO4" s="203">
        <f>IF(COUNT(KO5:KO9)=0,"",SUM(KO5:KO9)/COUNT(KO5:KO9))</f>
        <v>2.875</v>
      </c>
      <c r="KP4" s="204" t="str">
        <f t="shared" ref="KP4:KP21" si="59">IF(KO4="","",IF(KO4&gt;3.7,"A",IF(KO4&gt;2.8,"B",IF(KO4&gt;1.5,"C",IF(KO4&gt;0,"D",IF(KO4=0,""))))))</f>
        <v>B</v>
      </c>
      <c r="KQ4" s="225"/>
      <c r="KR4" s="85"/>
      <c r="KS4" s="105"/>
      <c r="KT4" s="178">
        <f>IF(COUNT(KT5:KT9)=0,"",SUM(KT5:KT9)/COUNT(KT5:KT9))</f>
        <v>2.3333333333333335</v>
      </c>
      <c r="KU4" s="179" t="str">
        <f t="shared" ref="KU4:KU21" si="60">IF(KT4="","",IF(KT4&gt;3.7,"A",IF(KT4&gt;2.8,"B",IF(KT4&gt;1.5,"C",IF(KT4&gt;0,"D",IF(KT4=0,""))))))</f>
        <v>C</v>
      </c>
      <c r="KV4" s="225"/>
      <c r="KW4" s="85"/>
      <c r="KX4" s="85"/>
      <c r="KY4" s="105"/>
      <c r="KZ4" s="178">
        <f>IF(COUNT(KZ5:KZ9)=0,"",SUM(KZ5:KZ9)/COUNT(KZ5:KZ9))</f>
        <v>2.3333333333333335</v>
      </c>
      <c r="LA4" s="194" t="str">
        <f t="shared" ref="LA4:LA21" si="61">IF(KZ4="","",IF(KZ4&gt;3.7,"A",IF(KZ4&gt;2.8,"B",IF(KZ4&gt;1.5,"C",IF(KZ4&gt;0,"D",IF(KZ4=0,""))))))</f>
        <v>C</v>
      </c>
      <c r="LB4" s="172"/>
      <c r="LC4" s="110"/>
      <c r="LD4" s="110"/>
      <c r="LE4" s="110"/>
      <c r="LF4" s="110"/>
      <c r="LG4" s="178">
        <f>IF(COUNT(LG5:LG9)=0,"",SUM(LG5:LG9)/COUNT(LG5:LG9))</f>
        <v>2</v>
      </c>
      <c r="LH4" s="202" t="str">
        <f t="shared" ref="LH4:LH21" si="62">IF(LG4="","",IF(LG4&gt;3.7,"A",IF(LG4&gt;2.8,"B",IF(LG4&gt;1.5,"C",IF(LG4&gt;0,"D",IF(LG4=0,""))))))</f>
        <v>C</v>
      </c>
      <c r="LI4" s="203">
        <f>IF(COUNT(LI5:LI9)=0,"",SUM(LI5:LI9)/COUNT(LI5:LI9))</f>
        <v>2.2291666666666665</v>
      </c>
      <c r="LJ4" s="204" t="str">
        <f t="shared" ref="LJ4:LJ21" si="63">IF(LI4="","",IF(LI4&gt;3.7,"A",IF(LI4&gt;2.8,"B",IF(LI4&gt;1.5,"C",IF(LI4&gt;0,"D",IF(LI4=0,""))))))</f>
        <v>C</v>
      </c>
      <c r="LK4" s="225"/>
      <c r="LL4" s="85"/>
      <c r="LM4" s="105"/>
      <c r="LN4" s="178" t="str">
        <f>IF(COUNT(LN5:LN9)=0,"",SUM(LN5:LN9)/COUNT(LN5:LN9))</f>
        <v/>
      </c>
      <c r="LO4" s="179" t="str">
        <f t="shared" ref="LO4:LO21" si="64">IF(LN4="","",IF(LN4&gt;3.7,"A",IF(LN4&gt;2.8,"B",IF(LN4&gt;1.5,"C",IF(LN4&gt;0,"D",IF(LN4=0,""))))))</f>
        <v/>
      </c>
      <c r="LP4" s="225"/>
      <c r="LQ4" s="85"/>
      <c r="LR4" s="85"/>
      <c r="LS4" s="105"/>
      <c r="LT4" s="178" t="str">
        <f>IF(COUNT(LT5:LT9)=0,"",SUM(LT5:LT9)/COUNT(LT5:LT9))</f>
        <v/>
      </c>
      <c r="LU4" s="194" t="str">
        <f t="shared" ref="LU4:LU21" si="65">IF(LT4="","",IF(LT4&gt;3.7,"A",IF(LT4&gt;2.8,"B",IF(LT4&gt;1.5,"C",IF(LT4&gt;0,"D",IF(LT4=0,""))))))</f>
        <v/>
      </c>
      <c r="LV4" s="172"/>
      <c r="LW4" s="110"/>
      <c r="LX4" s="110"/>
      <c r="LY4" s="110"/>
      <c r="LZ4" s="110"/>
      <c r="MA4" s="178" t="str">
        <f>IF(COUNT(MA5:MA9)=0,"",SUM(MA5:MA9)/COUNT(MA5:MA9))</f>
        <v/>
      </c>
      <c r="MB4" s="202" t="str">
        <f t="shared" ref="MB4:MB21" si="66">IF(MA4="","",IF(MA4&gt;3.7,"A",IF(MA4&gt;2.8,"B",IF(MA4&gt;1.5,"C",IF(MA4&gt;0,"D",IF(MA4=0,""))))))</f>
        <v/>
      </c>
      <c r="MC4" s="203" t="str">
        <f>IF(COUNT(MC5:MC9)=0,"",SUM(MC5:MC9)/COUNT(MC5:MC9))</f>
        <v/>
      </c>
      <c r="MD4" s="204" t="str">
        <f t="shared" ref="MD4:MD21" si="67">IF(MC4="","",IF(MC4&gt;3.7,"A",IF(MC4&gt;2.8,"B",IF(MC4&gt;1.5,"C",IF(MC4&gt;0,"D",IF(MC4=0,""))))))</f>
        <v/>
      </c>
      <c r="ME4" s="225"/>
      <c r="MF4" s="85"/>
      <c r="MG4" s="105"/>
      <c r="MH4" s="178">
        <f>IF(COUNT(MH5:MH9)=0,"",SUM(MH5:MH9)/COUNT(MH5:MH9))</f>
        <v>2</v>
      </c>
      <c r="MI4" s="179" t="str">
        <f t="shared" ref="MI4:MI21" si="68">IF(MH4="","",IF(MH4&gt;3.7,"A",IF(MH4&gt;2.8,"B",IF(MH4&gt;1.5,"C",IF(MH4&gt;0,"D",IF(MH4=0,""))))))</f>
        <v>C</v>
      </c>
      <c r="MJ4" s="225"/>
      <c r="MK4" s="85"/>
      <c r="ML4" s="85"/>
      <c r="MM4" s="105"/>
      <c r="MN4" s="178">
        <f>IF(COUNT(MN5:MN9)=0,"",SUM(MN5:MN9)/COUNT(MN5:MN9))</f>
        <v>2.1666666666666665</v>
      </c>
      <c r="MO4" s="194" t="str">
        <f t="shared" ref="MO4:MO21" si="69">IF(MN4="","",IF(MN4&gt;3.7,"A",IF(MN4&gt;2.8,"B",IF(MN4&gt;1.5,"C",IF(MN4&gt;0,"D",IF(MN4=0,""))))))</f>
        <v>C</v>
      </c>
      <c r="MP4" s="172"/>
      <c r="MQ4" s="110"/>
      <c r="MR4" s="110"/>
      <c r="MS4" s="110"/>
      <c r="MT4" s="110"/>
      <c r="MU4" s="178">
        <f>IF(COUNT(MU5:MU9)=0,"",SUM(MU5:MU9)/COUNT(MU5:MU9))</f>
        <v>2.5</v>
      </c>
      <c r="MV4" s="202" t="str">
        <f t="shared" ref="MV4:MV21" si="70">IF(MU4="","",IF(MU4&gt;3.7,"A",IF(MU4&gt;2.8,"B",IF(MU4&gt;1.5,"C",IF(MU4&gt;0,"D",IF(MU4=0,""))))))</f>
        <v>C</v>
      </c>
      <c r="MW4" s="203">
        <f>IF(COUNT(MW5:MW9)=0,"",SUM(MW5:MW9)/COUNT(MW5:MW9))</f>
        <v>2.25</v>
      </c>
      <c r="MX4" s="204" t="str">
        <f t="shared" ref="MX4:MX21" si="71">IF(MW4="","",IF(MW4&gt;3.7,"A",IF(MW4&gt;2.8,"B",IF(MW4&gt;1.5,"C",IF(MW4&gt;0,"D",IF(MW4=0,""))))))</f>
        <v>C</v>
      </c>
      <c r="MY4" s="225"/>
      <c r="MZ4" s="85"/>
      <c r="NA4" s="105"/>
      <c r="NB4" s="178">
        <f>IF(COUNT(NB5:NB9)=0,"",SUM(NB5:NB9)/COUNT(NB5:NB9))</f>
        <v>1</v>
      </c>
      <c r="NC4" s="179" t="str">
        <f t="shared" ref="NC4:NC21" si="72">IF(NB4="","",IF(NB4&gt;3.7,"A",IF(NB4&gt;2.8,"B",IF(NB4&gt;1.5,"C",IF(NB4&gt;0,"D",IF(NB4=0,""))))))</f>
        <v>D</v>
      </c>
      <c r="ND4" s="225"/>
      <c r="NE4" s="85"/>
      <c r="NF4" s="85"/>
      <c r="NG4" s="105"/>
      <c r="NH4" s="178">
        <f>IF(COUNT(NH5:NH9)=0,"",SUM(NH5:NH9)/COUNT(NH5:NH9))</f>
        <v>2.3333333333333335</v>
      </c>
      <c r="NI4" s="194" t="str">
        <f t="shared" ref="NI4:NI21" si="73">IF(NH4="","",IF(NH4&gt;3.7,"A",IF(NH4&gt;2.8,"B",IF(NH4&gt;1.5,"C",IF(NH4&gt;0,"D",IF(NH4=0,""))))))</f>
        <v>C</v>
      </c>
      <c r="NJ4" s="172"/>
      <c r="NK4" s="110"/>
      <c r="NL4" s="110"/>
      <c r="NM4" s="110"/>
      <c r="NN4" s="110"/>
      <c r="NO4" s="178">
        <f>IF(COUNT(NO5:NO9)=0,"",SUM(NO5:NO9)/COUNT(NO5:NO9))</f>
        <v>3</v>
      </c>
      <c r="NP4" s="202" t="str">
        <f t="shared" ref="NP4:NP21" si="74">IF(NO4="","",IF(NO4&gt;3.7,"A",IF(NO4&gt;2.8,"B",IF(NO4&gt;1.5,"C",IF(NO4&gt;0,"D",IF(NO4=0,""))))))</f>
        <v>B</v>
      </c>
      <c r="NQ4" s="203">
        <f>IF(COUNT(NQ5:NQ9)=0,"",SUM(NQ5:NQ9)/COUNT(NQ5:NQ9))</f>
        <v>2.125</v>
      </c>
      <c r="NR4" s="204" t="str">
        <f t="shared" ref="NR4:NR21" si="75">IF(NQ4="","",IF(NQ4&gt;3.7,"A",IF(NQ4&gt;2.8,"B",IF(NQ4&gt;1.5,"C",IF(NQ4&gt;0,"D",IF(NQ4=0,""))))))</f>
        <v>C</v>
      </c>
      <c r="NS4" s="225"/>
      <c r="NT4" s="85"/>
      <c r="NU4" s="105"/>
      <c r="NV4" s="178">
        <f>IF(COUNT(NV5:NV9)=0,"",SUM(NV5:NV9)/COUNT(NV5:NV9))</f>
        <v>1</v>
      </c>
      <c r="NW4" s="179" t="str">
        <f t="shared" ref="NW4:NW21" si="76">IF(NV4="","",IF(NV4&gt;3.7,"A",IF(NV4&gt;2.8,"B",IF(NV4&gt;1.5,"C",IF(NV4&gt;0,"D",IF(NV4=0,""))))))</f>
        <v>D</v>
      </c>
      <c r="NX4" s="225"/>
      <c r="NY4" s="85"/>
      <c r="NZ4" s="85"/>
      <c r="OA4" s="105"/>
      <c r="OB4" s="178">
        <f>IF(COUNT(OB5:OB9)=0,"",SUM(OB5:OB9)/COUNT(OB5:OB9))</f>
        <v>2.6666666666666665</v>
      </c>
      <c r="OC4" s="194" t="str">
        <f t="shared" ref="OC4:OC21" si="77">IF(OB4="","",IF(OB4&gt;3.7,"A",IF(OB4&gt;2.8,"B",IF(OB4&gt;1.5,"C",IF(OB4&gt;0,"D",IF(OB4=0,""))))))</f>
        <v>C</v>
      </c>
      <c r="OD4" s="172"/>
      <c r="OE4" s="110"/>
      <c r="OF4" s="110"/>
      <c r="OG4" s="110"/>
      <c r="OH4" s="110"/>
      <c r="OI4" s="178">
        <f>IF(COUNT(OI5:OI9)=0,"",SUM(OI5:OI9)/COUNT(OI5:OI9))</f>
        <v>2.3333333333333335</v>
      </c>
      <c r="OJ4" s="202" t="str">
        <f t="shared" ref="OJ4:OJ21" si="78">IF(OI4="","",IF(OI4&gt;3.7,"A",IF(OI4&gt;2.8,"B",IF(OI4&gt;1.5,"C",IF(OI4&gt;0,"D",IF(OI4=0,""))))))</f>
        <v>C</v>
      </c>
      <c r="OK4" s="203">
        <f>IF(COUNT(OK5:OK9)=0,"",SUM(OK5:OK9)/COUNT(OK5:OK9))</f>
        <v>2</v>
      </c>
      <c r="OL4" s="204" t="str">
        <f t="shared" ref="OL4:OL21" si="79">IF(OK4="","",IF(OK4&gt;3.7,"A",IF(OK4&gt;2.8,"B",IF(OK4&gt;1.5,"C",IF(OK4&gt;0,"D",IF(OK4=0,""))))))</f>
        <v>C</v>
      </c>
      <c r="OM4" s="225"/>
      <c r="ON4" s="85"/>
      <c r="OO4" s="105"/>
      <c r="OP4" s="178">
        <f>IF(COUNT(OP5:OP9)=0,"",SUM(OP5:OP9)/COUNT(OP5:OP9))</f>
        <v>1.6666666666666667</v>
      </c>
      <c r="OQ4" s="179" t="str">
        <f t="shared" ref="OQ4:OQ21" si="80">IF(OP4="","",IF(OP4&gt;3.7,"A",IF(OP4&gt;2.8,"B",IF(OP4&gt;1.5,"C",IF(OP4&gt;0,"D",IF(OP4=0,""))))))</f>
        <v>C</v>
      </c>
      <c r="OR4" s="225"/>
      <c r="OS4" s="85"/>
      <c r="OT4" s="85"/>
      <c r="OU4" s="105"/>
      <c r="OV4" s="178">
        <f>IF(COUNT(OV5:OV9)=0,"",SUM(OV5:OV9)/COUNT(OV5:OV9))</f>
        <v>3.5</v>
      </c>
      <c r="OW4" s="194" t="str">
        <f t="shared" ref="OW4:OW21" si="81">IF(OV4="","",IF(OV4&gt;3.7,"A",IF(OV4&gt;2.8,"B",IF(OV4&gt;1.5,"C",IF(OV4&gt;0,"D",IF(OV4=0,""))))))</f>
        <v>B</v>
      </c>
      <c r="OX4" s="172"/>
      <c r="OY4" s="110"/>
      <c r="OZ4" s="110"/>
      <c r="PA4" s="110"/>
      <c r="PB4" s="110"/>
      <c r="PC4" s="178">
        <f>IF(COUNT(PC5:PC9)=0,"",SUM(PC5:PC9)/COUNT(PC5:PC9))</f>
        <v>3.3333333333333335</v>
      </c>
      <c r="PD4" s="202" t="str">
        <f t="shared" ref="PD4:PD21" si="82">IF(PC4="","",IF(PC4&gt;3.7,"A",IF(PC4&gt;2.8,"B",IF(PC4&gt;1.5,"C",IF(PC4&gt;0,"D",IF(PC4=0,""))))))</f>
        <v>B</v>
      </c>
      <c r="PE4" s="203">
        <f>IF(COUNT(PE5:PE9)=0,"",SUM(PE5:PE9)/COUNT(PE5:PE9))</f>
        <v>2.7708333333333335</v>
      </c>
      <c r="PF4" s="204" t="str">
        <f t="shared" ref="PF4:PF21" si="83">IF(PE4="","",IF(PE4&gt;3.7,"A",IF(PE4&gt;2.8,"B",IF(PE4&gt;1.5,"C",IF(PE4&gt;0,"D",IF(PE4=0,""))))))</f>
        <v>C</v>
      </c>
      <c r="PG4" s="225"/>
      <c r="PH4" s="85"/>
      <c r="PI4" s="105"/>
      <c r="PJ4" s="178">
        <f>IF(COUNT(PJ5:PJ9)=0,"",SUM(PJ5:PJ9)/COUNT(PJ5:PJ9))</f>
        <v>4</v>
      </c>
      <c r="PK4" s="179" t="str">
        <f t="shared" ref="PK4:PK21" si="84">IF(PJ4="","",IF(PJ4&gt;3.7,"A",IF(PJ4&gt;2.8,"B",IF(PJ4&gt;1.5,"C",IF(PJ4&gt;0,"D",IF(PJ4=0,""))))))</f>
        <v>A</v>
      </c>
      <c r="PL4" s="225"/>
      <c r="PM4" s="85"/>
      <c r="PN4" s="85"/>
      <c r="PO4" s="105"/>
      <c r="PP4" s="178">
        <f>IF(COUNT(PP5:PP9)=0,"",SUM(PP5:PP9)/COUNT(PP5:PP9))</f>
        <v>3.5</v>
      </c>
      <c r="PQ4" s="194" t="str">
        <f t="shared" ref="PQ4:PQ21" si="85">IF(PP4="","",IF(PP4&gt;3.7,"A",IF(PP4&gt;2.8,"B",IF(PP4&gt;1.5,"C",IF(PP4&gt;0,"D",IF(PP4=0,""))))))</f>
        <v>B</v>
      </c>
      <c r="PR4" s="172"/>
      <c r="PS4" s="110"/>
      <c r="PT4" s="110"/>
      <c r="PU4" s="110"/>
      <c r="PV4" s="110"/>
      <c r="PW4" s="178">
        <f>IF(COUNT(PW5:PW9)=0,"",SUM(PW5:PW9)/COUNT(PW5:PW9))</f>
        <v>3.5</v>
      </c>
      <c r="PX4" s="202" t="str">
        <f t="shared" ref="PX4:PX21" si="86">IF(PW4="","",IF(PW4&gt;3.7,"A",IF(PW4&gt;2.8,"B",IF(PW4&gt;1.5,"C",IF(PW4&gt;0,"D",IF(PW4=0,""))))))</f>
        <v>B</v>
      </c>
      <c r="PY4" s="203">
        <f>IF(COUNT(PY5:PY9)=0,"",SUM(PY5:PY9)/COUNT(PY5:PY9))</f>
        <v>3.6666666666666665</v>
      </c>
      <c r="PZ4" s="204" t="str">
        <f t="shared" ref="PZ4:PZ21" si="87">IF(PY4="","",IF(PY4&gt;3.7,"A",IF(PY4&gt;2.8,"B",IF(PY4&gt;1.5,"C",IF(PY4&gt;0,"D",IF(PY4=0,""))))))</f>
        <v>B</v>
      </c>
      <c r="QA4" s="225"/>
      <c r="QB4" s="85"/>
      <c r="QC4" s="105"/>
      <c r="QD4" s="178">
        <f>IF(COUNT(QD5:QD9)=0,"",SUM(QD5:QD9)/COUNT(QD5:QD9))</f>
        <v>3.3333333333333335</v>
      </c>
      <c r="QE4" s="179" t="str">
        <f t="shared" ref="QE4:QE21" si="88">IF(QD4="","",IF(QD4&gt;3.7,"A",IF(QD4&gt;2.8,"B",IF(QD4&gt;1.5,"C",IF(QD4&gt;0,"D",IF(QD4=0,""))))))</f>
        <v>B</v>
      </c>
      <c r="QF4" s="225"/>
      <c r="QG4" s="85"/>
      <c r="QH4" s="85"/>
      <c r="QI4" s="105"/>
      <c r="QJ4" s="178">
        <f>IF(COUNT(QJ5:QJ9)=0,"",SUM(QJ5:QJ9)/COUNT(QJ5:QJ9))</f>
        <v>3.5</v>
      </c>
      <c r="QK4" s="194" t="str">
        <f t="shared" ref="QK4:QK21" si="89">IF(QJ4="","",IF(QJ4&gt;3.7,"A",IF(QJ4&gt;2.8,"B",IF(QJ4&gt;1.5,"C",IF(QJ4&gt;0,"D",IF(QJ4=0,""))))))</f>
        <v>B</v>
      </c>
      <c r="QL4" s="172"/>
      <c r="QM4" s="110"/>
      <c r="QN4" s="110"/>
      <c r="QO4" s="110"/>
      <c r="QP4" s="110"/>
      <c r="QQ4" s="178">
        <f>IF(COUNT(QQ5:QQ9)=0,"",SUM(QQ5:QQ9)/COUNT(QQ5:QQ9))</f>
        <v>3.8333333333333335</v>
      </c>
      <c r="QR4" s="202" t="str">
        <f t="shared" ref="QR4:QR21" si="90">IF(QQ4="","",IF(QQ4&gt;3.7,"A",IF(QQ4&gt;2.8,"B",IF(QQ4&gt;1.5,"C",IF(QQ4&gt;0,"D",IF(QQ4=0,""))))))</f>
        <v>A</v>
      </c>
      <c r="QS4" s="203">
        <f>IF(COUNT(QS5:QS9)=0,"",SUM(QS5:QS9)/COUNT(QS5:QS9))</f>
        <v>3.6041666666666665</v>
      </c>
      <c r="QT4" s="204" t="str">
        <f t="shared" ref="QT4:QT21" si="91">IF(QS4="","",IF(QS4&gt;3.7,"A",IF(QS4&gt;2.8,"B",IF(QS4&gt;1.5,"C",IF(QS4&gt;0,"D",IF(QS4=0,""))))))</f>
        <v>B</v>
      </c>
      <c r="QU4" s="225"/>
      <c r="QV4" s="85"/>
      <c r="QW4" s="105"/>
      <c r="QX4" s="178">
        <f>IF(COUNT(QX5:QX9)=0,"",SUM(QX5:QX9)/COUNT(QX5:QX9))</f>
        <v>1.3333333333333333</v>
      </c>
      <c r="QY4" s="179" t="str">
        <f t="shared" ref="QY4:QY21" si="92">IF(QX4="","",IF(QX4&gt;3.7,"A",IF(QX4&gt;2.8,"B",IF(QX4&gt;1.5,"C",IF(QX4&gt;0,"D",IF(QX4=0,""))))))</f>
        <v>D</v>
      </c>
      <c r="QZ4" s="225"/>
      <c r="RA4" s="85"/>
      <c r="RB4" s="85"/>
      <c r="RC4" s="105"/>
      <c r="RD4" s="178">
        <f>IF(COUNT(RD5:RD9)=0,"",SUM(RD5:RD9)/COUNT(RD5:RD9))</f>
        <v>3</v>
      </c>
      <c r="RE4" s="194" t="str">
        <f t="shared" ref="RE4:RE21" si="93">IF(RD4="","",IF(RD4&gt;3.7,"A",IF(RD4&gt;2.8,"B",IF(RD4&gt;1.5,"C",IF(RD4&gt;0,"D",IF(RD4=0,""))))))</f>
        <v>B</v>
      </c>
      <c r="RF4" s="172"/>
      <c r="RG4" s="110"/>
      <c r="RH4" s="110"/>
      <c r="RI4" s="110"/>
      <c r="RJ4" s="110"/>
      <c r="RK4" s="178">
        <f>IF(COUNT(RK5:RK9)=0,"",SUM(RK5:RK9)/COUNT(RK5:RK9))</f>
        <v>2.5</v>
      </c>
      <c r="RL4" s="202" t="str">
        <f t="shared" ref="RL4:RL21" si="94">IF(RK4="","",IF(RK4&gt;3.7,"A",IF(RK4&gt;2.8,"B",IF(RK4&gt;1.5,"C",IF(RK4&gt;0,"D",IF(RK4=0,""))))))</f>
        <v>C</v>
      </c>
      <c r="RM4" s="203">
        <f>IF(COUNT(RM5:RM9)=0,"",SUM(RM5:RM9)/COUNT(RM5:RM9))</f>
        <v>2.2708333333333335</v>
      </c>
      <c r="RN4" s="204" t="str">
        <f t="shared" ref="RN4:RN21" si="95">IF(RM4="","",IF(RM4&gt;3.7,"A",IF(RM4&gt;2.8,"B",IF(RM4&gt;1.5,"C",IF(RM4&gt;0,"D",IF(RM4=0,""))))))</f>
        <v>C</v>
      </c>
      <c r="RO4" s="225"/>
      <c r="RP4" s="85"/>
      <c r="RQ4" s="105"/>
      <c r="RR4" s="178">
        <f>IF(COUNT(RR5:RR9)=0,"",SUM(RR5:RR9)/COUNT(RR5:RR9))</f>
        <v>3</v>
      </c>
      <c r="RS4" s="179" t="str">
        <f t="shared" ref="RS4:RS21" si="96">IF(RR4="","",IF(RR4&gt;3.7,"A",IF(RR4&gt;2.8,"B",IF(RR4&gt;1.5,"C",IF(RR4&gt;0,"D",IF(RR4=0,""))))))</f>
        <v>B</v>
      </c>
      <c r="RT4" s="225"/>
      <c r="RU4" s="85"/>
      <c r="RV4" s="85"/>
      <c r="RW4" s="105"/>
      <c r="RX4" s="178">
        <f>IF(COUNT(RX5:RX9)=0,"",SUM(RX5:RX9)/COUNT(RX5:RX9))</f>
        <v>3</v>
      </c>
      <c r="RY4" s="194" t="str">
        <f t="shared" ref="RY4:RY21" si="97">IF(RX4="","",IF(RX4&gt;3.7,"A",IF(RX4&gt;2.8,"B",IF(RX4&gt;1.5,"C",IF(RX4&gt;0,"D",IF(RX4=0,""))))))</f>
        <v>B</v>
      </c>
      <c r="RZ4" s="172"/>
      <c r="SA4" s="110"/>
      <c r="SB4" s="110"/>
      <c r="SC4" s="110"/>
      <c r="SD4" s="110"/>
      <c r="SE4" s="178">
        <f>IF(COUNT(SE5:SE9)=0,"",SUM(SE5:SE9)/COUNT(SE5:SE9))</f>
        <v>2.6666666666666665</v>
      </c>
      <c r="SF4" s="202" t="str">
        <f t="shared" ref="SF4:SF21" si="98">IF(SE4="","",IF(SE4&gt;3.7,"A",IF(SE4&gt;2.8,"B",IF(SE4&gt;1.5,"C",IF(SE4&gt;0,"D",IF(SE4=0,""))))))</f>
        <v>C</v>
      </c>
      <c r="SG4" s="203">
        <f>IF(COUNT(SG5:SG9)=0,"",SUM(SG5:SG9)/COUNT(SG5:SG9))</f>
        <v>2.9791666666666665</v>
      </c>
      <c r="SH4" s="204" t="str">
        <f t="shared" ref="SH4:SH21" si="99">IF(SG4="","",IF(SG4&gt;3.7,"A",IF(SG4&gt;2.8,"B",IF(SG4&gt;1.5,"C",IF(SG4&gt;0,"D",IF(SG4=0,""))))))</f>
        <v>B</v>
      </c>
      <c r="SI4" s="225"/>
      <c r="SJ4" s="85"/>
      <c r="SK4" s="105"/>
      <c r="SL4" s="178">
        <f>IF(COUNT(SL5:SL9)=0,"",SUM(SL5:SL9)/COUNT(SL5:SL9))</f>
        <v>1.3333333333333333</v>
      </c>
      <c r="SM4" s="179" t="str">
        <f t="shared" ref="SM4:SM21" si="100">IF(SL4="","",IF(SL4&gt;3.7,"A",IF(SL4&gt;2.8,"B",IF(SL4&gt;1.5,"C",IF(SL4&gt;0,"D",IF(SL4=0,""))))))</f>
        <v>D</v>
      </c>
      <c r="SN4" s="225"/>
      <c r="SO4" s="85"/>
      <c r="SP4" s="85"/>
      <c r="SQ4" s="105"/>
      <c r="SR4" s="178">
        <f>IF(COUNT(SR5:SR9)=0,"",SUM(SR5:SR9)/COUNT(SR5:SR9))</f>
        <v>2.3333333333333335</v>
      </c>
      <c r="SS4" s="194" t="str">
        <f t="shared" ref="SS4:SS21" si="101">IF(SR4="","",IF(SR4&gt;3.7,"A",IF(SR4&gt;2.8,"B",IF(SR4&gt;1.5,"C",IF(SR4&gt;0,"D",IF(SR4=0,""))))))</f>
        <v>C</v>
      </c>
      <c r="ST4" s="172"/>
      <c r="SU4" s="110"/>
      <c r="SV4" s="110"/>
      <c r="SW4" s="110"/>
      <c r="SX4" s="110"/>
      <c r="SY4" s="178">
        <f>IF(COUNT(SY5:SY9)=0,"",SUM(SY5:SY9)/COUNT(SY5:SY9))</f>
        <v>2.8333333333333335</v>
      </c>
      <c r="SZ4" s="202" t="str">
        <f t="shared" ref="SZ4:SZ21" si="102">IF(SY4="","",IF(SY4&gt;3.7,"A",IF(SY4&gt;2.8,"B",IF(SY4&gt;1.5,"C",IF(SY4&gt;0,"D",IF(SY4=0,""))))))</f>
        <v>B</v>
      </c>
      <c r="TA4" s="203">
        <f>IF(COUNT(TA5:TA9)=0,"",SUM(TA5:TA9)/COUNT(TA5:TA9))</f>
        <v>2.1666666666666665</v>
      </c>
      <c r="TB4" s="204" t="str">
        <f t="shared" ref="TB4:TB21" si="103">IF(TA4="","",IF(TA4&gt;3.7,"A",IF(TA4&gt;2.8,"B",IF(TA4&gt;1.5,"C",IF(TA4&gt;0,"D",IF(TA4=0,""))))))</f>
        <v>C</v>
      </c>
      <c r="TC4" s="225"/>
      <c r="TD4" s="85"/>
      <c r="TE4" s="105"/>
      <c r="TF4" s="178">
        <f>IF(COUNT(TF5:TF9)=0,"",SUM(TF5:TF9)/COUNT(TF5:TF9))</f>
        <v>2.3333333333333335</v>
      </c>
      <c r="TG4" s="179" t="str">
        <f t="shared" ref="TG4:TG21" si="104">IF(TF4="","",IF(TF4&gt;3.7,"A",IF(TF4&gt;2.8,"B",IF(TF4&gt;1.5,"C",IF(TF4&gt;0,"D",IF(TF4=0,""))))))</f>
        <v>C</v>
      </c>
      <c r="TH4" s="225"/>
      <c r="TI4" s="85"/>
      <c r="TJ4" s="85"/>
      <c r="TK4" s="105"/>
      <c r="TL4" s="178">
        <f>IF(COUNT(TL5:TL9)=0,"",SUM(TL5:TL9)/COUNT(TL5:TL9))</f>
        <v>3.5</v>
      </c>
      <c r="TM4" s="194" t="str">
        <f t="shared" ref="TM4:TM21" si="105">IF(TL4="","",IF(TL4&gt;3.7,"A",IF(TL4&gt;2.8,"B",IF(TL4&gt;1.5,"C",IF(TL4&gt;0,"D",IF(TL4=0,""))))))</f>
        <v>B</v>
      </c>
      <c r="TN4" s="172"/>
      <c r="TO4" s="110"/>
      <c r="TP4" s="110"/>
      <c r="TQ4" s="110"/>
      <c r="TR4" s="110"/>
      <c r="TS4" s="178">
        <f>IF(COUNT(TS5:TS9)=0,"",SUM(TS5:TS9)/COUNT(TS5:TS9))</f>
        <v>2.6666666666666665</v>
      </c>
      <c r="TT4" s="202" t="str">
        <f t="shared" ref="TT4:TT21" si="106">IF(TS4="","",IF(TS4&gt;3.7,"A",IF(TS4&gt;2.8,"B",IF(TS4&gt;1.5,"C",IF(TS4&gt;0,"D",IF(TS4=0,""))))))</f>
        <v>C</v>
      </c>
      <c r="TU4" s="203">
        <f>IF(COUNT(TU5:TU9)=0,"",SUM(TU5:TU9)/COUNT(TU5:TU9))</f>
        <v>2.75</v>
      </c>
      <c r="TV4" s="204" t="str">
        <f t="shared" ref="TV4:TV21" si="107">IF(TU4="","",IF(TU4&gt;3.7,"A",IF(TU4&gt;2.8,"B",IF(TU4&gt;1.5,"C",IF(TU4&gt;0,"D",IF(TU4=0,""))))))</f>
        <v>C</v>
      </c>
      <c r="TW4" s="225"/>
      <c r="TX4" s="85"/>
      <c r="TY4" s="105"/>
      <c r="TZ4" s="178">
        <f>IF(COUNT(TZ5:TZ9)=0,"",SUM(TZ5:TZ9)/COUNT(TZ5:TZ9))</f>
        <v>2</v>
      </c>
      <c r="UA4" s="179" t="str">
        <f t="shared" ref="UA4:UA21" si="108">IF(TZ4="","",IF(TZ4&gt;3.7,"A",IF(TZ4&gt;2.8,"B",IF(TZ4&gt;1.5,"C",IF(TZ4&gt;0,"D",IF(TZ4=0,""))))))</f>
        <v>C</v>
      </c>
      <c r="UB4" s="225"/>
      <c r="UC4" s="85"/>
      <c r="UD4" s="85"/>
      <c r="UE4" s="105"/>
      <c r="UF4" s="178">
        <f>IF(COUNT(UF5:UF9)=0,"",SUM(UF5:UF9)/COUNT(UF5:UF9))</f>
        <v>3</v>
      </c>
      <c r="UG4" s="194" t="str">
        <f t="shared" ref="UG4:UG21" si="109">IF(UF4="","",IF(UF4&gt;3.7,"A",IF(UF4&gt;2.8,"B",IF(UF4&gt;1.5,"C",IF(UF4&gt;0,"D",IF(UF4=0,""))))))</f>
        <v>B</v>
      </c>
      <c r="UH4" s="172"/>
      <c r="UI4" s="110"/>
      <c r="UJ4" s="110"/>
      <c r="UK4" s="110"/>
      <c r="UL4" s="110"/>
      <c r="UM4" s="178">
        <f>IF(COUNT(UM5:UM9)=0,"",SUM(UM5:UM9)/COUNT(UM5:UM9))</f>
        <v>2.5</v>
      </c>
      <c r="UN4" s="202" t="str">
        <f t="shared" ref="UN4:UN21" si="110">IF(UM4="","",IF(UM4&gt;3.7,"A",IF(UM4&gt;2.8,"B",IF(UM4&gt;1.5,"C",IF(UM4&gt;0,"D",IF(UM4=0,""))))))</f>
        <v>C</v>
      </c>
      <c r="UO4" s="203">
        <f>IF(COUNT(UO5:UO9)=0,"",SUM(UO5:UO9)/COUNT(UO5:UO9))</f>
        <v>2.5</v>
      </c>
      <c r="UP4" s="204" t="str">
        <f t="shared" ref="UP4:UP21" si="111">IF(UO4="","",IF(UO4&gt;3.7,"A",IF(UO4&gt;2.8,"B",IF(UO4&gt;1.5,"C",IF(UO4&gt;0,"D",IF(UO4=0,""))))))</f>
        <v>C</v>
      </c>
      <c r="UQ4" s="104"/>
      <c r="UR4" s="85"/>
      <c r="US4" s="105"/>
      <c r="UT4" s="106" t="str">
        <f>IF(COUNT(UT5:UT9)=0,"",SUM(UT5:UT9)/COUNT(UT5:UT9))</f>
        <v/>
      </c>
      <c r="UU4" s="107" t="str">
        <f t="shared" ref="UU4:UU21" si="112">IF(UT4="","",IF(UT4&gt;3.7,"A",IF(UT4&gt;2.8,"B",IF(UT4&gt;1.5,"C",IF(UT4&gt;0,"D",IF(UT4=0,""))))))</f>
        <v/>
      </c>
      <c r="UV4" s="104"/>
      <c r="UW4" s="85"/>
      <c r="UX4" s="105"/>
      <c r="UY4" s="106" t="str">
        <f>IF(COUNT(UY5:UY9)=0,"",SUM(UY5:UY9)/COUNT(UY5:UY9))</f>
        <v/>
      </c>
      <c r="UZ4" s="108" t="str">
        <f t="shared" ref="UZ4:UZ21" si="113">IF(UY4="","",IF(UY4&gt;3.7,"A",IF(UY4&gt;2.8,"B",IF(UY4&gt;1.5,"C",IF(UY4&gt;0,"D",IF(UY4=0,""))))))</f>
        <v/>
      </c>
      <c r="VA4" s="109"/>
      <c r="VB4" s="110"/>
      <c r="VC4" s="111"/>
      <c r="VD4" s="106" t="str">
        <f>IF(COUNT(VD5:VD9)=0,"",SUM(VD5:VD9)/COUNT(VD5:VD9))</f>
        <v/>
      </c>
      <c r="VE4" s="112" t="str">
        <f t="shared" ref="VE4:VE21" si="114">IF(VD4="","",IF(VD4&gt;3.7,"A",IF(VD4&gt;2.8,"B",IF(VD4&gt;1.5,"C",IF(VD4&gt;0,"D",IF(VD4=0,""))))))</f>
        <v/>
      </c>
      <c r="VF4" s="113" t="str">
        <f>IF(COUNT(VF5:VF9)=0,"",SUM(VF5:VF9)/COUNT(VF5:VF9))</f>
        <v/>
      </c>
      <c r="VG4" s="114" t="str">
        <f t="shared" ref="VG4:VG21" si="115">IF(VF4="","",IF(VF4&gt;3.7,"A",IF(VF4&gt;2.8,"B",IF(VF4&gt;1.5,"C",IF(VF4&gt;0,"D",IF(VF4=0,""))))))</f>
        <v/>
      </c>
      <c r="VH4" s="104"/>
      <c r="VI4" s="85"/>
      <c r="VJ4" s="105"/>
      <c r="VK4" s="106" t="str">
        <f>IF(COUNT(VK5:VK9)=0,"",SUM(VK5:VK9)/COUNT(VK5:VK9))</f>
        <v/>
      </c>
      <c r="VL4" s="107" t="str">
        <f t="shared" ref="VL4:VL21" si="116">IF(VK4="","",IF(VK4&gt;3.7,"A",IF(VK4&gt;2.8,"B",IF(VK4&gt;1.5,"C",IF(VK4&gt;0,"D",IF(VK4=0,""))))))</f>
        <v/>
      </c>
      <c r="VM4" s="104"/>
      <c r="VN4" s="85"/>
      <c r="VO4" s="105"/>
      <c r="VP4" s="106" t="str">
        <f>IF(COUNT(VP5:VP9)=0,"",SUM(VP5:VP9)/COUNT(VP5:VP9))</f>
        <v/>
      </c>
      <c r="VQ4" s="108" t="str">
        <f t="shared" ref="VQ4:VQ21" si="117">IF(VP4="","",IF(VP4&gt;3.7,"A",IF(VP4&gt;2.8,"B",IF(VP4&gt;1.5,"C",IF(VP4&gt;0,"D",IF(VP4=0,""))))))</f>
        <v/>
      </c>
      <c r="VR4" s="109"/>
      <c r="VS4" s="110"/>
      <c r="VT4" s="111"/>
      <c r="VU4" s="106" t="str">
        <f>IF(COUNT(VU5:VU9)=0,"",SUM(VU5:VU9)/COUNT(VU5:VU9))</f>
        <v/>
      </c>
      <c r="VV4" s="112" t="str">
        <f t="shared" ref="VV4:VV21" si="118">IF(VU4="","",IF(VU4&gt;3.7,"A",IF(VU4&gt;2.8,"B",IF(VU4&gt;1.5,"C",IF(VU4&gt;0,"D",IF(VU4=0,""))))))</f>
        <v/>
      </c>
      <c r="VW4" s="113" t="str">
        <f>IF(COUNT(VW5:VW9)=0,"",SUM(VW5:VW9)/COUNT(VW5:VW9))</f>
        <v/>
      </c>
      <c r="VX4" s="114" t="str">
        <f t="shared" ref="VX4:VX21" si="119">IF(VW4="","",IF(VW4&gt;3.7,"A",IF(VW4&gt;2.8,"B",IF(VW4&gt;1.5,"C",IF(VW4&gt;0,"D",IF(VW4=0,""))))))</f>
        <v/>
      </c>
    </row>
    <row r="5" spans="1:596" ht="18" customHeight="1" x14ac:dyDescent="0.55000000000000004">
      <c r="A5" s="246" t="s">
        <v>12</v>
      </c>
      <c r="B5" s="247"/>
      <c r="C5" s="116"/>
      <c r="D5" s="117" t="s">
        <v>30</v>
      </c>
      <c r="E5" s="118"/>
      <c r="F5" s="180">
        <f>IFERROR((((COUNTIF('Elève (4ème5)'!C5:E5,"A"))*4)+((COUNTIF('Elève (4ème5)'!C5:E5,"B"))*3)+((COUNTIF('Elève (4ème5)'!C5:E5,"C"))*2)+((COUNTIF('Elève (4ème5)'!C5:E5,"D"))*1))/(COUNTA(C5:E5)),"")</f>
        <v>3</v>
      </c>
      <c r="G5" s="181" t="str">
        <f t="shared" si="0"/>
        <v>B</v>
      </c>
      <c r="H5" s="116" t="s">
        <v>29</v>
      </c>
      <c r="I5" s="117"/>
      <c r="J5" s="118"/>
      <c r="K5" s="118"/>
      <c r="L5" s="180">
        <f>IFERROR((((COUNTIF('Elève (4ème5)'!H5:K5,"A"))*4)+((COUNTIF('Elève (4ème5)'!H5:K5,"B"))*3)+((COUNTIF('Elève (4ème5)'!H5:K5,"C"))*2)+((COUNTIF('Elève (4ème5)'!H5:K5,"D"))*1))/(COUNTA(H5:K5)),"")</f>
        <v>4</v>
      </c>
      <c r="M5" s="181" t="str">
        <f t="shared" si="1"/>
        <v>A</v>
      </c>
      <c r="N5" s="116"/>
      <c r="O5" s="117"/>
      <c r="P5" s="118"/>
      <c r="Q5" s="118"/>
      <c r="R5" s="118"/>
      <c r="S5" s="180" t="str">
        <f>IFERROR((((COUNTIF('Elève (4ème5)'!N5:R5,"A"))*4)+((COUNTIF('Elève (4ème5)'!N5:R5,"B"))*3)+((COUNTIF('Elève (4ème5)'!N5:R5,"C"))*2)+((COUNTIF('Elève (4ème5)'!N5:R5,"D"))*1))/(COUNTA(N5:R5)),"")</f>
        <v/>
      </c>
      <c r="T5" s="181" t="str">
        <f t="shared" si="2"/>
        <v/>
      </c>
      <c r="U5" s="180">
        <f>IF(COUNT(F5,L5,S5)=0,"",SUM(F5,L5,S5)/COUNT(F5,L5,S5))</f>
        <v>3.5</v>
      </c>
      <c r="V5" s="205" t="str">
        <f t="shared" si="3"/>
        <v>B</v>
      </c>
      <c r="W5" s="116"/>
      <c r="X5" s="117" t="s">
        <v>31</v>
      </c>
      <c r="Y5" s="118"/>
      <c r="Z5" s="180">
        <f>IFERROR((((COUNTIF('Elève (4ème5)'!W5:Y5,"A"))*4)+((COUNTIF('Elève (4ème5)'!W5:Y5,"B"))*3)+((COUNTIF('Elève (4ème5)'!W5:Y5,"C"))*2)+((COUNTIF('Elève (4ème5)'!W5:Y5,"D"))*1))/(COUNTA(W5:Y5)),"")</f>
        <v>2</v>
      </c>
      <c r="AA5" s="181" t="str">
        <f t="shared" si="4"/>
        <v>C</v>
      </c>
      <c r="AB5" s="116" t="s">
        <v>31</v>
      </c>
      <c r="AC5" s="117"/>
      <c r="AD5" s="118"/>
      <c r="AE5" s="118"/>
      <c r="AF5" s="180">
        <f>IFERROR((((COUNTIF('Elève (4ème5)'!AB5:AE5,"A"))*4)+((COUNTIF('Elève (4ème5)'!AB5:AE5,"B"))*3)+((COUNTIF('Elève (4ème5)'!AB5:AE5,"C"))*2)+((COUNTIF('Elève (4ème5)'!AB5:AE5,"D"))*1))/(COUNTA(AB5:AE5)),"")</f>
        <v>2</v>
      </c>
      <c r="AG5" s="181" t="str">
        <f t="shared" si="5"/>
        <v>C</v>
      </c>
      <c r="AH5" s="116"/>
      <c r="AI5" s="117"/>
      <c r="AJ5" s="118"/>
      <c r="AK5" s="118"/>
      <c r="AL5" s="118"/>
      <c r="AM5" s="180" t="str">
        <f>IFERROR((((COUNTIF('Elève (4ème5)'!AH5:AL5,"A"))*4)+((COUNTIF('Elève (4ème5)'!AH5:AL5,"B"))*3)+((COUNTIF('Elève (4ème5)'!AH5:AL5,"C"))*2)+((COUNTIF('Elève (4ème5)'!AH5:AL5,"D"))*1))/(COUNTA(AH5:AL5)),"")</f>
        <v/>
      </c>
      <c r="AN5" s="181" t="str">
        <f t="shared" si="6"/>
        <v/>
      </c>
      <c r="AO5" s="180">
        <f>IF(COUNT(Z5,AF5,AM5)=0,"",SUM(Z5,AF5,AM5)/COUNT(Z5,AF5,AM5))</f>
        <v>2</v>
      </c>
      <c r="AP5" s="205" t="str">
        <f t="shared" si="7"/>
        <v>C</v>
      </c>
      <c r="AQ5" s="116"/>
      <c r="AR5" s="117" t="s">
        <v>31</v>
      </c>
      <c r="AS5" s="118"/>
      <c r="AT5" s="180">
        <f>IFERROR((((COUNTIF('Elève (4ème5)'!AQ5:AS5,"A"))*4)+((COUNTIF('Elève (4ème5)'!AQ5:AS5,"B"))*3)+((COUNTIF('Elève (4ème5)'!AQ5:AS5,"C"))*2)+((COUNTIF('Elève (4ème5)'!AQ5:AS5,"D"))*1))/(COUNTA(AQ5:AS5)),"")</f>
        <v>2</v>
      </c>
      <c r="AU5" s="181" t="str">
        <f t="shared" si="8"/>
        <v>C</v>
      </c>
      <c r="AV5" s="116" t="s">
        <v>29</v>
      </c>
      <c r="AW5" s="117"/>
      <c r="AX5" s="118"/>
      <c r="AY5" s="118"/>
      <c r="AZ5" s="180">
        <f>IFERROR((((COUNTIF('Elève (4ème5)'!AV5:AY5,"A"))*4)+((COUNTIF('Elève (4ème5)'!AV5:AY5,"B"))*3)+((COUNTIF('Elève (4ème5)'!AV5:AY5,"C"))*2)+((COUNTIF('Elève (4ème5)'!AV5:AY5,"D"))*1))/(COUNTA(AV5:AY5)),"")</f>
        <v>4</v>
      </c>
      <c r="BA5" s="181" t="str">
        <f t="shared" si="9"/>
        <v>A</v>
      </c>
      <c r="BB5" s="116"/>
      <c r="BC5" s="117"/>
      <c r="BD5" s="118"/>
      <c r="BE5" s="118"/>
      <c r="BF5" s="118"/>
      <c r="BG5" s="180" t="str">
        <f>IFERROR((((COUNTIF('Elève (4ème5)'!BB5:BF5,"A"))*4)+((COUNTIF('Elève (4ème5)'!BB5:BF5,"B"))*3)+((COUNTIF('Elève (4ème5)'!BB5:BF5,"C"))*2)+((COUNTIF('Elève (4ème5)'!BB5:BF5,"D"))*1))/(COUNTA(BB5:BF5)),"")</f>
        <v/>
      </c>
      <c r="BH5" s="181" t="str">
        <f t="shared" si="10"/>
        <v/>
      </c>
      <c r="BI5" s="180">
        <f>IF(COUNT(AT5,AZ5,BG5)=0,"",SUM(AT5,AZ5,BG5)/COUNT(AT5,AZ5,BG5))</f>
        <v>3</v>
      </c>
      <c r="BJ5" s="205" t="str">
        <f t="shared" si="11"/>
        <v>B</v>
      </c>
      <c r="BK5" s="116"/>
      <c r="BL5" s="117" t="s">
        <v>31</v>
      </c>
      <c r="BM5" s="118"/>
      <c r="BN5" s="180">
        <f>IFERROR((((COUNTIF('Elève (4ème5)'!BK5:BM5,"A"))*4)+((COUNTIF('Elève (4ème5)'!BK5:BM5,"B"))*3)+((COUNTIF('Elève (4ème5)'!BK5:BM5,"C"))*2)+((COUNTIF('Elève (4ème5)'!BK5:BM5,"D"))*1))/(COUNTA(BK5:BM5)),"")</f>
        <v>2</v>
      </c>
      <c r="BO5" s="181" t="str">
        <f t="shared" si="12"/>
        <v>C</v>
      </c>
      <c r="BP5" s="116" t="s">
        <v>29</v>
      </c>
      <c r="BQ5" s="117"/>
      <c r="BR5" s="118"/>
      <c r="BS5" s="118"/>
      <c r="BT5" s="180">
        <f>IFERROR((((COUNTIF('Elève (4ème5)'!BP5:BS5,"A"))*4)+((COUNTIF('Elève (4ème5)'!BP5:BS5,"B"))*3)+((COUNTIF('Elève (4ème5)'!BP5:BS5,"C"))*2)+((COUNTIF('Elève (4ème5)'!BP5:BS5,"D"))*1))/(COUNTA(BP5:BS5)),"")</f>
        <v>4</v>
      </c>
      <c r="BU5" s="181" t="str">
        <f t="shared" si="13"/>
        <v>A</v>
      </c>
      <c r="BV5" s="116"/>
      <c r="BW5" s="117"/>
      <c r="BX5" s="118"/>
      <c r="BY5" s="118"/>
      <c r="BZ5" s="118"/>
      <c r="CA5" s="180" t="str">
        <f>IFERROR((((COUNTIF('Elève (4ème5)'!BV5:BZ5,"A"))*4)+((COUNTIF('Elève (4ème5)'!BV5:BZ5,"B"))*3)+((COUNTIF('Elève (4ème5)'!BV5:BZ5,"C"))*2)+((COUNTIF('Elève (4ème5)'!BV5:BZ5,"D"))*1))/(COUNTA(BV5:BZ5)),"")</f>
        <v/>
      </c>
      <c r="CB5" s="181" t="str">
        <f t="shared" si="14"/>
        <v/>
      </c>
      <c r="CC5" s="180">
        <f>IF(COUNT(BN5,BT5,CA5)=0,"",SUM(BN5,BT5,CA5)/COUNT(BN5,BT5,CA5))</f>
        <v>3</v>
      </c>
      <c r="CD5" s="205" t="str">
        <f t="shared" si="15"/>
        <v>B</v>
      </c>
      <c r="CE5" s="116"/>
      <c r="CF5" s="117" t="s">
        <v>31</v>
      </c>
      <c r="CG5" s="118"/>
      <c r="CH5" s="180">
        <f>IFERROR((((COUNTIF('Elève (4ème5)'!CE5:CG5,"A"))*4)+((COUNTIF('Elève (4ème5)'!CE5:CG5,"B"))*3)+((COUNTIF('Elève (4ème5)'!CE5:CG5,"C"))*2)+((COUNTIF('Elève (4ème5)'!CE5:CG5,"D"))*1))/(COUNTA(CE5:CG5)),"")</f>
        <v>2</v>
      </c>
      <c r="CI5" s="181" t="str">
        <f t="shared" si="16"/>
        <v>C</v>
      </c>
      <c r="CJ5" s="116" t="s">
        <v>29</v>
      </c>
      <c r="CK5" s="117"/>
      <c r="CL5" s="118"/>
      <c r="CM5" s="118"/>
      <c r="CN5" s="180">
        <f>IFERROR((((COUNTIF('Elève (4ème5)'!CJ5:CM5,"A"))*4)+((COUNTIF('Elève (4ème5)'!CJ5:CM5,"B"))*3)+((COUNTIF('Elève (4ème5)'!CJ5:CM5,"C"))*2)+((COUNTIF('Elève (4ème5)'!CJ5:CM5,"D"))*1))/(COUNTA(CJ5:CM5)),"")</f>
        <v>4</v>
      </c>
      <c r="CO5" s="181" t="str">
        <f t="shared" si="17"/>
        <v>A</v>
      </c>
      <c r="CP5" s="116"/>
      <c r="CQ5" s="117"/>
      <c r="CR5" s="118"/>
      <c r="CS5" s="118"/>
      <c r="CT5" s="118"/>
      <c r="CU5" s="180" t="str">
        <f>IFERROR((((COUNTIF('Elève (4ème5)'!CP5:CT5,"A"))*4)+((COUNTIF('Elève (4ème5)'!CP5:CT5,"B"))*3)+((COUNTIF('Elève (4ème5)'!CP5:CT5,"C"))*2)+((COUNTIF('Elève (4ème5)'!CP5:CT5,"D"))*1))/(COUNTA(CP5:CT5)),"")</f>
        <v/>
      </c>
      <c r="CV5" s="181" t="str">
        <f t="shared" si="18"/>
        <v/>
      </c>
      <c r="CW5" s="180">
        <f>IF(COUNT(CH5,CN5,CU5)=0,"",SUM(CH5,CN5,CU5)/COUNT(CH5,CN5,CU5))</f>
        <v>3</v>
      </c>
      <c r="CX5" s="205" t="str">
        <f t="shared" si="19"/>
        <v>B</v>
      </c>
      <c r="CY5" s="116"/>
      <c r="CZ5" s="117" t="s">
        <v>30</v>
      </c>
      <c r="DA5" s="118"/>
      <c r="DB5" s="180">
        <f>IFERROR((((COUNTIF('Elève (4ème5)'!CY5:DA5,"A"))*4)+((COUNTIF('Elève (4ème5)'!CY5:DA5,"B"))*3)+((COUNTIF('Elève (4ème5)'!CY5:DA5,"C"))*2)+((COUNTIF('Elève (4ème5)'!CY5:DA5,"D"))*1))/(COUNTA(CY5:DA5)),"")</f>
        <v>3</v>
      </c>
      <c r="DC5" s="181" t="str">
        <f t="shared" si="20"/>
        <v>B</v>
      </c>
      <c r="DD5" s="116" t="s">
        <v>30</v>
      </c>
      <c r="DE5" s="117"/>
      <c r="DF5" s="118"/>
      <c r="DG5" s="118"/>
      <c r="DH5" s="180">
        <f>IFERROR((((COUNTIF('Elève (4ème5)'!DD5:DG5,"A"))*4)+((COUNTIF('Elève (4ème5)'!DD5:DG5,"B"))*3)+((COUNTIF('Elève (4ème5)'!DD5:DG5,"C"))*2)+((COUNTIF('Elève (4ème5)'!DD5:DG5,"D"))*1))/(COUNTA(DD5:DG5)),"")</f>
        <v>3</v>
      </c>
      <c r="DI5" s="181" t="str">
        <f t="shared" si="21"/>
        <v>B</v>
      </c>
      <c r="DJ5" s="116"/>
      <c r="DK5" s="117"/>
      <c r="DL5" s="118"/>
      <c r="DM5" s="118"/>
      <c r="DN5" s="118"/>
      <c r="DO5" s="180" t="str">
        <f>IFERROR((((COUNTIF('Elève (4ème5)'!DJ5:DN5,"A"))*4)+((COUNTIF('Elève (4ème5)'!DJ5:DN5,"B"))*3)+((COUNTIF('Elève (4ème5)'!DJ5:DN5,"C"))*2)+((COUNTIF('Elève (4ème5)'!DJ5:DN5,"D"))*1))/(COUNTA(DJ5:DN5)),"")</f>
        <v/>
      </c>
      <c r="DP5" s="181" t="str">
        <f t="shared" si="22"/>
        <v/>
      </c>
      <c r="DQ5" s="180">
        <f>IF(COUNT(DB5,DH5,DO5)=0,"",SUM(DB5,DH5,DO5)/COUNT(DB5,DH5,DO5))</f>
        <v>3</v>
      </c>
      <c r="DR5" s="205" t="str">
        <f t="shared" si="23"/>
        <v>B</v>
      </c>
      <c r="DS5" s="116"/>
      <c r="DT5" s="117" t="s">
        <v>32</v>
      </c>
      <c r="DU5" s="118"/>
      <c r="DV5" s="180">
        <f>IFERROR((((COUNTIF('Elève (4ème5)'!DS5:DU5,"A"))*4)+((COUNTIF('Elève (4ème5)'!DS5:DU5,"B"))*3)+((COUNTIF('Elève (4ème5)'!DS5:DU5,"C"))*2)+((COUNTIF('Elève (4ème5)'!DS5:DU5,"D"))*1))/(COUNTA(DS5:DU5)),"")</f>
        <v>1</v>
      </c>
      <c r="DW5" s="181" t="str">
        <f t="shared" si="24"/>
        <v>D</v>
      </c>
      <c r="DX5" s="116" t="s">
        <v>30</v>
      </c>
      <c r="DY5" s="117"/>
      <c r="DZ5" s="118"/>
      <c r="EA5" s="118"/>
      <c r="EB5" s="180">
        <f>IFERROR((((COUNTIF('Elève (4ème5)'!DX5:EA5,"A"))*4)+((COUNTIF('Elève (4ème5)'!DX5:EA5,"B"))*3)+((COUNTIF('Elève (4ème5)'!DX5:EA5,"C"))*2)+((COUNTIF('Elève (4ème5)'!DX5:EA5,"D"))*1))/(COUNTA(DX5:EA5)),"")</f>
        <v>3</v>
      </c>
      <c r="EC5" s="181" t="str">
        <f t="shared" si="25"/>
        <v>B</v>
      </c>
      <c r="ED5" s="116"/>
      <c r="EE5" s="117"/>
      <c r="EF5" s="118"/>
      <c r="EG5" s="118"/>
      <c r="EH5" s="118"/>
      <c r="EI5" s="180" t="str">
        <f>IFERROR((((COUNTIF('Elève (4ème5)'!ED5:EH5,"A"))*4)+((COUNTIF('Elève (4ème5)'!ED5:EH5,"B"))*3)+((COUNTIF('Elève (4ème5)'!ED5:EH5,"C"))*2)+((COUNTIF('Elève (4ème5)'!ED5:EH5,"D"))*1))/(COUNTA(ED5:EH5)),"")</f>
        <v/>
      </c>
      <c r="EJ5" s="181" t="str">
        <f t="shared" si="26"/>
        <v/>
      </c>
      <c r="EK5" s="180">
        <f>IF(COUNT(DV5,EB5,EI5)=0,"",SUM(DV5,EB5,EI5)/COUNT(DV5,EB5,EI5))</f>
        <v>2</v>
      </c>
      <c r="EL5" s="205" t="str">
        <f t="shared" si="27"/>
        <v>C</v>
      </c>
      <c r="EM5" s="116"/>
      <c r="EN5" s="117" t="s">
        <v>31</v>
      </c>
      <c r="EO5" s="118"/>
      <c r="EP5" s="180">
        <f>IFERROR((((COUNTIF('Elève (4ème5)'!EM5:EO5,"A"))*4)+((COUNTIF('Elève (4ème5)'!EM5:EO5,"B"))*3)+((COUNTIF('Elève (4ème5)'!EM5:EO5,"C"))*2)+((COUNTIF('Elève (4ème5)'!EM5:EO5,"D"))*1))/(COUNTA(EM5:EO5)),"")</f>
        <v>2</v>
      </c>
      <c r="EQ5" s="181" t="str">
        <f t="shared" si="28"/>
        <v>C</v>
      </c>
      <c r="ER5" s="116" t="s">
        <v>29</v>
      </c>
      <c r="ES5" s="117"/>
      <c r="ET5" s="118"/>
      <c r="EU5" s="118"/>
      <c r="EV5" s="180">
        <f>IFERROR((((COUNTIF('Elève (4ème5)'!ER5:EU5,"A"))*4)+((COUNTIF('Elève (4ème5)'!ER5:EU5,"B"))*3)+((COUNTIF('Elève (4ème5)'!ER5:EU5,"C"))*2)+((COUNTIF('Elève (4ème5)'!ER5:EU5,"D"))*1))/(COUNTA(ER5:EU5)),"")</f>
        <v>4</v>
      </c>
      <c r="EW5" s="181" t="str">
        <f t="shared" si="29"/>
        <v>A</v>
      </c>
      <c r="EX5" s="116"/>
      <c r="EY5" s="117"/>
      <c r="EZ5" s="118"/>
      <c r="FA5" s="118"/>
      <c r="FB5" s="118"/>
      <c r="FC5" s="180" t="str">
        <f>IFERROR((((COUNTIF('Elève (4ème5)'!EX5:FB5,"A"))*4)+((COUNTIF('Elève (4ème5)'!EX5:FB5,"B"))*3)+((COUNTIF('Elève (4ème5)'!EX5:FB5,"C"))*2)+((COUNTIF('Elève (4ème5)'!EX5:FB5,"D"))*1))/(COUNTA(EX5:FB5)),"")</f>
        <v/>
      </c>
      <c r="FD5" s="181" t="str">
        <f t="shared" si="30"/>
        <v/>
      </c>
      <c r="FE5" s="180">
        <f>IF(COUNT(EP5,EV5,FC5)=0,"",SUM(EP5,EV5,FC5)/COUNT(EP5,EV5,FC5))</f>
        <v>3</v>
      </c>
      <c r="FF5" s="205" t="str">
        <f t="shared" si="31"/>
        <v>B</v>
      </c>
      <c r="FG5" s="116"/>
      <c r="FH5" s="117" t="s">
        <v>32</v>
      </c>
      <c r="FI5" s="118"/>
      <c r="FJ5" s="180">
        <f>IFERROR((((COUNTIF('Elève (4ème5)'!FG5:FI5,"A"))*4)+((COUNTIF('Elève (4ème5)'!FG5:FI5,"B"))*3)+((COUNTIF('Elève (4ème5)'!FG5:FI5,"C"))*2)+((COUNTIF('Elève (4ème5)'!FG5:FI5,"D"))*1))/(COUNTA(FG5:FI5)),"")</f>
        <v>1</v>
      </c>
      <c r="FK5" s="181" t="str">
        <f t="shared" si="32"/>
        <v>D</v>
      </c>
      <c r="FL5" s="116" t="s">
        <v>32</v>
      </c>
      <c r="FM5" s="117"/>
      <c r="FN5" s="118"/>
      <c r="FO5" s="118"/>
      <c r="FP5" s="180">
        <f>IFERROR((((COUNTIF('Elève (4ème5)'!FL5:FO5,"A"))*4)+((COUNTIF('Elève (4ème5)'!FL5:FO5,"B"))*3)+((COUNTIF('Elève (4ème5)'!FL5:FO5,"C"))*2)+((COUNTIF('Elève (4ème5)'!FL5:FO5,"D"))*1))/(COUNTA(FL5:FO5)),"")</f>
        <v>1</v>
      </c>
      <c r="FQ5" s="181" t="str">
        <f t="shared" si="33"/>
        <v>D</v>
      </c>
      <c r="FR5" s="116"/>
      <c r="FS5" s="117"/>
      <c r="FT5" s="118"/>
      <c r="FU5" s="118"/>
      <c r="FV5" s="118"/>
      <c r="FW5" s="180" t="str">
        <f>IFERROR((((COUNTIF('Elève (4ème5)'!FR5:FV5,"A"))*4)+((COUNTIF('Elève (4ème5)'!FR5:FV5,"B"))*3)+((COUNTIF('Elève (4ème5)'!FR5:FV5,"C"))*2)+((COUNTIF('Elève (4ème5)'!FR5:FV5,"D"))*1))/(COUNTA(FR5:FV5)),"")</f>
        <v/>
      </c>
      <c r="FX5" s="181" t="str">
        <f t="shared" si="34"/>
        <v/>
      </c>
      <c r="FY5" s="180">
        <f>IF(COUNT(FJ5,FP5,FW5)=0,"",SUM(FJ5,FP5,FW5)/COUNT(FJ5,FP5,FW5))</f>
        <v>1</v>
      </c>
      <c r="FZ5" s="205" t="str">
        <f t="shared" si="35"/>
        <v>D</v>
      </c>
      <c r="GA5" s="116"/>
      <c r="GB5" s="117" t="s">
        <v>30</v>
      </c>
      <c r="GC5" s="118"/>
      <c r="GD5" s="180">
        <f>IFERROR((((COUNTIF('Elève (4ème5)'!GA5:GC5,"A"))*4)+((COUNTIF('Elève (4ème5)'!GA5:GC5,"B"))*3)+((COUNTIF('Elève (4ème5)'!GA5:GC5,"C"))*2)+((COUNTIF('Elève (4ème5)'!GA5:GC5,"D"))*1))/(COUNTA(GA5:GC5)),"")</f>
        <v>3</v>
      </c>
      <c r="GE5" s="181" t="str">
        <f t="shared" si="36"/>
        <v>B</v>
      </c>
      <c r="GF5" s="116" t="s">
        <v>29</v>
      </c>
      <c r="GG5" s="117"/>
      <c r="GH5" s="118"/>
      <c r="GI5" s="118"/>
      <c r="GJ5" s="180">
        <f>IFERROR((((COUNTIF('Elève (4ème5)'!GF5:GI5,"A"))*4)+((COUNTIF('Elève (4ème5)'!GF5:GI5,"B"))*3)+((COUNTIF('Elève (4ème5)'!GF5:GI5,"C"))*2)+((COUNTIF('Elève (4ème5)'!GF5:GI5,"D"))*1))/(COUNTA(GF5:GI5)),"")</f>
        <v>4</v>
      </c>
      <c r="GK5" s="181" t="str">
        <f t="shared" si="37"/>
        <v>A</v>
      </c>
      <c r="GL5" s="116"/>
      <c r="GM5" s="117"/>
      <c r="GN5" s="118"/>
      <c r="GO5" s="118"/>
      <c r="GP5" s="118"/>
      <c r="GQ5" s="180" t="str">
        <f>IFERROR((((COUNTIF('Elève (4ème5)'!GL5:GP5,"A"))*4)+((COUNTIF('Elève (4ème5)'!GL5:GP5,"B"))*3)+((COUNTIF('Elève (4ème5)'!GL5:GP5,"C"))*2)+((COUNTIF('Elève (4ème5)'!GL5:GP5,"D"))*1))/(COUNTA(GL5:GP5)),"")</f>
        <v/>
      </c>
      <c r="GR5" s="181" t="str">
        <f t="shared" si="38"/>
        <v/>
      </c>
      <c r="GS5" s="180">
        <f>IF(COUNT(GD5,GJ5,GQ5)=0,"",SUM(GD5,GJ5,GQ5)/COUNT(GD5,GJ5,GQ5))</f>
        <v>3.5</v>
      </c>
      <c r="GT5" s="205" t="str">
        <f t="shared" si="39"/>
        <v>B</v>
      </c>
      <c r="GU5" s="116"/>
      <c r="GV5" s="117" t="s">
        <v>32</v>
      </c>
      <c r="GW5" s="118"/>
      <c r="GX5" s="180">
        <f>IFERROR((((COUNTIF('Elève (4ème5)'!GU5:GW5,"A"))*4)+((COUNTIF('Elève (4ème5)'!GU5:GW5,"B"))*3)+((COUNTIF('Elève (4ème5)'!GU5:GW5,"C"))*2)+((COUNTIF('Elève (4ème5)'!GU5:GW5,"D"))*1))/(COUNTA(GU5:GW5)),"")</f>
        <v>1</v>
      </c>
      <c r="GY5" s="181" t="str">
        <f t="shared" si="40"/>
        <v>D</v>
      </c>
      <c r="GZ5" s="116" t="s">
        <v>31</v>
      </c>
      <c r="HA5" s="117"/>
      <c r="HB5" s="118"/>
      <c r="HC5" s="118"/>
      <c r="HD5" s="180">
        <f>IFERROR((((COUNTIF('Elève (4ème5)'!GZ5:HC5,"A"))*4)+((COUNTIF('Elève (4ème5)'!GZ5:HC5,"B"))*3)+((COUNTIF('Elève (4ème5)'!GZ5:HC5,"C"))*2)+((COUNTIF('Elève (4ème5)'!GZ5:HC5,"D"))*1))/(COUNTA(GZ5:HC5)),"")</f>
        <v>2</v>
      </c>
      <c r="HE5" s="181" t="str">
        <f t="shared" si="41"/>
        <v>C</v>
      </c>
      <c r="HF5" s="116"/>
      <c r="HG5" s="117"/>
      <c r="HH5" s="118"/>
      <c r="HI5" s="118"/>
      <c r="HJ5" s="118"/>
      <c r="HK5" s="180" t="str">
        <f>IFERROR((((COUNTIF('Elève (4ème5)'!HF5:HJ5,"A"))*4)+((COUNTIF('Elève (4ème5)'!HF5:HJ5,"B"))*3)+((COUNTIF('Elève (4ème5)'!HF5:HJ5,"C"))*2)+((COUNTIF('Elève (4ème5)'!HF5:HJ5,"D"))*1))/(COUNTA(HF5:HJ5)),"")</f>
        <v/>
      </c>
      <c r="HL5" s="181" t="str">
        <f t="shared" si="42"/>
        <v/>
      </c>
      <c r="HM5" s="180">
        <f>IF(COUNT(GX5,HD5,HK5)=0,"",SUM(GX5,HD5,HK5)/COUNT(GX5,HD5,HK5))</f>
        <v>1.5</v>
      </c>
      <c r="HN5" s="205" t="str">
        <f t="shared" si="43"/>
        <v>D</v>
      </c>
      <c r="HO5" s="116"/>
      <c r="HP5" s="117" t="s">
        <v>32</v>
      </c>
      <c r="HQ5" s="118"/>
      <c r="HR5" s="180">
        <f>IFERROR((((COUNTIF('Elève (4ème5)'!HO5:HQ5,"A"))*4)+((COUNTIF('Elève (4ème5)'!HO5:HQ5,"B"))*3)+((COUNTIF('Elève (4ème5)'!HO5:HQ5,"C"))*2)+((COUNTIF('Elève (4ème5)'!HO5:HQ5,"D"))*1))/(COUNTA(HO5:HQ5)),"")</f>
        <v>1</v>
      </c>
      <c r="HS5" s="181" t="str">
        <f t="shared" si="44"/>
        <v>D</v>
      </c>
      <c r="HT5" s="116" t="s">
        <v>29</v>
      </c>
      <c r="HU5" s="117"/>
      <c r="HV5" s="118"/>
      <c r="HW5" s="118"/>
      <c r="HX5" s="180">
        <f>IFERROR((((COUNTIF('Elève (4ème5)'!HT5:HW5,"A"))*4)+((COUNTIF('Elève (4ème5)'!HT5:HW5,"B"))*3)+((COUNTIF('Elève (4ème5)'!HT5:HW5,"C"))*2)+((COUNTIF('Elève (4ème5)'!HT5:HW5,"D"))*1))/(COUNTA(HT5:HW5)),"")</f>
        <v>4</v>
      </c>
      <c r="HY5" s="181" t="str">
        <f t="shared" si="45"/>
        <v>A</v>
      </c>
      <c r="HZ5" s="116"/>
      <c r="IA5" s="117"/>
      <c r="IB5" s="118"/>
      <c r="IC5" s="118"/>
      <c r="ID5" s="118"/>
      <c r="IE5" s="180" t="str">
        <f>IFERROR((((COUNTIF('Elève (4ème5)'!HZ5:ID5,"A"))*4)+((COUNTIF('Elève (4ème5)'!HZ5:ID5,"B"))*3)+((COUNTIF('Elève (4ème5)'!HZ5:ID5,"C"))*2)+((COUNTIF('Elève (4ème5)'!HZ5:ID5,"D"))*1))/(COUNTA(HZ5:ID5)),"")</f>
        <v/>
      </c>
      <c r="IF5" s="181" t="str">
        <f t="shared" si="46"/>
        <v/>
      </c>
      <c r="IG5" s="180">
        <f>IF(COUNT(HR5,HX5,IE5)=0,"",SUM(HR5,HX5,IE5)/COUNT(HR5,HX5,IE5))</f>
        <v>2.5</v>
      </c>
      <c r="IH5" s="205" t="str">
        <f t="shared" si="47"/>
        <v>C</v>
      </c>
      <c r="II5" s="116"/>
      <c r="IJ5" s="117" t="s">
        <v>30</v>
      </c>
      <c r="IK5" s="118"/>
      <c r="IL5" s="180">
        <f>IFERROR((((COUNTIF('Elève (4ème5)'!II5:IK5,"A"))*4)+((COUNTIF('Elève (4ème5)'!II5:IK5,"B"))*3)+((COUNTIF('Elève (4ème5)'!II5:IK5,"C"))*2)+((COUNTIF('Elève (4ème5)'!II5:IK5,"D"))*1))/(COUNTA(II5:IK5)),"")</f>
        <v>3</v>
      </c>
      <c r="IM5" s="181" t="str">
        <f t="shared" si="48"/>
        <v>B</v>
      </c>
      <c r="IN5" s="116" t="s">
        <v>29</v>
      </c>
      <c r="IO5" s="117"/>
      <c r="IP5" s="118"/>
      <c r="IQ5" s="118"/>
      <c r="IR5" s="180">
        <f>IFERROR((((COUNTIF('Elève (4ème5)'!IN5:IQ5,"A"))*4)+((COUNTIF('Elève (4ème5)'!IN5:IQ5,"B"))*3)+((COUNTIF('Elève (4ème5)'!IN5:IQ5,"C"))*2)+((COUNTIF('Elève (4ème5)'!IN5:IQ5,"D"))*1))/(COUNTA(IN5:IQ5)),"")</f>
        <v>4</v>
      </c>
      <c r="IS5" s="181" t="str">
        <f t="shared" si="49"/>
        <v>A</v>
      </c>
      <c r="IT5" s="116"/>
      <c r="IU5" s="117"/>
      <c r="IV5" s="118"/>
      <c r="IW5" s="118"/>
      <c r="IX5" s="118"/>
      <c r="IY5" s="180" t="str">
        <f>IFERROR((((COUNTIF('Elève (4ème5)'!IT5:IX5,"A"))*4)+((COUNTIF('Elève (4ème5)'!IT5:IX5,"B"))*3)+((COUNTIF('Elève (4ème5)'!IT5:IX5,"C"))*2)+((COUNTIF('Elève (4ème5)'!IT5:IX5,"D"))*1))/(COUNTA(IT5:IX5)),"")</f>
        <v/>
      </c>
      <c r="IZ5" s="181" t="str">
        <f t="shared" si="50"/>
        <v/>
      </c>
      <c r="JA5" s="180">
        <f>IF(COUNT(IL5,IR5,IY5)=0,"",SUM(IL5,IR5,IY5)/COUNT(IL5,IR5,IY5))</f>
        <v>3.5</v>
      </c>
      <c r="JB5" s="205" t="str">
        <f t="shared" si="51"/>
        <v>B</v>
      </c>
      <c r="JC5" s="116"/>
      <c r="JD5" s="117" t="s">
        <v>31</v>
      </c>
      <c r="JE5" s="118"/>
      <c r="JF5" s="180">
        <f>IFERROR((((COUNTIF('Elève (4ème5)'!JC5:JE5,"A"))*4)+((COUNTIF('Elève (4ème5)'!JC5:JE5,"B"))*3)+((COUNTIF('Elève (4ème5)'!JC5:JE5,"C"))*2)+((COUNTIF('Elève (4ème5)'!JC5:JE5,"D"))*1))/(COUNTA(JC5:JE5)),"")</f>
        <v>2</v>
      </c>
      <c r="JG5" s="181" t="str">
        <f t="shared" si="52"/>
        <v>C</v>
      </c>
      <c r="JH5" s="116" t="s">
        <v>29</v>
      </c>
      <c r="JI5" s="117"/>
      <c r="JJ5" s="118"/>
      <c r="JK5" s="118"/>
      <c r="JL5" s="180">
        <f>IFERROR((((COUNTIF('Elève (4ème5)'!JH5:JK5,"A"))*4)+((COUNTIF('Elève (4ème5)'!JH5:JK5,"B"))*3)+((COUNTIF('Elève (4ème5)'!JH5:JK5,"C"))*2)+((COUNTIF('Elève (4ème5)'!JH5:JK5,"D"))*1))/(COUNTA(JH5:JK5)),"")</f>
        <v>4</v>
      </c>
      <c r="JM5" s="181" t="str">
        <f t="shared" si="53"/>
        <v>A</v>
      </c>
      <c r="JN5" s="116"/>
      <c r="JO5" s="117"/>
      <c r="JP5" s="118"/>
      <c r="JQ5" s="118"/>
      <c r="JR5" s="118"/>
      <c r="JS5" s="180" t="str">
        <f>IFERROR((((COUNTIF('Elève (4ème5)'!JN5:JR5,"A"))*4)+((COUNTIF('Elève (4ème5)'!JN5:JR5,"B"))*3)+((COUNTIF('Elève (4ème5)'!JN5:JR5,"C"))*2)+((COUNTIF('Elève (4ème5)'!JN5:JR5,"D"))*1))/(COUNTA(JN5:JR5)),"")</f>
        <v/>
      </c>
      <c r="JT5" s="181" t="str">
        <f t="shared" si="54"/>
        <v/>
      </c>
      <c r="JU5" s="180">
        <f>IF(COUNT(JF5,JL5,JS5)=0,"",SUM(JF5,JL5,JS5)/COUNT(JF5,JL5,JS5))</f>
        <v>3</v>
      </c>
      <c r="JV5" s="205" t="str">
        <f t="shared" si="55"/>
        <v>B</v>
      </c>
      <c r="JW5" s="116"/>
      <c r="JX5" s="117" t="s">
        <v>31</v>
      </c>
      <c r="JY5" s="118"/>
      <c r="JZ5" s="180">
        <f>IFERROR((((COUNTIF('Elève (4ème5)'!JW5:JY5,"A"))*4)+((COUNTIF('Elève (4ème5)'!JW5:JY5,"B"))*3)+((COUNTIF('Elève (4ème5)'!JW5:JY5,"C"))*2)+((COUNTIF('Elève (4ème5)'!JW5:JY5,"D"))*1))/(COUNTA(JW5:JY5)),"")</f>
        <v>2</v>
      </c>
      <c r="KA5" s="181" t="str">
        <f t="shared" si="56"/>
        <v>C</v>
      </c>
      <c r="KB5" s="116" t="s">
        <v>30</v>
      </c>
      <c r="KC5" s="117"/>
      <c r="KD5" s="118"/>
      <c r="KE5" s="118"/>
      <c r="KF5" s="180">
        <f>IFERROR((((COUNTIF('Elève (4ème5)'!KB5:KE5,"A"))*4)+((COUNTIF('Elève (4ème5)'!KB5:KE5,"B"))*3)+((COUNTIF('Elève (4ème5)'!KB5:KE5,"C"))*2)+((COUNTIF('Elève (4ème5)'!KB5:KE5,"D"))*1))/(COUNTA(KB5:KE5)),"")</f>
        <v>3</v>
      </c>
      <c r="KG5" s="181" t="str">
        <f t="shared" si="57"/>
        <v>B</v>
      </c>
      <c r="KH5" s="116"/>
      <c r="KI5" s="117"/>
      <c r="KJ5" s="118"/>
      <c r="KK5" s="118"/>
      <c r="KL5" s="118"/>
      <c r="KM5" s="180" t="str">
        <f>IFERROR((((COUNTIF('Elève (4ème5)'!KH5:KL5,"A"))*4)+((COUNTIF('Elève (4ème5)'!KH5:KL5,"B"))*3)+((COUNTIF('Elève (4ème5)'!KH5:KL5,"C"))*2)+((COUNTIF('Elève (4ème5)'!KH5:KL5,"D"))*1))/(COUNTA(KH5:KL5)),"")</f>
        <v/>
      </c>
      <c r="KN5" s="181" t="str">
        <f t="shared" si="58"/>
        <v/>
      </c>
      <c r="KO5" s="180">
        <f>IF(COUNT(JZ5,KF5,KM5)=0,"",SUM(JZ5,KF5,KM5)/COUNT(JZ5,KF5,KM5))</f>
        <v>2.5</v>
      </c>
      <c r="KP5" s="205" t="str">
        <f t="shared" si="59"/>
        <v>C</v>
      </c>
      <c r="KQ5" s="116"/>
      <c r="KR5" s="117" t="s">
        <v>31</v>
      </c>
      <c r="KS5" s="118"/>
      <c r="KT5" s="180">
        <f>IFERROR((((COUNTIF('Elève (4ème5)'!KQ5:KS5,"A"))*4)+((COUNTIF('Elève (4ème5)'!KQ5:KS5,"B"))*3)+((COUNTIF('Elève (4ème5)'!KQ5:KS5,"C"))*2)+((COUNTIF('Elève (4ème5)'!KQ5:KS5,"D"))*1))/(COUNTA(KQ5:KS5)),"")</f>
        <v>2</v>
      </c>
      <c r="KU5" s="181" t="str">
        <f t="shared" si="60"/>
        <v>C</v>
      </c>
      <c r="KV5" s="116" t="s">
        <v>32</v>
      </c>
      <c r="KW5" s="117"/>
      <c r="KX5" s="118"/>
      <c r="KY5" s="118"/>
      <c r="KZ5" s="180">
        <f>IFERROR((((COUNTIF('Elève (4ème5)'!KV5:KY5,"A"))*4)+((COUNTIF('Elève (4ème5)'!KV5:KY5,"B"))*3)+((COUNTIF('Elève (4ème5)'!KV5:KY5,"C"))*2)+((COUNTIF('Elève (4ème5)'!KV5:KY5,"D"))*1))/(COUNTA(KV5:KY5)),"")</f>
        <v>1</v>
      </c>
      <c r="LA5" s="181" t="str">
        <f t="shared" si="61"/>
        <v>D</v>
      </c>
      <c r="LB5" s="116"/>
      <c r="LC5" s="117"/>
      <c r="LD5" s="118"/>
      <c r="LE5" s="118"/>
      <c r="LF5" s="118"/>
      <c r="LG5" s="180" t="str">
        <f>IFERROR((((COUNTIF('Elève (4ème5)'!LB5:LF5,"A"))*4)+((COUNTIF('Elève (4ème5)'!LB5:LF5,"B"))*3)+((COUNTIF('Elève (4ème5)'!LB5:LF5,"C"))*2)+((COUNTIF('Elève (4ème5)'!LB5:LF5,"D"))*1))/(COUNTA(LB5:LF5)),"")</f>
        <v/>
      </c>
      <c r="LH5" s="181" t="str">
        <f t="shared" si="62"/>
        <v/>
      </c>
      <c r="LI5" s="180">
        <f>IF(COUNT(KT5,KZ5,LG5)=0,"",SUM(KT5,KZ5,LG5)/COUNT(KT5,KZ5,LG5))</f>
        <v>1.5</v>
      </c>
      <c r="LJ5" s="205" t="str">
        <f t="shared" si="63"/>
        <v>D</v>
      </c>
      <c r="LK5" s="116"/>
      <c r="LL5" s="117"/>
      <c r="LM5" s="118"/>
      <c r="LN5" s="180" t="str">
        <f>IFERROR((((COUNTIF('Elève (4ème5)'!LK5:LM5,"A"))*4)+((COUNTIF('Elève (4ème5)'!LK5:LM5,"B"))*3)+((COUNTIF('Elève (4ème5)'!LK5:LM5,"C"))*2)+((COUNTIF('Elève (4ème5)'!LK5:LM5,"D"))*1))/(COUNTA(LK5:LM5)),"")</f>
        <v/>
      </c>
      <c r="LO5" s="181" t="str">
        <f t="shared" si="64"/>
        <v/>
      </c>
      <c r="LP5" s="116"/>
      <c r="LQ5" s="117"/>
      <c r="LR5" s="118"/>
      <c r="LS5" s="118"/>
      <c r="LT5" s="180" t="str">
        <f>IFERROR((((COUNTIF('Elève (4ème5)'!LP5:LS5,"A"))*4)+((COUNTIF('Elève (4ème5)'!LP5:LS5,"B"))*3)+((COUNTIF('Elève (4ème5)'!LP5:LS5,"C"))*2)+((COUNTIF('Elève (4ème5)'!LP5:LS5,"D"))*1))/(COUNTA(LP5:LS5)),"")</f>
        <v/>
      </c>
      <c r="LU5" s="181" t="str">
        <f t="shared" si="65"/>
        <v/>
      </c>
      <c r="LV5" s="116"/>
      <c r="LW5" s="117"/>
      <c r="LX5" s="118"/>
      <c r="LY5" s="118"/>
      <c r="LZ5" s="118"/>
      <c r="MA5" s="180" t="str">
        <f>IFERROR((((COUNTIF('Elève (4ème5)'!LV5:LZ5,"A"))*4)+((COUNTIF('Elève (4ème5)'!LV5:LZ5,"B"))*3)+((COUNTIF('Elève (4ème5)'!LV5:LZ5,"C"))*2)+((COUNTIF('Elève (4ème5)'!LV5:LZ5,"D"))*1))/(COUNTA(LV5:LZ5)),"")</f>
        <v/>
      </c>
      <c r="MB5" s="181" t="str">
        <f t="shared" si="66"/>
        <v/>
      </c>
      <c r="MC5" s="180" t="str">
        <f>IF(COUNT(LN5,LT5,MA5)=0,"",SUM(LN5,LT5,MA5)/COUNT(LN5,LT5,MA5))</f>
        <v/>
      </c>
      <c r="MD5" s="205" t="str">
        <f t="shared" si="67"/>
        <v/>
      </c>
      <c r="ME5" s="116"/>
      <c r="MF5" s="117" t="s">
        <v>32</v>
      </c>
      <c r="MG5" s="118"/>
      <c r="MH5" s="180">
        <f>IFERROR((((COUNTIF('Elève (4ème5)'!ME5:MG5,"A"))*4)+((COUNTIF('Elève (4ème5)'!ME5:MG5,"B"))*3)+((COUNTIF('Elève (4ème5)'!ME5:MG5,"C"))*2)+((COUNTIF('Elève (4ème5)'!ME5:MG5,"D"))*1))/(COUNTA(ME5:MG5)),"")</f>
        <v>1</v>
      </c>
      <c r="MI5" s="181" t="str">
        <f t="shared" si="68"/>
        <v>D</v>
      </c>
      <c r="MJ5" s="116" t="s">
        <v>31</v>
      </c>
      <c r="MK5" s="117"/>
      <c r="ML5" s="118"/>
      <c r="MM5" s="118"/>
      <c r="MN5" s="180">
        <f>IFERROR((((COUNTIF('Elève (4ème5)'!MJ5:MM5,"A"))*4)+((COUNTIF('Elève (4ème5)'!MJ5:MM5,"B"))*3)+((COUNTIF('Elève (4ème5)'!MJ5:MM5,"C"))*2)+((COUNTIF('Elève (4ème5)'!MJ5:MM5,"D"))*1))/(COUNTA(MJ5:MM5)),"")</f>
        <v>2</v>
      </c>
      <c r="MO5" s="181" t="str">
        <f t="shared" si="69"/>
        <v>C</v>
      </c>
      <c r="MP5" s="116"/>
      <c r="MQ5" s="117"/>
      <c r="MR5" s="118"/>
      <c r="MS5" s="118"/>
      <c r="MT5" s="118"/>
      <c r="MU5" s="180" t="str">
        <f>IFERROR((((COUNTIF('Elève (4ème5)'!MP5:MT5,"A"))*4)+((COUNTIF('Elève (4ème5)'!MP5:MT5,"B"))*3)+((COUNTIF('Elève (4ème5)'!MP5:MT5,"C"))*2)+((COUNTIF('Elève (4ème5)'!MP5:MT5,"D"))*1))/(COUNTA(MP5:MT5)),"")</f>
        <v/>
      </c>
      <c r="MV5" s="181" t="str">
        <f t="shared" si="70"/>
        <v/>
      </c>
      <c r="MW5" s="180">
        <f>IF(COUNT(MH5,MN5,MU5)=0,"",SUM(MH5,MN5,MU5)/COUNT(MH5,MN5,MU5))</f>
        <v>1.5</v>
      </c>
      <c r="MX5" s="205" t="str">
        <f t="shared" si="71"/>
        <v>D</v>
      </c>
      <c r="MY5" s="116"/>
      <c r="MZ5" s="117" t="s">
        <v>32</v>
      </c>
      <c r="NA5" s="118"/>
      <c r="NB5" s="180">
        <f>IFERROR((((COUNTIF('Elève (4ème5)'!MY5:NA5,"A"))*4)+((COUNTIF('Elève (4ème5)'!MY5:NA5,"B"))*3)+((COUNTIF('Elève (4ème5)'!MY5:NA5,"C"))*2)+((COUNTIF('Elève (4ème5)'!MY5:NA5,"D"))*1))/(COUNTA(MY5:NA5)),"")</f>
        <v>1</v>
      </c>
      <c r="NC5" s="181" t="str">
        <f t="shared" si="72"/>
        <v>D</v>
      </c>
      <c r="ND5" s="116" t="s">
        <v>31</v>
      </c>
      <c r="NE5" s="117"/>
      <c r="NF5" s="118"/>
      <c r="NG5" s="118"/>
      <c r="NH5" s="180">
        <f>IFERROR((((COUNTIF('Elève (4ème5)'!ND5:NG5,"A"))*4)+((COUNTIF('Elève (4ème5)'!ND5:NG5,"B"))*3)+((COUNTIF('Elève (4ème5)'!ND5:NG5,"C"))*2)+((COUNTIF('Elève (4ème5)'!ND5:NG5,"D"))*1))/(COUNTA(ND5:NG5)),"")</f>
        <v>2</v>
      </c>
      <c r="NI5" s="181" t="str">
        <f t="shared" si="73"/>
        <v>C</v>
      </c>
      <c r="NJ5" s="116"/>
      <c r="NK5" s="117"/>
      <c r="NL5" s="118"/>
      <c r="NM5" s="118"/>
      <c r="NN5" s="118"/>
      <c r="NO5" s="180" t="str">
        <f>IFERROR((((COUNTIF('Elève (4ème5)'!NJ5:NN5,"A"))*4)+((COUNTIF('Elève (4ème5)'!NJ5:NN5,"B"))*3)+((COUNTIF('Elève (4ème5)'!NJ5:NN5,"C"))*2)+((COUNTIF('Elève (4ème5)'!NJ5:NN5,"D"))*1))/(COUNTA(NJ5:NN5)),"")</f>
        <v/>
      </c>
      <c r="NP5" s="181" t="str">
        <f t="shared" si="74"/>
        <v/>
      </c>
      <c r="NQ5" s="180">
        <f>IF(COUNT(NB5,NH5,NO5)=0,"",SUM(NB5,NH5,NO5)/COUNT(NB5,NH5,NO5))</f>
        <v>1.5</v>
      </c>
      <c r="NR5" s="205" t="str">
        <f t="shared" si="75"/>
        <v>D</v>
      </c>
      <c r="NS5" s="116"/>
      <c r="NT5" s="117" t="s">
        <v>32</v>
      </c>
      <c r="NU5" s="118"/>
      <c r="NV5" s="180">
        <f>IFERROR((((COUNTIF('Elève (4ème5)'!NS5:NU5,"A"))*4)+((COUNTIF('Elève (4ème5)'!NS5:NU5,"B"))*3)+((COUNTIF('Elève (4ème5)'!NS5:NU5,"C"))*2)+((COUNTIF('Elève (4ème5)'!NS5:NU5,"D"))*1))/(COUNTA(NS5:NU5)),"")</f>
        <v>1</v>
      </c>
      <c r="NW5" s="181" t="str">
        <f t="shared" si="76"/>
        <v>D</v>
      </c>
      <c r="NX5" s="116" t="s">
        <v>30</v>
      </c>
      <c r="NY5" s="117"/>
      <c r="NZ5" s="118"/>
      <c r="OA5" s="118"/>
      <c r="OB5" s="180">
        <f>IFERROR((((COUNTIF('Elève (4ème5)'!NX5:OA5,"A"))*4)+((COUNTIF('Elève (4ème5)'!NX5:OA5,"B"))*3)+((COUNTIF('Elève (4ème5)'!NX5:OA5,"C"))*2)+((COUNTIF('Elève (4ème5)'!NX5:OA5,"D"))*1))/(COUNTA(NX5:OA5)),"")</f>
        <v>3</v>
      </c>
      <c r="OC5" s="181" t="str">
        <f t="shared" si="77"/>
        <v>B</v>
      </c>
      <c r="OD5" s="116"/>
      <c r="OE5" s="117"/>
      <c r="OF5" s="118"/>
      <c r="OG5" s="118"/>
      <c r="OH5" s="118"/>
      <c r="OI5" s="180" t="str">
        <f>IFERROR((((COUNTIF('Elève (4ème5)'!OD5:OH5,"A"))*4)+((COUNTIF('Elève (4ème5)'!OD5:OH5,"B"))*3)+((COUNTIF('Elève (4ème5)'!OD5:OH5,"C"))*2)+((COUNTIF('Elève (4ème5)'!OD5:OH5,"D"))*1))/(COUNTA(OD5:OH5)),"")</f>
        <v/>
      </c>
      <c r="OJ5" s="181" t="str">
        <f t="shared" si="78"/>
        <v/>
      </c>
      <c r="OK5" s="180">
        <f>IF(COUNT(NV5,OB5,OI5)=0,"",SUM(NV5,OB5,OI5)/COUNT(NV5,OB5,OI5))</f>
        <v>2</v>
      </c>
      <c r="OL5" s="205" t="str">
        <f t="shared" si="79"/>
        <v>C</v>
      </c>
      <c r="OM5" s="116"/>
      <c r="ON5" s="117" t="s">
        <v>32</v>
      </c>
      <c r="OO5" s="118"/>
      <c r="OP5" s="180">
        <f>IFERROR((((COUNTIF('Elève (4ème5)'!OM5:OO5,"A"))*4)+((COUNTIF('Elève (4ème5)'!OM5:OO5,"B"))*3)+((COUNTIF('Elève (4ème5)'!OM5:OO5,"C"))*2)+((COUNTIF('Elève (4ème5)'!OM5:OO5,"D"))*1))/(COUNTA(OM5:OO5)),"")</f>
        <v>1</v>
      </c>
      <c r="OQ5" s="181" t="str">
        <f t="shared" si="80"/>
        <v>D</v>
      </c>
      <c r="OR5" s="116" t="s">
        <v>29</v>
      </c>
      <c r="OS5" s="117"/>
      <c r="OT5" s="118"/>
      <c r="OU5" s="118"/>
      <c r="OV5" s="180">
        <f>IFERROR((((COUNTIF('Elève (4ème5)'!OR5:OU5,"A"))*4)+((COUNTIF('Elève (4ème5)'!OR5:OU5,"B"))*3)+((COUNTIF('Elève (4ème5)'!OR5:OU5,"C"))*2)+((COUNTIF('Elève (4ème5)'!OR5:OU5,"D"))*1))/(COUNTA(OR5:OU5)),"")</f>
        <v>4</v>
      </c>
      <c r="OW5" s="181" t="str">
        <f t="shared" si="81"/>
        <v>A</v>
      </c>
      <c r="OX5" s="116"/>
      <c r="OY5" s="117"/>
      <c r="OZ5" s="118"/>
      <c r="PA5" s="118"/>
      <c r="PB5" s="118"/>
      <c r="PC5" s="180" t="str">
        <f>IFERROR((((COUNTIF('Elève (4ème5)'!OX5:PB5,"A"))*4)+((COUNTIF('Elève (4ème5)'!OX5:PB5,"B"))*3)+((COUNTIF('Elève (4ème5)'!OX5:PB5,"C"))*2)+((COUNTIF('Elève (4ème5)'!OX5:PB5,"D"))*1))/(COUNTA(OX5:PB5)),"")</f>
        <v/>
      </c>
      <c r="PD5" s="181" t="str">
        <f t="shared" si="82"/>
        <v/>
      </c>
      <c r="PE5" s="180">
        <f>IF(COUNT(OP5,OV5,PC5)=0,"",SUM(OP5,OV5,PC5)/COUNT(OP5,OV5,PC5))</f>
        <v>2.5</v>
      </c>
      <c r="PF5" s="205" t="str">
        <f t="shared" si="83"/>
        <v>C</v>
      </c>
      <c r="PG5" s="116"/>
      <c r="PH5" s="117"/>
      <c r="PI5" s="118"/>
      <c r="PJ5" s="180" t="str">
        <f>IFERROR((((COUNTIF('Elève (4ème5)'!PG5:PI5,"A"))*4)+((COUNTIF('Elève (4ème5)'!PG5:PI5,"B"))*3)+((COUNTIF('Elève (4ème5)'!PG5:PI5,"C"))*2)+((COUNTIF('Elève (4ème5)'!PG5:PI5,"D"))*1))/(COUNTA(PG5:PI5)),"")</f>
        <v/>
      </c>
      <c r="PK5" s="181" t="str">
        <f t="shared" si="84"/>
        <v/>
      </c>
      <c r="PL5" s="116" t="s">
        <v>29</v>
      </c>
      <c r="PM5" s="117"/>
      <c r="PN5" s="118"/>
      <c r="PO5" s="118"/>
      <c r="PP5" s="180">
        <f>IFERROR((((COUNTIF('Elève (4ème5)'!PL5:PO5,"A"))*4)+((COUNTIF('Elève (4ème5)'!PL5:PO5,"B"))*3)+((COUNTIF('Elève (4ème5)'!PL5:PO5,"C"))*2)+((COUNTIF('Elève (4ème5)'!PL5:PO5,"D"))*1))/(COUNTA(PL5:PO5)),"")</f>
        <v>4</v>
      </c>
      <c r="PQ5" s="181" t="str">
        <f t="shared" si="85"/>
        <v>A</v>
      </c>
      <c r="PR5" s="116"/>
      <c r="PS5" s="117"/>
      <c r="PT5" s="118"/>
      <c r="PU5" s="118"/>
      <c r="PV5" s="118"/>
      <c r="PW5" s="180" t="str">
        <f>IFERROR((((COUNTIF('Elève (4ème5)'!PR5:PV5,"A"))*4)+((COUNTIF('Elève (4ème5)'!PR5:PV5,"B"))*3)+((COUNTIF('Elève (4ème5)'!PR5:PV5,"C"))*2)+((COUNTIF('Elève (4ème5)'!PR5:PV5,"D"))*1))/(COUNTA(PR5:PV5)),"")</f>
        <v/>
      </c>
      <c r="PX5" s="181" t="str">
        <f t="shared" si="86"/>
        <v/>
      </c>
      <c r="PY5" s="180">
        <f>IF(COUNT(PJ5,PP5,PW5)=0,"",SUM(PJ5,PP5,PW5)/COUNT(PJ5,PP5,PW5))</f>
        <v>4</v>
      </c>
      <c r="PZ5" s="205" t="str">
        <f t="shared" si="87"/>
        <v>A</v>
      </c>
      <c r="QA5" s="116"/>
      <c r="QB5" s="117" t="s">
        <v>30</v>
      </c>
      <c r="QC5" s="118"/>
      <c r="QD5" s="180">
        <f>IFERROR((((COUNTIF('Elève (4ème5)'!QA5:QC5,"A"))*4)+((COUNTIF('Elève (4ème5)'!QA5:QC5,"B"))*3)+((COUNTIF('Elève (4ème5)'!QA5:QC5,"C"))*2)+((COUNTIF('Elève (4ème5)'!QA5:QC5,"D"))*1))/(COUNTA(QA5:QC5)),"")</f>
        <v>3</v>
      </c>
      <c r="QE5" s="181" t="str">
        <f t="shared" si="88"/>
        <v>B</v>
      </c>
      <c r="QF5" s="116" t="s">
        <v>29</v>
      </c>
      <c r="QG5" s="117"/>
      <c r="QH5" s="118"/>
      <c r="QI5" s="118"/>
      <c r="QJ5" s="180">
        <f>IFERROR((((COUNTIF('Elève (4ème5)'!QF5:QI5,"A"))*4)+((COUNTIF('Elève (4ème5)'!QF5:QI5,"B"))*3)+((COUNTIF('Elève (4ème5)'!QF5:QI5,"C"))*2)+((COUNTIF('Elève (4ème5)'!QF5:QI5,"D"))*1))/(COUNTA(QF5:QI5)),"")</f>
        <v>4</v>
      </c>
      <c r="QK5" s="181" t="str">
        <f t="shared" si="89"/>
        <v>A</v>
      </c>
      <c r="QL5" s="116"/>
      <c r="QM5" s="117"/>
      <c r="QN5" s="118"/>
      <c r="QO5" s="118"/>
      <c r="QP5" s="118"/>
      <c r="QQ5" s="180" t="str">
        <f>IFERROR((((COUNTIF('Elève (4ème5)'!QL5:QP5,"A"))*4)+((COUNTIF('Elève (4ème5)'!QL5:QP5,"B"))*3)+((COUNTIF('Elève (4ème5)'!QL5:QP5,"C"))*2)+((COUNTIF('Elève (4ème5)'!QL5:QP5,"D"))*1))/(COUNTA(QL5:QP5)),"")</f>
        <v/>
      </c>
      <c r="QR5" s="181" t="str">
        <f t="shared" si="90"/>
        <v/>
      </c>
      <c r="QS5" s="180">
        <f>IF(COUNT(QD5,QJ5,QQ5)=0,"",SUM(QD5,QJ5,QQ5)/COUNT(QD5,QJ5,QQ5))</f>
        <v>3.5</v>
      </c>
      <c r="QT5" s="205" t="str">
        <f t="shared" si="91"/>
        <v>B</v>
      </c>
      <c r="QU5" s="116"/>
      <c r="QV5" s="117" t="s">
        <v>32</v>
      </c>
      <c r="QW5" s="118"/>
      <c r="QX5" s="180">
        <f>IFERROR((((COUNTIF('Elève (4ème5)'!QU5:QW5,"A"))*4)+((COUNTIF('Elève (4ème5)'!QU5:QW5,"B"))*3)+((COUNTIF('Elève (4ème5)'!QU5:QW5,"C"))*2)+((COUNTIF('Elève (4ème5)'!QU5:QW5,"D"))*1))/(COUNTA(QU5:QW5)),"")</f>
        <v>1</v>
      </c>
      <c r="QY5" s="181" t="str">
        <f t="shared" si="92"/>
        <v>D</v>
      </c>
      <c r="QZ5" s="116" t="s">
        <v>30</v>
      </c>
      <c r="RA5" s="117"/>
      <c r="RB5" s="118"/>
      <c r="RC5" s="118"/>
      <c r="RD5" s="180">
        <f>IFERROR((((COUNTIF('Elève (4ème5)'!QZ5:RC5,"A"))*4)+((COUNTIF('Elève (4ème5)'!QZ5:RC5,"B"))*3)+((COUNTIF('Elève (4ème5)'!QZ5:RC5,"C"))*2)+((COUNTIF('Elève (4ème5)'!QZ5:RC5,"D"))*1))/(COUNTA(QZ5:RC5)),"")</f>
        <v>3</v>
      </c>
      <c r="RE5" s="181" t="str">
        <f t="shared" si="93"/>
        <v>B</v>
      </c>
      <c r="RF5" s="116"/>
      <c r="RG5" s="117"/>
      <c r="RH5" s="118"/>
      <c r="RI5" s="118"/>
      <c r="RJ5" s="118"/>
      <c r="RK5" s="180" t="str">
        <f>IFERROR((((COUNTIF('Elève (4ème5)'!RF5:RJ5,"A"))*4)+((COUNTIF('Elève (4ème5)'!RF5:RJ5,"B"))*3)+((COUNTIF('Elève (4ème5)'!RF5:RJ5,"C"))*2)+((COUNTIF('Elève (4ème5)'!RF5:RJ5,"D"))*1))/(COUNTA(RF5:RJ5)),"")</f>
        <v/>
      </c>
      <c r="RL5" s="181" t="str">
        <f t="shared" si="94"/>
        <v/>
      </c>
      <c r="RM5" s="180">
        <f>IF(COUNT(QX5,RD5,RK5)=0,"",SUM(QX5,RD5,RK5)/COUNT(QX5,RD5,RK5))</f>
        <v>2</v>
      </c>
      <c r="RN5" s="205" t="str">
        <f t="shared" si="95"/>
        <v>C</v>
      </c>
      <c r="RO5" s="116"/>
      <c r="RP5" s="117" t="s">
        <v>30</v>
      </c>
      <c r="RQ5" s="118"/>
      <c r="RR5" s="180">
        <f>IFERROR((((COUNTIF('Elève (4ème5)'!RO5:RQ5,"A"))*4)+((COUNTIF('Elève (4ème5)'!RO5:RQ5,"B"))*3)+((COUNTIF('Elève (4ème5)'!RO5:RQ5,"C"))*2)+((COUNTIF('Elève (4ème5)'!RO5:RQ5,"D"))*1))/(COUNTA(RO5:RQ5)),"")</f>
        <v>3</v>
      </c>
      <c r="RS5" s="181" t="str">
        <f t="shared" si="96"/>
        <v>B</v>
      </c>
      <c r="RT5" s="116" t="s">
        <v>29</v>
      </c>
      <c r="RU5" s="117"/>
      <c r="RV5" s="118"/>
      <c r="RW5" s="118"/>
      <c r="RX5" s="180">
        <f>IFERROR((((COUNTIF('Elève (4ème5)'!RT5:RW5,"A"))*4)+((COUNTIF('Elève (4ème5)'!RT5:RW5,"B"))*3)+((COUNTIF('Elève (4ème5)'!RT5:RW5,"C"))*2)+((COUNTIF('Elève (4ème5)'!RT5:RW5,"D"))*1))/(COUNTA(RT5:RW5)),"")</f>
        <v>4</v>
      </c>
      <c r="RY5" s="181" t="str">
        <f t="shared" si="97"/>
        <v>A</v>
      </c>
      <c r="RZ5" s="116"/>
      <c r="SA5" s="117"/>
      <c r="SB5" s="118"/>
      <c r="SC5" s="118"/>
      <c r="SD5" s="118"/>
      <c r="SE5" s="180" t="str">
        <f>IFERROR((((COUNTIF('Elève (4ème5)'!RZ5:SD5,"A"))*4)+((COUNTIF('Elève (4ème5)'!RZ5:SD5,"B"))*3)+((COUNTIF('Elève (4ème5)'!RZ5:SD5,"C"))*2)+((COUNTIF('Elève (4ème5)'!RZ5:SD5,"D"))*1))/(COUNTA(RZ5:SD5)),"")</f>
        <v/>
      </c>
      <c r="SF5" s="181" t="str">
        <f t="shared" si="98"/>
        <v/>
      </c>
      <c r="SG5" s="180">
        <f>IF(COUNT(RR5,RX5,SE5)=0,"",SUM(RR5,RX5,SE5)/COUNT(RR5,RX5,SE5))</f>
        <v>3.5</v>
      </c>
      <c r="SH5" s="205" t="str">
        <f t="shared" si="99"/>
        <v>B</v>
      </c>
      <c r="SI5" s="116"/>
      <c r="SJ5" s="117" t="s">
        <v>32</v>
      </c>
      <c r="SK5" s="118"/>
      <c r="SL5" s="180">
        <f>IFERROR((((COUNTIF('Elève (4ème5)'!SI5:SK5,"A"))*4)+((COUNTIF('Elève (4ème5)'!SI5:SK5,"B"))*3)+((COUNTIF('Elève (4ème5)'!SI5:SK5,"C"))*2)+((COUNTIF('Elève (4ème5)'!SI5:SK5,"D"))*1))/(COUNTA(SI5:SK5)),"")</f>
        <v>1</v>
      </c>
      <c r="SM5" s="181" t="str">
        <f t="shared" si="100"/>
        <v>D</v>
      </c>
      <c r="SN5" s="116" t="s">
        <v>31</v>
      </c>
      <c r="SO5" s="117"/>
      <c r="SP5" s="118"/>
      <c r="SQ5" s="118"/>
      <c r="SR5" s="180">
        <f>IFERROR((((COUNTIF('Elève (4ème5)'!SN5:SQ5,"A"))*4)+((COUNTIF('Elève (4ème5)'!SN5:SQ5,"B"))*3)+((COUNTIF('Elève (4ème5)'!SN5:SQ5,"C"))*2)+((COUNTIF('Elève (4ème5)'!SN5:SQ5,"D"))*1))/(COUNTA(SN5:SQ5)),"")</f>
        <v>2</v>
      </c>
      <c r="SS5" s="181" t="str">
        <f t="shared" si="101"/>
        <v>C</v>
      </c>
      <c r="ST5" s="116"/>
      <c r="SU5" s="117"/>
      <c r="SV5" s="118"/>
      <c r="SW5" s="118"/>
      <c r="SX5" s="118"/>
      <c r="SY5" s="180" t="str">
        <f>IFERROR((((COUNTIF('Elève (4ème5)'!ST5:SX5,"A"))*4)+((COUNTIF('Elève (4ème5)'!ST5:SX5,"B"))*3)+((COUNTIF('Elève (4ème5)'!ST5:SX5,"C"))*2)+((COUNTIF('Elève (4ème5)'!ST5:SX5,"D"))*1))/(COUNTA(ST5:SX5)),"")</f>
        <v/>
      </c>
      <c r="SZ5" s="181" t="str">
        <f t="shared" si="102"/>
        <v/>
      </c>
      <c r="TA5" s="180">
        <f>IF(COUNT(SL5,SR5,SY5)=0,"",SUM(SL5,SR5,SY5)/COUNT(SL5,SR5,SY5))</f>
        <v>1.5</v>
      </c>
      <c r="TB5" s="205" t="str">
        <f t="shared" si="103"/>
        <v>D</v>
      </c>
      <c r="TC5" s="116"/>
      <c r="TD5" s="117" t="s">
        <v>32</v>
      </c>
      <c r="TE5" s="118"/>
      <c r="TF5" s="180">
        <f>IFERROR((((COUNTIF('Elève (4ème5)'!TC5:TE5,"A"))*4)+((COUNTIF('Elève (4ème5)'!TC5:TE5,"B"))*3)+((COUNTIF('Elève (4ème5)'!TC5:TE5,"C"))*2)+((COUNTIF('Elève (4ème5)'!TC5:TE5,"D"))*1))/(COUNTA(TC5:TE5)),"")</f>
        <v>1</v>
      </c>
      <c r="TG5" s="181" t="str">
        <f t="shared" si="104"/>
        <v>D</v>
      </c>
      <c r="TH5" s="116" t="s">
        <v>29</v>
      </c>
      <c r="TI5" s="117"/>
      <c r="TJ5" s="118"/>
      <c r="TK5" s="118"/>
      <c r="TL5" s="180">
        <f>IFERROR((((COUNTIF('Elève (4ème5)'!TH5:TK5,"A"))*4)+((COUNTIF('Elève (4ème5)'!TH5:TK5,"B"))*3)+((COUNTIF('Elève (4ème5)'!TH5:TK5,"C"))*2)+((COUNTIF('Elève (4ème5)'!TH5:TK5,"D"))*1))/(COUNTA(TH5:TK5)),"")</f>
        <v>4</v>
      </c>
      <c r="TM5" s="181" t="str">
        <f t="shared" si="105"/>
        <v>A</v>
      </c>
      <c r="TN5" s="116"/>
      <c r="TO5" s="117"/>
      <c r="TP5" s="118"/>
      <c r="TQ5" s="118"/>
      <c r="TR5" s="118"/>
      <c r="TS5" s="180" t="str">
        <f>IFERROR((((COUNTIF('Elève (4ème5)'!TN5:TR5,"A"))*4)+((COUNTIF('Elève (4ème5)'!TN5:TR5,"B"))*3)+((COUNTIF('Elève (4ème5)'!TN5:TR5,"C"))*2)+((COUNTIF('Elève (4ème5)'!TN5:TR5,"D"))*1))/(COUNTA(TN5:TR5)),"")</f>
        <v/>
      </c>
      <c r="TT5" s="181" t="str">
        <f t="shared" si="106"/>
        <v/>
      </c>
      <c r="TU5" s="180">
        <f>IF(COUNT(TF5,TL5,TS5)=0,"",SUM(TF5,TL5,TS5)/COUNT(TF5,TL5,TS5))</f>
        <v>2.5</v>
      </c>
      <c r="TV5" s="205" t="str">
        <f t="shared" si="107"/>
        <v>C</v>
      </c>
      <c r="TW5" s="116"/>
      <c r="TX5" s="117" t="s">
        <v>31</v>
      </c>
      <c r="TY5" s="118"/>
      <c r="TZ5" s="180">
        <f>IFERROR((((COUNTIF('Elève (4ème5)'!TW5:TY5,"A"))*4)+((COUNTIF('Elève (4ème5)'!TW5:TY5,"B"))*3)+((COUNTIF('Elève (4ème5)'!TW5:TY5,"C"))*2)+((COUNTIF('Elève (4ème5)'!TW5:TY5,"D"))*1))/(COUNTA(TW5:TY5)),"")</f>
        <v>2</v>
      </c>
      <c r="UA5" s="181" t="str">
        <f t="shared" si="108"/>
        <v>C</v>
      </c>
      <c r="UB5" s="116" t="s">
        <v>29</v>
      </c>
      <c r="UC5" s="117"/>
      <c r="UD5" s="118"/>
      <c r="UE5" s="118"/>
      <c r="UF5" s="180">
        <f>IFERROR((((COUNTIF('Elève (4ème5)'!UB5:UE5,"A"))*4)+((COUNTIF('Elève (4ème5)'!UB5:UE5,"B"))*3)+((COUNTIF('Elève (4ème5)'!UB5:UE5,"C"))*2)+((COUNTIF('Elève (4ème5)'!UB5:UE5,"D"))*1))/(COUNTA(UB5:UE5)),"")</f>
        <v>4</v>
      </c>
      <c r="UG5" s="181" t="str">
        <f t="shared" si="109"/>
        <v>A</v>
      </c>
      <c r="UH5" s="116"/>
      <c r="UI5" s="117"/>
      <c r="UJ5" s="118"/>
      <c r="UK5" s="118"/>
      <c r="UL5" s="118"/>
      <c r="UM5" s="180" t="str">
        <f>IFERROR((((COUNTIF('Elève (4ème5)'!UH5:UL5,"A"))*4)+((COUNTIF('Elève (4ème5)'!UH5:UL5,"B"))*3)+((COUNTIF('Elève (4ème5)'!UH5:UL5,"C"))*2)+((COUNTIF('Elève (4ème5)'!UH5:UL5,"D"))*1))/(COUNTA(UH5:UL5)),"")</f>
        <v/>
      </c>
      <c r="UN5" s="181" t="str">
        <f t="shared" si="110"/>
        <v/>
      </c>
      <c r="UO5" s="180">
        <f>IF(COUNT(TZ5,UF5,UM5)=0,"",SUM(TZ5,UF5,UM5)/COUNT(TZ5,UF5,UM5))</f>
        <v>3</v>
      </c>
      <c r="UP5" s="205" t="str">
        <f t="shared" si="111"/>
        <v>B</v>
      </c>
      <c r="UQ5" s="116"/>
      <c r="UR5" s="117"/>
      <c r="US5" s="118"/>
      <c r="UT5" s="119" t="str">
        <f>IFERROR((((COUNTIF('Elève (4ème5)'!UQ5:US5,"A"))*4)+((COUNTIF('Elève (4ème5)'!UQ5:US5,"B"))*3)+((COUNTIF('Elève (4ème5)'!UQ5:US5,"C"))*2)+((COUNTIF('Elève (4ème5)'!UQ5:US5,"D"))*1))/(COUNTA(UQ5:US5)),"")</f>
        <v/>
      </c>
      <c r="UU5" s="120" t="str">
        <f t="shared" si="112"/>
        <v/>
      </c>
      <c r="UV5" s="116"/>
      <c r="UW5" s="117"/>
      <c r="UX5" s="118"/>
      <c r="UY5" s="119" t="str">
        <f>IFERROR((((COUNTIF('Elève (4ème5)'!UV5:UX5,"A"))*4)+((COUNTIF('Elève (4ème5)'!UV5:UX5,"B"))*3)+((COUNTIF('Elève (4ème5)'!UV5:UX5,"C"))*2)+((COUNTIF('Elève (4ème5)'!UV5:UX5,"D"))*1))/(COUNTA(UV5:UX5)),"")</f>
        <v/>
      </c>
      <c r="UZ5" s="120" t="str">
        <f t="shared" si="113"/>
        <v/>
      </c>
      <c r="VA5" s="116"/>
      <c r="VB5" s="117"/>
      <c r="VC5" s="122"/>
      <c r="VD5" s="119" t="str">
        <f>IFERROR((((COUNTIF('Elève (4ème5)'!VA5:VC5,"A"))*4)+((COUNTIF('Elève (4ème5)'!VA5:VC5,"B"))*3)+((COUNTIF('Elève (4ème5)'!VA5:VC5,"C"))*2)+((COUNTIF('Elève (4ème5)'!VA5:VC5,"D"))*1))/(COUNTA(VA5:VC5)),"")</f>
        <v/>
      </c>
      <c r="VE5" s="120" t="str">
        <f t="shared" si="114"/>
        <v/>
      </c>
      <c r="VF5" s="119" t="str">
        <f>IF(COUNT(UT5,UY5,VD5)=0,"",SUM(UT5,UY5,VD5)/COUNT(UT5,UY5,VD5))</f>
        <v/>
      </c>
      <c r="VG5" s="121" t="str">
        <f t="shared" si="115"/>
        <v/>
      </c>
      <c r="VH5" s="116"/>
      <c r="VI5" s="117"/>
      <c r="VJ5" s="118"/>
      <c r="VK5" s="119" t="str">
        <f>IFERROR((((COUNTIF('Elève (4ème5)'!VH5:VJ5,"A"))*4)+((COUNTIF('Elève (4ème5)'!VH5:VJ5,"B"))*3)+((COUNTIF('Elève (4ème5)'!VH5:VJ5,"C"))*2)+((COUNTIF('Elève (4ème5)'!VH5:VJ5,"D"))*1))/(COUNTA(VH5:VJ5)),"")</f>
        <v/>
      </c>
      <c r="VL5" s="120" t="str">
        <f t="shared" si="116"/>
        <v/>
      </c>
      <c r="VM5" s="116"/>
      <c r="VN5" s="117"/>
      <c r="VO5" s="118"/>
      <c r="VP5" s="119" t="str">
        <f>IFERROR((((COUNTIF('Elève (4ème5)'!VM5:VO5,"A"))*4)+((COUNTIF('Elève (4ème5)'!VM5:VO5,"B"))*3)+((COUNTIF('Elève (4ème5)'!VM5:VO5,"C"))*2)+((COUNTIF('Elève (4ème5)'!VM5:VO5,"D"))*1))/(COUNTA(VM5:VO5)),"")</f>
        <v/>
      </c>
      <c r="VQ5" s="120" t="str">
        <f t="shared" si="117"/>
        <v/>
      </c>
      <c r="VR5" s="116"/>
      <c r="VS5" s="117"/>
      <c r="VT5" s="122"/>
      <c r="VU5" s="119" t="str">
        <f>IFERROR((((COUNTIF('Elève (4ème5)'!VR5:VT5,"A"))*4)+((COUNTIF('Elève (4ème5)'!VR5:VT5,"B"))*3)+((COUNTIF('Elève (4ème5)'!VR5:VT5,"C"))*2)+((COUNTIF('Elève (4ème5)'!VR5:VT5,"D"))*1))/(COUNTA(VR5:VT5)),"")</f>
        <v/>
      </c>
      <c r="VV5" s="120" t="str">
        <f t="shared" si="118"/>
        <v/>
      </c>
      <c r="VW5" s="119" t="str">
        <f>IF(COUNT(VK5,VP5,VU5)=0,"",SUM(VK5,VP5,VU5)/COUNT(VK5,VP5,VU5))</f>
        <v/>
      </c>
      <c r="VX5" s="121" t="str">
        <f t="shared" si="119"/>
        <v/>
      </c>
    </row>
    <row r="6" spans="1:596" ht="18" customHeight="1" x14ac:dyDescent="0.55000000000000004">
      <c r="A6" s="248" t="s">
        <v>13</v>
      </c>
      <c r="B6" s="249"/>
      <c r="C6" s="123"/>
      <c r="D6" s="124" t="s">
        <v>30</v>
      </c>
      <c r="E6" s="125"/>
      <c r="F6" s="182">
        <f>IFERROR((((COUNTIF('Elève (4ème5)'!C6:E6,"A"))*4)+((COUNTIF('Elève (4ème5)'!C6:E6,"B"))*3)+((COUNTIF('Elève (4ème5)'!C6:E6,"C"))*2)+((COUNTIF('Elève (4ème5)'!C6:E6,"D"))*1))/(COUNTA(C6:E6)),"")</f>
        <v>3</v>
      </c>
      <c r="G6" s="183" t="str">
        <f t="shared" si="0"/>
        <v>B</v>
      </c>
      <c r="H6" s="123"/>
      <c r="I6" s="124"/>
      <c r="J6" s="125"/>
      <c r="K6" s="125"/>
      <c r="L6" s="182" t="str">
        <f>IFERROR((((COUNTIF('Elève (4ème5)'!H6:K6,"A"))*4)+((COUNTIF('Elève (4ème5)'!H6:K6,"B"))*3)+((COUNTIF('Elève (4ème5)'!H6:K6,"C"))*2)+((COUNTIF('Elève (4ème5)'!H6:K6,"D"))*1))/(COUNTA(H6:K6)),"")</f>
        <v/>
      </c>
      <c r="M6" s="183" t="str">
        <f t="shared" si="1"/>
        <v/>
      </c>
      <c r="N6" s="123" t="s">
        <v>29</v>
      </c>
      <c r="O6" s="124"/>
      <c r="P6" s="125"/>
      <c r="Q6" s="125"/>
      <c r="R6" s="125"/>
      <c r="S6" s="182">
        <f>IFERROR((((COUNTIF('Elève (4ème5)'!N6:R6,"A"))*4)+((COUNTIF('Elève (4ème5)'!N6:R6,"B"))*3)+((COUNTIF('Elève (4ème5)'!N6:R6,"C"))*2)+((COUNTIF('Elève (4ème5)'!N6:R6,"D"))*1))/(COUNTA(N6:R6)),"")</f>
        <v>4</v>
      </c>
      <c r="T6" s="183" t="str">
        <f t="shared" si="2"/>
        <v>A</v>
      </c>
      <c r="U6" s="182">
        <f>IF(COUNT(F6,L6,S6)=0,"",SUM(F6,L6,S6)/COUNT(F6,L6,S6))</f>
        <v>3.5</v>
      </c>
      <c r="V6" s="206" t="str">
        <f t="shared" si="3"/>
        <v>B</v>
      </c>
      <c r="W6" s="123"/>
      <c r="X6" s="124" t="s">
        <v>29</v>
      </c>
      <c r="Y6" s="125"/>
      <c r="Z6" s="182">
        <f>IFERROR((((COUNTIF('Elève (4ème5)'!W6:Y6,"A"))*4)+((COUNTIF('Elève (4ème5)'!W6:Y6,"B"))*3)+((COUNTIF('Elève (4ème5)'!W6:Y6,"C"))*2)+((COUNTIF('Elève (4ème5)'!W6:Y6,"D"))*1))/(COUNTA(W6:Y6)),"")</f>
        <v>4</v>
      </c>
      <c r="AA6" s="183" t="str">
        <f t="shared" si="4"/>
        <v>A</v>
      </c>
      <c r="AB6" s="123"/>
      <c r="AC6" s="124"/>
      <c r="AD6" s="125"/>
      <c r="AE6" s="125"/>
      <c r="AF6" s="182" t="str">
        <f>IFERROR((((COUNTIF('Elève (4ème5)'!AB6:AE6,"A"))*4)+((COUNTIF('Elève (4ème5)'!AB6:AE6,"B"))*3)+((COUNTIF('Elève (4ème5)'!AB6:AE6,"C"))*2)+((COUNTIF('Elève (4ème5)'!AB6:AE6,"D"))*1))/(COUNTA(AB6:AE6)),"")</f>
        <v/>
      </c>
      <c r="AG6" s="183" t="str">
        <f t="shared" si="5"/>
        <v/>
      </c>
      <c r="AH6" s="123" t="s">
        <v>29</v>
      </c>
      <c r="AI6" s="124"/>
      <c r="AJ6" s="125"/>
      <c r="AK6" s="125"/>
      <c r="AL6" s="125"/>
      <c r="AM6" s="182">
        <f>IFERROR((((COUNTIF('Elève (4ème5)'!AH6:AL6,"A"))*4)+((COUNTIF('Elève (4ème5)'!AH6:AL6,"B"))*3)+((COUNTIF('Elève (4ème5)'!AH6:AL6,"C"))*2)+((COUNTIF('Elève (4ème5)'!AH6:AL6,"D"))*1))/(COUNTA(AH6:AL6)),"")</f>
        <v>4</v>
      </c>
      <c r="AN6" s="183" t="str">
        <f t="shared" si="6"/>
        <v>A</v>
      </c>
      <c r="AO6" s="182">
        <f>IF(COUNT(Z6,AF6,AM6)=0,"",SUM(Z6,AF6,AM6)/COUNT(Z6,AF6,AM6))</f>
        <v>4</v>
      </c>
      <c r="AP6" s="206" t="str">
        <f t="shared" si="7"/>
        <v>A</v>
      </c>
      <c r="AQ6" s="123"/>
      <c r="AR6" s="124" t="s">
        <v>29</v>
      </c>
      <c r="AS6" s="125"/>
      <c r="AT6" s="182">
        <f>IFERROR((((COUNTIF('Elève (4ème5)'!AQ6:AS6,"A"))*4)+((COUNTIF('Elève (4ème5)'!AQ6:AS6,"B"))*3)+((COUNTIF('Elève (4ème5)'!AQ6:AS6,"C"))*2)+((COUNTIF('Elève (4ème5)'!AQ6:AS6,"D"))*1))/(COUNTA(AQ6:AS6)),"")</f>
        <v>4</v>
      </c>
      <c r="AU6" s="183" t="str">
        <f t="shared" si="8"/>
        <v>A</v>
      </c>
      <c r="AV6" s="123"/>
      <c r="AW6" s="124"/>
      <c r="AX6" s="125"/>
      <c r="AY6" s="125"/>
      <c r="AZ6" s="182" t="str">
        <f>IFERROR((((COUNTIF('Elève (4ème5)'!AV6:AY6,"A"))*4)+((COUNTIF('Elève (4ème5)'!AV6:AY6,"B"))*3)+((COUNTIF('Elève (4ème5)'!AV6:AY6,"C"))*2)+((COUNTIF('Elève (4ème5)'!AV6:AY6,"D"))*1))/(COUNTA(AV6:AY6)),"")</f>
        <v/>
      </c>
      <c r="BA6" s="183" t="str">
        <f t="shared" si="9"/>
        <v/>
      </c>
      <c r="BB6" s="123" t="s">
        <v>30</v>
      </c>
      <c r="BC6" s="124"/>
      <c r="BD6" s="125"/>
      <c r="BE6" s="125"/>
      <c r="BF6" s="125"/>
      <c r="BG6" s="182">
        <f>IFERROR((((COUNTIF('Elève (4ème5)'!BB6:BF6,"A"))*4)+((COUNTIF('Elève (4ème5)'!BB6:BF6,"B"))*3)+((COUNTIF('Elève (4ème5)'!BB6:BF6,"C"))*2)+((COUNTIF('Elève (4ème5)'!BB6:BF6,"D"))*1))/(COUNTA(BB6:BF6)),"")</f>
        <v>3</v>
      </c>
      <c r="BH6" s="183" t="str">
        <f t="shared" si="10"/>
        <v>B</v>
      </c>
      <c r="BI6" s="182">
        <f>IF(COUNT(AT6,AZ6,BG6)=0,"",SUM(AT6,AZ6,BG6)/COUNT(AT6,AZ6,BG6))</f>
        <v>3.5</v>
      </c>
      <c r="BJ6" s="206" t="str">
        <f t="shared" si="11"/>
        <v>B</v>
      </c>
      <c r="BK6" s="123"/>
      <c r="BL6" s="124" t="s">
        <v>30</v>
      </c>
      <c r="BM6" s="125"/>
      <c r="BN6" s="182">
        <f>IFERROR((((COUNTIF('Elève (4ème5)'!BK6:BM6,"A"))*4)+((COUNTIF('Elève (4ème5)'!BK6:BM6,"B"))*3)+((COUNTIF('Elève (4ème5)'!BK6:BM6,"C"))*2)+((COUNTIF('Elève (4ème5)'!BK6:BM6,"D"))*1))/(COUNTA(BK6:BM6)),"")</f>
        <v>3</v>
      </c>
      <c r="BO6" s="183" t="str">
        <f t="shared" si="12"/>
        <v>B</v>
      </c>
      <c r="BP6" s="123"/>
      <c r="BQ6" s="124"/>
      <c r="BR6" s="125"/>
      <c r="BS6" s="125"/>
      <c r="BT6" s="182" t="str">
        <f>IFERROR((((COUNTIF('Elève (4ème5)'!BP6:BS6,"A"))*4)+((COUNTIF('Elève (4ème5)'!BP6:BS6,"B"))*3)+((COUNTIF('Elève (4ème5)'!BP6:BS6,"C"))*2)+((COUNTIF('Elève (4ème5)'!BP6:BS6,"D"))*1))/(COUNTA(BP6:BS6)),"")</f>
        <v/>
      </c>
      <c r="BU6" s="183" t="str">
        <f t="shared" si="13"/>
        <v/>
      </c>
      <c r="BV6" s="123" t="s">
        <v>29</v>
      </c>
      <c r="BW6" s="124"/>
      <c r="BX6" s="125"/>
      <c r="BY6" s="125"/>
      <c r="BZ6" s="125"/>
      <c r="CA6" s="182">
        <f>IFERROR((((COUNTIF('Elève (4ème5)'!BV6:BZ6,"A"))*4)+((COUNTIF('Elève (4ème5)'!BV6:BZ6,"B"))*3)+((COUNTIF('Elève (4ème5)'!BV6:BZ6,"C"))*2)+((COUNTIF('Elève (4ème5)'!BV6:BZ6,"D"))*1))/(COUNTA(BV6:BZ6)),"")</f>
        <v>4</v>
      </c>
      <c r="CB6" s="183" t="str">
        <f t="shared" si="14"/>
        <v>A</v>
      </c>
      <c r="CC6" s="182">
        <f>IF(COUNT(BN6,BT6,CA6)=0,"",SUM(BN6,BT6,CA6)/COUNT(BN6,BT6,CA6))</f>
        <v>3.5</v>
      </c>
      <c r="CD6" s="206" t="str">
        <f t="shared" si="15"/>
        <v>B</v>
      </c>
      <c r="CE6" s="123"/>
      <c r="CF6" s="124" t="s">
        <v>31</v>
      </c>
      <c r="CG6" s="125"/>
      <c r="CH6" s="182">
        <f>IFERROR((((COUNTIF('Elève (4ème5)'!CE6:CG6,"A"))*4)+((COUNTIF('Elève (4ème5)'!CE6:CG6,"B"))*3)+((COUNTIF('Elève (4ème5)'!CE6:CG6,"C"))*2)+((COUNTIF('Elève (4ème5)'!CE6:CG6,"D"))*1))/(COUNTA(CE6:CG6)),"")</f>
        <v>2</v>
      </c>
      <c r="CI6" s="183" t="str">
        <f t="shared" si="16"/>
        <v>C</v>
      </c>
      <c r="CJ6" s="123"/>
      <c r="CK6" s="124"/>
      <c r="CL6" s="125"/>
      <c r="CM6" s="125"/>
      <c r="CN6" s="182" t="str">
        <f>IFERROR((((COUNTIF('Elève (4ème5)'!CJ6:CM6,"A"))*4)+((COUNTIF('Elève (4ème5)'!CJ6:CM6,"B"))*3)+((COUNTIF('Elève (4ème5)'!CJ6:CM6,"C"))*2)+((COUNTIF('Elève (4ème5)'!CJ6:CM6,"D"))*1))/(COUNTA(CJ6:CM6)),"")</f>
        <v/>
      </c>
      <c r="CO6" s="183" t="str">
        <f t="shared" si="17"/>
        <v/>
      </c>
      <c r="CP6" s="123" t="s">
        <v>31</v>
      </c>
      <c r="CQ6" s="124"/>
      <c r="CR6" s="125"/>
      <c r="CS6" s="125"/>
      <c r="CT6" s="125"/>
      <c r="CU6" s="182">
        <f>IFERROR((((COUNTIF('Elève (4ème5)'!CP6:CT6,"A"))*4)+((COUNTIF('Elève (4ème5)'!CP6:CT6,"B"))*3)+((COUNTIF('Elève (4ème5)'!CP6:CT6,"C"))*2)+((COUNTIF('Elève (4ème5)'!CP6:CT6,"D"))*1))/(COUNTA(CP6:CT6)),"")</f>
        <v>2</v>
      </c>
      <c r="CV6" s="183" t="str">
        <f t="shared" si="18"/>
        <v>C</v>
      </c>
      <c r="CW6" s="182">
        <f>IF(COUNT(CH6,CN6,CU6)=0,"",SUM(CH6,CN6,CU6)/COUNT(CH6,CN6,CU6))</f>
        <v>2</v>
      </c>
      <c r="CX6" s="206" t="str">
        <f t="shared" si="19"/>
        <v>C</v>
      </c>
      <c r="CY6" s="123"/>
      <c r="CZ6" s="124" t="s">
        <v>29</v>
      </c>
      <c r="DA6" s="125"/>
      <c r="DB6" s="182">
        <f>IFERROR((((COUNTIF('Elève (4ème5)'!CY6:DA6,"A"))*4)+((COUNTIF('Elève (4ème5)'!CY6:DA6,"B"))*3)+((COUNTIF('Elève (4ème5)'!CY6:DA6,"C"))*2)+((COUNTIF('Elève (4ème5)'!CY6:DA6,"D"))*1))/(COUNTA(CY6:DA6)),"")</f>
        <v>4</v>
      </c>
      <c r="DC6" s="183" t="str">
        <f t="shared" si="20"/>
        <v>A</v>
      </c>
      <c r="DD6" s="123"/>
      <c r="DE6" s="124"/>
      <c r="DF6" s="125"/>
      <c r="DG6" s="125"/>
      <c r="DH6" s="182" t="str">
        <f>IFERROR((((COUNTIF('Elève (4ème5)'!DD6:DG6,"A"))*4)+((COUNTIF('Elève (4ème5)'!DD6:DG6,"B"))*3)+((COUNTIF('Elève (4ème5)'!DD6:DG6,"C"))*2)+((COUNTIF('Elève (4ème5)'!DD6:DG6,"D"))*1))/(COUNTA(DD6:DG6)),"")</f>
        <v/>
      </c>
      <c r="DI6" s="183" t="str">
        <f t="shared" si="21"/>
        <v/>
      </c>
      <c r="DJ6" s="123" t="s">
        <v>29</v>
      </c>
      <c r="DK6" s="124"/>
      <c r="DL6" s="125"/>
      <c r="DM6" s="125"/>
      <c r="DN6" s="125"/>
      <c r="DO6" s="182">
        <f>IFERROR((((COUNTIF('Elève (4ème5)'!DJ6:DN6,"A"))*4)+((COUNTIF('Elève (4ème5)'!DJ6:DN6,"B"))*3)+((COUNTIF('Elève (4ème5)'!DJ6:DN6,"C"))*2)+((COUNTIF('Elève (4ème5)'!DJ6:DN6,"D"))*1))/(COUNTA(DJ6:DN6)),"")</f>
        <v>4</v>
      </c>
      <c r="DP6" s="183" t="str">
        <f t="shared" si="22"/>
        <v>A</v>
      </c>
      <c r="DQ6" s="182">
        <f>IF(COUNT(DB6,DH6,DO6)=0,"",SUM(DB6,DH6,DO6)/COUNT(DB6,DH6,DO6))</f>
        <v>4</v>
      </c>
      <c r="DR6" s="206" t="str">
        <f t="shared" si="23"/>
        <v>A</v>
      </c>
      <c r="DS6" s="123"/>
      <c r="DT6" s="124" t="s">
        <v>31</v>
      </c>
      <c r="DU6" s="125"/>
      <c r="DV6" s="182">
        <f>IFERROR((((COUNTIF('Elève (4ème5)'!DS6:DU6,"A"))*4)+((COUNTIF('Elève (4ème5)'!DS6:DU6,"B"))*3)+((COUNTIF('Elève (4ème5)'!DS6:DU6,"C"))*2)+((COUNTIF('Elève (4ème5)'!DS6:DU6,"D"))*1))/(COUNTA(DS6:DU6)),"")</f>
        <v>2</v>
      </c>
      <c r="DW6" s="183" t="str">
        <f t="shared" si="24"/>
        <v>C</v>
      </c>
      <c r="DX6" s="123"/>
      <c r="DY6" s="124"/>
      <c r="DZ6" s="125"/>
      <c r="EA6" s="125"/>
      <c r="EB6" s="182" t="str">
        <f>IFERROR((((COUNTIF('Elève (4ème5)'!DX6:EA6,"A"))*4)+((COUNTIF('Elève (4ème5)'!DX6:EA6,"B"))*3)+((COUNTIF('Elève (4ème5)'!DX6:EA6,"C"))*2)+((COUNTIF('Elève (4ème5)'!DX6:EA6,"D"))*1))/(COUNTA(DX6:EA6)),"")</f>
        <v/>
      </c>
      <c r="EC6" s="183" t="str">
        <f t="shared" si="25"/>
        <v/>
      </c>
      <c r="ED6" s="123" t="s">
        <v>29</v>
      </c>
      <c r="EE6" s="124"/>
      <c r="EF6" s="125"/>
      <c r="EG6" s="125"/>
      <c r="EH6" s="125"/>
      <c r="EI6" s="182">
        <f>IFERROR((((COUNTIF('Elève (4ème5)'!ED6:EH6,"A"))*4)+((COUNTIF('Elève (4ème5)'!ED6:EH6,"B"))*3)+((COUNTIF('Elève (4ème5)'!ED6:EH6,"C"))*2)+((COUNTIF('Elève (4ème5)'!ED6:EH6,"D"))*1))/(COUNTA(ED6:EH6)),"")</f>
        <v>4</v>
      </c>
      <c r="EJ6" s="183" t="str">
        <f t="shared" si="26"/>
        <v>A</v>
      </c>
      <c r="EK6" s="182">
        <f>IF(COUNT(DV6,EB6,EI6)=0,"",SUM(DV6,EB6,EI6)/COUNT(DV6,EB6,EI6))</f>
        <v>3</v>
      </c>
      <c r="EL6" s="206" t="str">
        <f t="shared" si="27"/>
        <v>B</v>
      </c>
      <c r="EM6" s="123"/>
      <c r="EN6" s="124" t="s">
        <v>30</v>
      </c>
      <c r="EO6" s="125"/>
      <c r="EP6" s="182">
        <f>IFERROR((((COUNTIF('Elève (4ème5)'!EM6:EO6,"A"))*4)+((COUNTIF('Elève (4ème5)'!EM6:EO6,"B"))*3)+((COUNTIF('Elève (4ème5)'!EM6:EO6,"C"))*2)+((COUNTIF('Elève (4ème5)'!EM6:EO6,"D"))*1))/(COUNTA(EM6:EO6)),"")</f>
        <v>3</v>
      </c>
      <c r="EQ6" s="183" t="str">
        <f t="shared" si="28"/>
        <v>B</v>
      </c>
      <c r="ER6" s="123"/>
      <c r="ES6" s="124"/>
      <c r="ET6" s="125"/>
      <c r="EU6" s="125"/>
      <c r="EV6" s="182" t="str">
        <f>IFERROR((((COUNTIF('Elève (4ème5)'!ER6:EU6,"A"))*4)+((COUNTIF('Elève (4ème5)'!ER6:EU6,"B"))*3)+((COUNTIF('Elève (4ème5)'!ER6:EU6,"C"))*2)+((COUNTIF('Elève (4ème5)'!ER6:EU6,"D"))*1))/(COUNTA(ER6:EU6)),"")</f>
        <v/>
      </c>
      <c r="EW6" s="183" t="str">
        <f t="shared" si="29"/>
        <v/>
      </c>
      <c r="EX6" s="123" t="s">
        <v>31</v>
      </c>
      <c r="EY6" s="124"/>
      <c r="EZ6" s="125"/>
      <c r="FA6" s="125"/>
      <c r="FB6" s="125"/>
      <c r="FC6" s="182">
        <f>IFERROR((((COUNTIF('Elève (4ème5)'!EX6:FB6,"A"))*4)+((COUNTIF('Elève (4ème5)'!EX6:FB6,"B"))*3)+((COUNTIF('Elève (4ème5)'!EX6:FB6,"C"))*2)+((COUNTIF('Elève (4ème5)'!EX6:FB6,"D"))*1))/(COUNTA(EX6:FB6)),"")</f>
        <v>2</v>
      </c>
      <c r="FD6" s="183" t="str">
        <f t="shared" si="30"/>
        <v>C</v>
      </c>
      <c r="FE6" s="182">
        <f>IF(COUNT(EP6,EV6,FC6)=0,"",SUM(EP6,EV6,FC6)/COUNT(EP6,EV6,FC6))</f>
        <v>2.5</v>
      </c>
      <c r="FF6" s="206" t="str">
        <f t="shared" si="31"/>
        <v>C</v>
      </c>
      <c r="FG6" s="123"/>
      <c r="FH6" s="124" t="s">
        <v>30</v>
      </c>
      <c r="FI6" s="125"/>
      <c r="FJ6" s="182">
        <f>IFERROR((((COUNTIF('Elève (4ème5)'!FG6:FI6,"A"))*4)+((COUNTIF('Elève (4ème5)'!FG6:FI6,"B"))*3)+((COUNTIF('Elève (4ème5)'!FG6:FI6,"C"))*2)+((COUNTIF('Elève (4ème5)'!FG6:FI6,"D"))*1))/(COUNTA(FG6:FI6)),"")</f>
        <v>3</v>
      </c>
      <c r="FK6" s="183" t="str">
        <f t="shared" si="32"/>
        <v>B</v>
      </c>
      <c r="FL6" s="123"/>
      <c r="FM6" s="124"/>
      <c r="FN6" s="125"/>
      <c r="FO6" s="125"/>
      <c r="FP6" s="182" t="str">
        <f>IFERROR((((COUNTIF('Elève (4ème5)'!FL6:FO6,"A"))*4)+((COUNTIF('Elève (4ème5)'!FL6:FO6,"B"))*3)+((COUNTIF('Elève (4ème5)'!FL6:FO6,"C"))*2)+((COUNTIF('Elève (4ème5)'!FL6:FO6,"D"))*1))/(COUNTA(FL6:FO6)),"")</f>
        <v/>
      </c>
      <c r="FQ6" s="183" t="str">
        <f t="shared" si="33"/>
        <v/>
      </c>
      <c r="FR6" s="123" t="s">
        <v>31</v>
      </c>
      <c r="FS6" s="124"/>
      <c r="FT6" s="125"/>
      <c r="FU6" s="125"/>
      <c r="FV6" s="125"/>
      <c r="FW6" s="182">
        <f>IFERROR((((COUNTIF('Elève (4ème5)'!FR6:FV6,"A"))*4)+((COUNTIF('Elève (4ème5)'!FR6:FV6,"B"))*3)+((COUNTIF('Elève (4ème5)'!FR6:FV6,"C"))*2)+((COUNTIF('Elève (4ème5)'!FR6:FV6,"D"))*1))/(COUNTA(FR6:FV6)),"")</f>
        <v>2</v>
      </c>
      <c r="FX6" s="183" t="str">
        <f t="shared" si="34"/>
        <v>C</v>
      </c>
      <c r="FY6" s="182">
        <f>IF(COUNT(FJ6,FP6,FW6)=0,"",SUM(FJ6,FP6,FW6)/COUNT(FJ6,FP6,FW6))</f>
        <v>2.5</v>
      </c>
      <c r="FZ6" s="206" t="str">
        <f t="shared" si="35"/>
        <v>C</v>
      </c>
      <c r="GA6" s="123"/>
      <c r="GB6" s="124" t="s">
        <v>29</v>
      </c>
      <c r="GC6" s="125"/>
      <c r="GD6" s="182">
        <f>IFERROR((((COUNTIF('Elève (4ème5)'!GA6:GC6,"A"))*4)+((COUNTIF('Elève (4ème5)'!GA6:GC6,"B"))*3)+((COUNTIF('Elève (4ème5)'!GA6:GC6,"C"))*2)+((COUNTIF('Elève (4ème5)'!GA6:GC6,"D"))*1))/(COUNTA(GA6:GC6)),"")</f>
        <v>4</v>
      </c>
      <c r="GE6" s="183" t="str">
        <f t="shared" si="36"/>
        <v>A</v>
      </c>
      <c r="GF6" s="123"/>
      <c r="GG6" s="124"/>
      <c r="GH6" s="125"/>
      <c r="GI6" s="125"/>
      <c r="GJ6" s="182" t="str">
        <f>IFERROR((((COUNTIF('Elève (4ème5)'!GF6:GI6,"A"))*4)+((COUNTIF('Elève (4ème5)'!GF6:GI6,"B"))*3)+((COUNTIF('Elève (4ème5)'!GF6:GI6,"C"))*2)+((COUNTIF('Elève (4ème5)'!GF6:GI6,"D"))*1))/(COUNTA(GF6:GI6)),"")</f>
        <v/>
      </c>
      <c r="GK6" s="183" t="str">
        <f t="shared" si="37"/>
        <v/>
      </c>
      <c r="GL6" s="123" t="s">
        <v>29</v>
      </c>
      <c r="GM6" s="124"/>
      <c r="GN6" s="125"/>
      <c r="GO6" s="125"/>
      <c r="GP6" s="125"/>
      <c r="GQ6" s="182">
        <f>IFERROR((((COUNTIF('Elève (4ème5)'!GL6:GP6,"A"))*4)+((COUNTIF('Elève (4ème5)'!GL6:GP6,"B"))*3)+((COUNTIF('Elève (4ème5)'!GL6:GP6,"C"))*2)+((COUNTIF('Elève (4ème5)'!GL6:GP6,"D"))*1))/(COUNTA(GL6:GP6)),"")</f>
        <v>4</v>
      </c>
      <c r="GR6" s="183" t="str">
        <f t="shared" si="38"/>
        <v>A</v>
      </c>
      <c r="GS6" s="182">
        <f>IF(COUNT(GD6,GJ6,GQ6)=0,"",SUM(GD6,GJ6,GQ6)/COUNT(GD6,GJ6,GQ6))</f>
        <v>4</v>
      </c>
      <c r="GT6" s="206" t="str">
        <f t="shared" si="39"/>
        <v>A</v>
      </c>
      <c r="GU6" s="123"/>
      <c r="GV6" s="124" t="s">
        <v>32</v>
      </c>
      <c r="GW6" s="125"/>
      <c r="GX6" s="182">
        <f>IFERROR((((COUNTIF('Elève (4ème5)'!GU6:GW6,"A"))*4)+((COUNTIF('Elève (4ème5)'!GU6:GW6,"B"))*3)+((COUNTIF('Elève (4ème5)'!GU6:GW6,"C"))*2)+((COUNTIF('Elève (4ème5)'!GU6:GW6,"D"))*1))/(COUNTA(GU6:GW6)),"")</f>
        <v>1</v>
      </c>
      <c r="GY6" s="183" t="str">
        <f t="shared" si="40"/>
        <v>D</v>
      </c>
      <c r="GZ6" s="123"/>
      <c r="HA6" s="124"/>
      <c r="HB6" s="125"/>
      <c r="HC6" s="125"/>
      <c r="HD6" s="182" t="str">
        <f>IFERROR((((COUNTIF('Elève (4ème5)'!GZ6:HC6,"A"))*4)+((COUNTIF('Elève (4ème5)'!GZ6:HC6,"B"))*3)+((COUNTIF('Elève (4ème5)'!GZ6:HC6,"C"))*2)+((COUNTIF('Elève (4ème5)'!GZ6:HC6,"D"))*1))/(COUNTA(GZ6:HC6)),"")</f>
        <v/>
      </c>
      <c r="HE6" s="183" t="str">
        <f t="shared" si="41"/>
        <v/>
      </c>
      <c r="HF6" s="123" t="s">
        <v>29</v>
      </c>
      <c r="HG6" s="124"/>
      <c r="HH6" s="125"/>
      <c r="HI6" s="125"/>
      <c r="HJ6" s="125"/>
      <c r="HK6" s="182">
        <f>IFERROR((((COUNTIF('Elève (4ème5)'!HF6:HJ6,"A"))*4)+((COUNTIF('Elève (4ème5)'!HF6:HJ6,"B"))*3)+((COUNTIF('Elève (4ème5)'!HF6:HJ6,"C"))*2)+((COUNTIF('Elève (4ème5)'!HF6:HJ6,"D"))*1))/(COUNTA(HF6:HJ6)),"")</f>
        <v>4</v>
      </c>
      <c r="HL6" s="183" t="str">
        <f t="shared" si="42"/>
        <v>A</v>
      </c>
      <c r="HM6" s="182">
        <f>IF(COUNT(GX6,HD6,HK6)=0,"",SUM(GX6,HD6,HK6)/COUNT(GX6,HD6,HK6))</f>
        <v>2.5</v>
      </c>
      <c r="HN6" s="206" t="str">
        <f t="shared" si="43"/>
        <v>C</v>
      </c>
      <c r="HO6" s="123"/>
      <c r="HP6" s="124" t="s">
        <v>29</v>
      </c>
      <c r="HQ6" s="125"/>
      <c r="HR6" s="182">
        <f>IFERROR((((COUNTIF('Elève (4ème5)'!HO6:HQ6,"A"))*4)+((COUNTIF('Elève (4ème5)'!HO6:HQ6,"B"))*3)+((COUNTIF('Elève (4ème5)'!HO6:HQ6,"C"))*2)+((COUNTIF('Elève (4ème5)'!HO6:HQ6,"D"))*1))/(COUNTA(HO6:HQ6)),"")</f>
        <v>4</v>
      </c>
      <c r="HS6" s="183" t="str">
        <f t="shared" si="44"/>
        <v>A</v>
      </c>
      <c r="HT6" s="123"/>
      <c r="HU6" s="124"/>
      <c r="HV6" s="125"/>
      <c r="HW6" s="125"/>
      <c r="HX6" s="182" t="str">
        <f>IFERROR((((COUNTIF('Elève (4ème5)'!HT6:HW6,"A"))*4)+((COUNTIF('Elève (4ème5)'!HT6:HW6,"B"))*3)+((COUNTIF('Elève (4ème5)'!HT6:HW6,"C"))*2)+((COUNTIF('Elève (4ème5)'!HT6:HW6,"D"))*1))/(COUNTA(HT6:HW6)),"")</f>
        <v/>
      </c>
      <c r="HY6" s="183" t="str">
        <f t="shared" si="45"/>
        <v/>
      </c>
      <c r="HZ6" s="123" t="s">
        <v>29</v>
      </c>
      <c r="IA6" s="124"/>
      <c r="IB6" s="125"/>
      <c r="IC6" s="125"/>
      <c r="ID6" s="125"/>
      <c r="IE6" s="182">
        <f>IFERROR((((COUNTIF('Elève (4ème5)'!HZ6:ID6,"A"))*4)+((COUNTIF('Elève (4ème5)'!HZ6:ID6,"B"))*3)+((COUNTIF('Elève (4ème5)'!HZ6:ID6,"C"))*2)+((COUNTIF('Elève (4ème5)'!HZ6:ID6,"D"))*1))/(COUNTA(HZ6:ID6)),"")</f>
        <v>4</v>
      </c>
      <c r="IF6" s="183" t="str">
        <f t="shared" si="46"/>
        <v>A</v>
      </c>
      <c r="IG6" s="182">
        <f>IF(COUNT(HR6,HX6,IE6)=0,"",SUM(HR6,HX6,IE6)/COUNT(HR6,HX6,IE6))</f>
        <v>4</v>
      </c>
      <c r="IH6" s="206" t="str">
        <f t="shared" si="47"/>
        <v>A</v>
      </c>
      <c r="II6" s="123"/>
      <c r="IJ6" s="124" t="s">
        <v>29</v>
      </c>
      <c r="IK6" s="125"/>
      <c r="IL6" s="182">
        <f>IFERROR((((COUNTIF('Elève (4ème5)'!II6:IK6,"A"))*4)+((COUNTIF('Elève (4ème5)'!II6:IK6,"B"))*3)+((COUNTIF('Elève (4ème5)'!II6:IK6,"C"))*2)+((COUNTIF('Elève (4ème5)'!II6:IK6,"D"))*1))/(COUNTA(II6:IK6)),"")</f>
        <v>4</v>
      </c>
      <c r="IM6" s="183" t="str">
        <f t="shared" si="48"/>
        <v>A</v>
      </c>
      <c r="IN6" s="123"/>
      <c r="IO6" s="124"/>
      <c r="IP6" s="125"/>
      <c r="IQ6" s="125"/>
      <c r="IR6" s="182" t="str">
        <f>IFERROR((((COUNTIF('Elève (4ème5)'!IN6:IQ6,"A"))*4)+((COUNTIF('Elève (4ème5)'!IN6:IQ6,"B"))*3)+((COUNTIF('Elève (4ème5)'!IN6:IQ6,"C"))*2)+((COUNTIF('Elève (4ème5)'!IN6:IQ6,"D"))*1))/(COUNTA(IN6:IQ6)),"")</f>
        <v/>
      </c>
      <c r="IS6" s="183" t="str">
        <f t="shared" si="49"/>
        <v/>
      </c>
      <c r="IT6" s="123" t="s">
        <v>30</v>
      </c>
      <c r="IU6" s="124"/>
      <c r="IV6" s="125"/>
      <c r="IW6" s="125"/>
      <c r="IX6" s="125"/>
      <c r="IY6" s="182">
        <f>IFERROR((((COUNTIF('Elève (4ème5)'!IT6:IX6,"A"))*4)+((COUNTIF('Elève (4ème5)'!IT6:IX6,"B"))*3)+((COUNTIF('Elève (4ème5)'!IT6:IX6,"C"))*2)+((COUNTIF('Elève (4ème5)'!IT6:IX6,"D"))*1))/(COUNTA(IT6:IX6)),"")</f>
        <v>3</v>
      </c>
      <c r="IZ6" s="183" t="str">
        <f t="shared" si="50"/>
        <v>B</v>
      </c>
      <c r="JA6" s="182">
        <f>IF(COUNT(IL6,IR6,IY6)=0,"",SUM(IL6,IR6,IY6)/COUNT(IL6,IR6,IY6))</f>
        <v>3.5</v>
      </c>
      <c r="JB6" s="206" t="str">
        <f t="shared" si="51"/>
        <v>B</v>
      </c>
      <c r="JC6" s="123"/>
      <c r="JD6" s="124" t="s">
        <v>29</v>
      </c>
      <c r="JE6" s="125"/>
      <c r="JF6" s="182">
        <f>IFERROR((((COUNTIF('Elève (4ème5)'!JC6:JE6,"A"))*4)+((COUNTIF('Elève (4ème5)'!JC6:JE6,"B"))*3)+((COUNTIF('Elève (4ème5)'!JC6:JE6,"C"))*2)+((COUNTIF('Elève (4ème5)'!JC6:JE6,"D"))*1))/(COUNTA(JC6:JE6)),"")</f>
        <v>4</v>
      </c>
      <c r="JG6" s="183" t="str">
        <f t="shared" si="52"/>
        <v>A</v>
      </c>
      <c r="JH6" s="123"/>
      <c r="JI6" s="124"/>
      <c r="JJ6" s="125"/>
      <c r="JK6" s="125"/>
      <c r="JL6" s="182" t="str">
        <f>IFERROR((((COUNTIF('Elève (4ème5)'!JH6:JK6,"A"))*4)+((COUNTIF('Elève (4ème5)'!JH6:JK6,"B"))*3)+((COUNTIF('Elève (4ème5)'!JH6:JK6,"C"))*2)+((COUNTIF('Elève (4ème5)'!JH6:JK6,"D"))*1))/(COUNTA(JH6:JK6)),"")</f>
        <v/>
      </c>
      <c r="JM6" s="183" t="str">
        <f t="shared" si="53"/>
        <v/>
      </c>
      <c r="JN6" s="123" t="s">
        <v>29</v>
      </c>
      <c r="JO6" s="124"/>
      <c r="JP6" s="125"/>
      <c r="JQ6" s="125"/>
      <c r="JR6" s="125"/>
      <c r="JS6" s="182">
        <f>IFERROR((((COUNTIF('Elève (4ème5)'!JN6:JR6,"A"))*4)+((COUNTIF('Elève (4ème5)'!JN6:JR6,"B"))*3)+((COUNTIF('Elève (4ème5)'!JN6:JR6,"C"))*2)+((COUNTIF('Elève (4ème5)'!JN6:JR6,"D"))*1))/(COUNTA(JN6:JR6)),"")</f>
        <v>4</v>
      </c>
      <c r="JT6" s="183" t="str">
        <f t="shared" si="54"/>
        <v>A</v>
      </c>
      <c r="JU6" s="182">
        <f>IF(COUNT(JF6,JL6,JS6)=0,"",SUM(JF6,JL6,JS6)/COUNT(JF6,JL6,JS6))</f>
        <v>4</v>
      </c>
      <c r="JV6" s="206" t="str">
        <f t="shared" si="55"/>
        <v>A</v>
      </c>
      <c r="JW6" s="123"/>
      <c r="JX6" s="124" t="s">
        <v>30</v>
      </c>
      <c r="JY6" s="125"/>
      <c r="JZ6" s="182">
        <f>IFERROR((((COUNTIF('Elève (4ème5)'!JW6:JY6,"A"))*4)+((COUNTIF('Elève (4ème5)'!JW6:JY6,"B"))*3)+((COUNTIF('Elève (4ème5)'!JW6:JY6,"C"))*2)+((COUNTIF('Elève (4ème5)'!JW6:JY6,"D"))*1))/(COUNTA(JW6:JY6)),"")</f>
        <v>3</v>
      </c>
      <c r="KA6" s="183" t="str">
        <f t="shared" si="56"/>
        <v>B</v>
      </c>
      <c r="KB6" s="123"/>
      <c r="KC6" s="124"/>
      <c r="KD6" s="125"/>
      <c r="KE6" s="125"/>
      <c r="KF6" s="182" t="str">
        <f>IFERROR((((COUNTIF('Elève (4ème5)'!KB6:KE6,"A"))*4)+((COUNTIF('Elève (4ème5)'!KB6:KE6,"B"))*3)+((COUNTIF('Elève (4ème5)'!KB6:KE6,"C"))*2)+((COUNTIF('Elève (4ème5)'!KB6:KE6,"D"))*1))/(COUNTA(KB6:KE6)),"")</f>
        <v/>
      </c>
      <c r="KG6" s="183" t="str">
        <f t="shared" si="57"/>
        <v/>
      </c>
      <c r="KH6" s="123" t="s">
        <v>29</v>
      </c>
      <c r="KI6" s="124"/>
      <c r="KJ6" s="125"/>
      <c r="KK6" s="125"/>
      <c r="KL6" s="125"/>
      <c r="KM6" s="182">
        <f>IFERROR((((COUNTIF('Elève (4ème5)'!KH6:KL6,"A"))*4)+((COUNTIF('Elève (4ème5)'!KH6:KL6,"B"))*3)+((COUNTIF('Elève (4ème5)'!KH6:KL6,"C"))*2)+((COUNTIF('Elève (4ème5)'!KH6:KL6,"D"))*1))/(COUNTA(KH6:KL6)),"")</f>
        <v>4</v>
      </c>
      <c r="KN6" s="183" t="str">
        <f t="shared" si="58"/>
        <v>A</v>
      </c>
      <c r="KO6" s="182">
        <f>IF(COUNT(JZ6,KF6,KM6)=0,"",SUM(JZ6,KF6,KM6)/COUNT(JZ6,KF6,KM6))</f>
        <v>3.5</v>
      </c>
      <c r="KP6" s="206" t="str">
        <f t="shared" si="59"/>
        <v>B</v>
      </c>
      <c r="KQ6" s="123"/>
      <c r="KR6" s="124" t="s">
        <v>30</v>
      </c>
      <c r="KS6" s="125"/>
      <c r="KT6" s="182">
        <f>IFERROR((((COUNTIF('Elève (4ème5)'!KQ6:KS6,"A"))*4)+((COUNTIF('Elève (4ème5)'!KQ6:KS6,"B"))*3)+((COUNTIF('Elève (4ème5)'!KQ6:KS6,"C"))*2)+((COUNTIF('Elève (4ème5)'!KQ6:KS6,"D"))*1))/(COUNTA(KQ6:KS6)),"")</f>
        <v>3</v>
      </c>
      <c r="KU6" s="183" t="str">
        <f t="shared" si="60"/>
        <v>B</v>
      </c>
      <c r="KV6" s="123"/>
      <c r="KW6" s="124"/>
      <c r="KX6" s="125"/>
      <c r="KY6" s="125"/>
      <c r="KZ6" s="182" t="str">
        <f>IFERROR((((COUNTIF('Elève (4ème5)'!KV6:KY6,"A"))*4)+((COUNTIF('Elève (4ème5)'!KV6:KY6,"B"))*3)+((COUNTIF('Elève (4ème5)'!KV6:KY6,"C"))*2)+((COUNTIF('Elève (4ème5)'!KV6:KY6,"D"))*1))/(COUNTA(KV6:KY6)),"")</f>
        <v/>
      </c>
      <c r="LA6" s="183" t="str">
        <f t="shared" si="61"/>
        <v/>
      </c>
      <c r="LB6" s="123" t="s">
        <v>31</v>
      </c>
      <c r="LC6" s="124"/>
      <c r="LD6" s="125"/>
      <c r="LE6" s="125"/>
      <c r="LF6" s="125"/>
      <c r="LG6" s="182">
        <f>IFERROR((((COUNTIF('Elève (4ème5)'!LB6:LF6,"A"))*4)+((COUNTIF('Elève (4ème5)'!LB6:LF6,"B"))*3)+((COUNTIF('Elève (4ème5)'!LB6:LF6,"C"))*2)+((COUNTIF('Elève (4ème5)'!LB6:LF6,"D"))*1))/(COUNTA(LB6:LF6)),"")</f>
        <v>2</v>
      </c>
      <c r="LH6" s="183" t="str">
        <f t="shared" si="62"/>
        <v>C</v>
      </c>
      <c r="LI6" s="182">
        <f>IF(COUNT(KT6,KZ6,LG6)=0,"",SUM(KT6,KZ6,LG6)/COUNT(KT6,KZ6,LG6))</f>
        <v>2.5</v>
      </c>
      <c r="LJ6" s="206" t="str">
        <f t="shared" si="63"/>
        <v>C</v>
      </c>
      <c r="LK6" s="123"/>
      <c r="LL6" s="124"/>
      <c r="LM6" s="125"/>
      <c r="LN6" s="182" t="str">
        <f>IFERROR((((COUNTIF('Elève (4ème5)'!LK6:LM6,"A"))*4)+((COUNTIF('Elève (4ème5)'!LK6:LM6,"B"))*3)+((COUNTIF('Elève (4ème5)'!LK6:LM6,"C"))*2)+((COUNTIF('Elève (4ème5)'!LK6:LM6,"D"))*1))/(COUNTA(LK6:LM6)),"")</f>
        <v/>
      </c>
      <c r="LO6" s="183" t="str">
        <f t="shared" si="64"/>
        <v/>
      </c>
      <c r="LP6" s="123"/>
      <c r="LQ6" s="124"/>
      <c r="LR6" s="125"/>
      <c r="LS6" s="125"/>
      <c r="LT6" s="182" t="str">
        <f>IFERROR((((COUNTIF('Elève (4ème5)'!LP6:LS6,"A"))*4)+((COUNTIF('Elève (4ème5)'!LP6:LS6,"B"))*3)+((COUNTIF('Elève (4ème5)'!LP6:LS6,"C"))*2)+((COUNTIF('Elève (4ème5)'!LP6:LS6,"D"))*1))/(COUNTA(LP6:LS6)),"")</f>
        <v/>
      </c>
      <c r="LU6" s="183" t="str">
        <f t="shared" si="65"/>
        <v/>
      </c>
      <c r="LV6" s="123"/>
      <c r="LW6" s="124"/>
      <c r="LX6" s="125"/>
      <c r="LY6" s="125"/>
      <c r="LZ6" s="125"/>
      <c r="MA6" s="182" t="str">
        <f>IFERROR((((COUNTIF('Elève (4ème5)'!LV6:LZ6,"A"))*4)+((COUNTIF('Elève (4ème5)'!LV6:LZ6,"B"))*3)+((COUNTIF('Elève (4ème5)'!LV6:LZ6,"C"))*2)+((COUNTIF('Elève (4ème5)'!LV6:LZ6,"D"))*1))/(COUNTA(LV6:LZ6)),"")</f>
        <v/>
      </c>
      <c r="MB6" s="183" t="str">
        <f t="shared" si="66"/>
        <v/>
      </c>
      <c r="MC6" s="182" t="str">
        <f>IF(COUNT(LN6,LT6,MA6)=0,"",SUM(LN6,LT6,MA6)/COUNT(LN6,LT6,MA6))</f>
        <v/>
      </c>
      <c r="MD6" s="206" t="str">
        <f t="shared" si="67"/>
        <v/>
      </c>
      <c r="ME6" s="123"/>
      <c r="MF6" s="124" t="s">
        <v>30</v>
      </c>
      <c r="MG6" s="125"/>
      <c r="MH6" s="182">
        <f>IFERROR((((COUNTIF('Elève (4ème5)'!ME6:MG6,"A"))*4)+((COUNTIF('Elève (4ème5)'!ME6:MG6,"B"))*3)+((COUNTIF('Elève (4ème5)'!ME6:MG6,"C"))*2)+((COUNTIF('Elève (4ème5)'!ME6:MG6,"D"))*1))/(COUNTA(ME6:MG6)),"")</f>
        <v>3</v>
      </c>
      <c r="MI6" s="183" t="str">
        <f t="shared" si="68"/>
        <v>B</v>
      </c>
      <c r="MJ6" s="123"/>
      <c r="MK6" s="124"/>
      <c r="ML6" s="125"/>
      <c r="MM6" s="125"/>
      <c r="MN6" s="182" t="str">
        <f>IFERROR((((COUNTIF('Elève (4ème5)'!MJ6:MM6,"A"))*4)+((COUNTIF('Elève (4ème5)'!MJ6:MM6,"B"))*3)+((COUNTIF('Elève (4ème5)'!MJ6:MM6,"C"))*2)+((COUNTIF('Elève (4ème5)'!MJ6:MM6,"D"))*1))/(COUNTA(MJ6:MM6)),"")</f>
        <v/>
      </c>
      <c r="MO6" s="183" t="str">
        <f t="shared" si="69"/>
        <v/>
      </c>
      <c r="MP6" s="123" t="s">
        <v>30</v>
      </c>
      <c r="MQ6" s="124"/>
      <c r="MR6" s="125"/>
      <c r="MS6" s="125"/>
      <c r="MT6" s="125"/>
      <c r="MU6" s="182">
        <f>IFERROR((((COUNTIF('Elève (4ème5)'!MP6:MT6,"A"))*4)+((COUNTIF('Elève (4ème5)'!MP6:MT6,"B"))*3)+((COUNTIF('Elève (4ème5)'!MP6:MT6,"C"))*2)+((COUNTIF('Elève (4ème5)'!MP6:MT6,"D"))*1))/(COUNTA(MP6:MT6)),"")</f>
        <v>3</v>
      </c>
      <c r="MV6" s="183" t="str">
        <f t="shared" si="70"/>
        <v>B</v>
      </c>
      <c r="MW6" s="182">
        <f>IF(COUNT(MH6,MN6,MU6)=0,"",SUM(MH6,MN6,MU6)/COUNT(MH6,MN6,MU6))</f>
        <v>3</v>
      </c>
      <c r="MX6" s="206" t="str">
        <f t="shared" si="71"/>
        <v>B</v>
      </c>
      <c r="MY6" s="123"/>
      <c r="MZ6" s="124" t="s">
        <v>32</v>
      </c>
      <c r="NA6" s="125"/>
      <c r="NB6" s="182">
        <f>IFERROR((((COUNTIF('Elève (4ème5)'!MY6:NA6,"A"))*4)+((COUNTIF('Elève (4ème5)'!MY6:NA6,"B"))*3)+((COUNTIF('Elève (4ème5)'!MY6:NA6,"C"))*2)+((COUNTIF('Elève (4ème5)'!MY6:NA6,"D"))*1))/(COUNTA(MY6:NA6)),"")</f>
        <v>1</v>
      </c>
      <c r="NC6" s="183" t="str">
        <f t="shared" si="72"/>
        <v>D</v>
      </c>
      <c r="ND6" s="123"/>
      <c r="NE6" s="124"/>
      <c r="NF6" s="125"/>
      <c r="NG6" s="125"/>
      <c r="NH6" s="182" t="str">
        <f>IFERROR((((COUNTIF('Elève (4ème5)'!ND6:NG6,"A"))*4)+((COUNTIF('Elève (4ème5)'!ND6:NG6,"B"))*3)+((COUNTIF('Elève (4ème5)'!ND6:NG6,"C"))*2)+((COUNTIF('Elève (4ème5)'!ND6:NG6,"D"))*1))/(COUNTA(ND6:NG6)),"")</f>
        <v/>
      </c>
      <c r="NI6" s="183" t="str">
        <f t="shared" si="73"/>
        <v/>
      </c>
      <c r="NJ6" s="123" t="s">
        <v>29</v>
      </c>
      <c r="NK6" s="124"/>
      <c r="NL6" s="125"/>
      <c r="NM6" s="125"/>
      <c r="NN6" s="125"/>
      <c r="NO6" s="182">
        <f>IFERROR((((COUNTIF('Elève (4ème5)'!NJ6:NN6,"A"))*4)+((COUNTIF('Elève (4ème5)'!NJ6:NN6,"B"))*3)+((COUNTIF('Elève (4ème5)'!NJ6:NN6,"C"))*2)+((COUNTIF('Elève (4ème5)'!NJ6:NN6,"D"))*1))/(COUNTA(NJ6:NN6)),"")</f>
        <v>4</v>
      </c>
      <c r="NP6" s="183" t="str">
        <f t="shared" si="74"/>
        <v>A</v>
      </c>
      <c r="NQ6" s="182">
        <f>IF(COUNT(NB6,NH6,NO6)=0,"",SUM(NB6,NH6,NO6)/COUNT(NB6,NH6,NO6))</f>
        <v>2.5</v>
      </c>
      <c r="NR6" s="206" t="str">
        <f t="shared" si="75"/>
        <v>C</v>
      </c>
      <c r="NS6" s="123"/>
      <c r="NT6" s="124" t="s">
        <v>32</v>
      </c>
      <c r="NU6" s="125"/>
      <c r="NV6" s="182">
        <f>IFERROR((((COUNTIF('Elève (4ème5)'!NS6:NU6,"A"))*4)+((COUNTIF('Elève (4ème5)'!NS6:NU6,"B"))*3)+((COUNTIF('Elève (4ème5)'!NS6:NU6,"C"))*2)+((COUNTIF('Elève (4ème5)'!NS6:NU6,"D"))*1))/(COUNTA(NS6:NU6)),"")</f>
        <v>1</v>
      </c>
      <c r="NW6" s="183" t="str">
        <f t="shared" si="76"/>
        <v>D</v>
      </c>
      <c r="NX6" s="123"/>
      <c r="NY6" s="124"/>
      <c r="NZ6" s="125"/>
      <c r="OA6" s="125"/>
      <c r="OB6" s="182" t="str">
        <f>IFERROR((((COUNTIF('Elève (4ème5)'!NX6:OA6,"A"))*4)+((COUNTIF('Elève (4ème5)'!NX6:OA6,"B"))*3)+((COUNTIF('Elève (4ème5)'!NX6:OA6,"C"))*2)+((COUNTIF('Elève (4ème5)'!NX6:OA6,"D"))*1))/(COUNTA(NX6:OA6)),"")</f>
        <v/>
      </c>
      <c r="OC6" s="183" t="str">
        <f t="shared" si="77"/>
        <v/>
      </c>
      <c r="OD6" s="123" t="s">
        <v>30</v>
      </c>
      <c r="OE6" s="124"/>
      <c r="OF6" s="125"/>
      <c r="OG6" s="125"/>
      <c r="OH6" s="125"/>
      <c r="OI6" s="182">
        <f>IFERROR((((COUNTIF('Elève (4ème5)'!OD6:OH6,"A"))*4)+((COUNTIF('Elève (4ème5)'!OD6:OH6,"B"))*3)+((COUNTIF('Elève (4ème5)'!OD6:OH6,"C"))*2)+((COUNTIF('Elève (4ème5)'!OD6:OH6,"D"))*1))/(COUNTA(OD6:OH6)),"")</f>
        <v>3</v>
      </c>
      <c r="OJ6" s="183" t="str">
        <f t="shared" si="78"/>
        <v>B</v>
      </c>
      <c r="OK6" s="182">
        <f>IF(COUNT(NV6,OB6,OI6)=0,"",SUM(NV6,OB6,OI6)/COUNT(NV6,OB6,OI6))</f>
        <v>2</v>
      </c>
      <c r="OL6" s="206" t="str">
        <f t="shared" si="79"/>
        <v>C</v>
      </c>
      <c r="OM6" s="123"/>
      <c r="ON6" s="124" t="s">
        <v>32</v>
      </c>
      <c r="OO6" s="125"/>
      <c r="OP6" s="182">
        <f>IFERROR((((COUNTIF('Elève (4ème5)'!OM6:OO6,"A"))*4)+((COUNTIF('Elève (4ème5)'!OM6:OO6,"B"))*3)+((COUNTIF('Elève (4ème5)'!OM6:OO6,"C"))*2)+((COUNTIF('Elève (4ème5)'!OM6:OO6,"D"))*1))/(COUNTA(OM6:OO6)),"")</f>
        <v>1</v>
      </c>
      <c r="OQ6" s="183" t="str">
        <f t="shared" si="80"/>
        <v>D</v>
      </c>
      <c r="OR6" s="123"/>
      <c r="OS6" s="124"/>
      <c r="OT6" s="125"/>
      <c r="OU6" s="125"/>
      <c r="OV6" s="182" t="str">
        <f>IFERROR((((COUNTIF('Elève (4ème5)'!OR6:OU6,"A"))*4)+((COUNTIF('Elève (4ème5)'!OR6:OU6,"B"))*3)+((COUNTIF('Elève (4ème5)'!OR6:OU6,"C"))*2)+((COUNTIF('Elève (4ème5)'!OR6:OU6,"D"))*1))/(COUNTA(OR6:OU6)),"")</f>
        <v/>
      </c>
      <c r="OW6" s="183" t="str">
        <f t="shared" si="81"/>
        <v/>
      </c>
      <c r="OX6" s="123" t="s">
        <v>29</v>
      </c>
      <c r="OY6" s="124"/>
      <c r="OZ6" s="125"/>
      <c r="PA6" s="125"/>
      <c r="PB6" s="125"/>
      <c r="PC6" s="182">
        <f>IFERROR((((COUNTIF('Elève (4ème5)'!OX6:PB6,"A"))*4)+((COUNTIF('Elève (4ème5)'!OX6:PB6,"B"))*3)+((COUNTIF('Elève (4ème5)'!OX6:PB6,"C"))*2)+((COUNTIF('Elève (4ème5)'!OX6:PB6,"D"))*1))/(COUNTA(OX6:PB6)),"")</f>
        <v>4</v>
      </c>
      <c r="PD6" s="183" t="str">
        <f t="shared" si="82"/>
        <v>A</v>
      </c>
      <c r="PE6" s="182">
        <f>IF(COUNT(OP6,OV6,PC6)=0,"",SUM(OP6,OV6,PC6)/COUNT(OP6,OV6,PC6))</f>
        <v>2.5</v>
      </c>
      <c r="PF6" s="206" t="str">
        <f t="shared" si="83"/>
        <v>C</v>
      </c>
      <c r="PG6" s="123"/>
      <c r="PH6" s="124"/>
      <c r="PI6" s="125"/>
      <c r="PJ6" s="182" t="str">
        <f>IFERROR((((COUNTIF('Elève (4ème5)'!PG6:PI6,"A"))*4)+((COUNTIF('Elève (4ème5)'!PG6:PI6,"B"))*3)+((COUNTIF('Elève (4ème5)'!PG6:PI6,"C"))*2)+((COUNTIF('Elève (4ème5)'!PG6:PI6,"D"))*1))/(COUNTA(PG6:PI6)),"")</f>
        <v/>
      </c>
      <c r="PK6" s="183" t="str">
        <f t="shared" si="84"/>
        <v/>
      </c>
      <c r="PL6" s="123"/>
      <c r="PM6" s="124"/>
      <c r="PN6" s="125"/>
      <c r="PO6" s="125"/>
      <c r="PP6" s="182" t="str">
        <f>IFERROR((((COUNTIF('Elève (4ème5)'!PL6:PO6,"A"))*4)+((COUNTIF('Elève (4ème5)'!PL6:PO6,"B"))*3)+((COUNTIF('Elève (4ème5)'!PL6:PO6,"C"))*2)+((COUNTIF('Elève (4ème5)'!PL6:PO6,"D"))*1))/(COUNTA(PL6:PO6)),"")</f>
        <v/>
      </c>
      <c r="PQ6" s="183" t="str">
        <f t="shared" si="85"/>
        <v/>
      </c>
      <c r="PR6" s="123" t="s">
        <v>29</v>
      </c>
      <c r="PS6" s="124"/>
      <c r="PT6" s="125"/>
      <c r="PU6" s="125"/>
      <c r="PV6" s="125"/>
      <c r="PW6" s="182">
        <f>IFERROR((((COUNTIF('Elève (4ème5)'!PR6:PV6,"A"))*4)+((COUNTIF('Elève (4ème5)'!PR6:PV6,"B"))*3)+((COUNTIF('Elève (4ème5)'!PR6:PV6,"C"))*2)+((COUNTIF('Elève (4ème5)'!PR6:PV6,"D"))*1))/(COUNTA(PR6:PV6)),"")</f>
        <v>4</v>
      </c>
      <c r="PX6" s="183" t="str">
        <f t="shared" si="86"/>
        <v>A</v>
      </c>
      <c r="PY6" s="182">
        <f>IF(COUNT(PJ6,PP6,PW6)=0,"",SUM(PJ6,PP6,PW6)/COUNT(PJ6,PP6,PW6))</f>
        <v>4</v>
      </c>
      <c r="PZ6" s="206" t="str">
        <f t="shared" si="87"/>
        <v>A</v>
      </c>
      <c r="QA6" s="123"/>
      <c r="QB6" s="124" t="s">
        <v>29</v>
      </c>
      <c r="QC6" s="125"/>
      <c r="QD6" s="182">
        <f>IFERROR((((COUNTIF('Elève (4ème5)'!QA6:QC6,"A"))*4)+((COUNTIF('Elève (4ème5)'!QA6:QC6,"B"))*3)+((COUNTIF('Elève (4ème5)'!QA6:QC6,"C"))*2)+((COUNTIF('Elève (4ème5)'!QA6:QC6,"D"))*1))/(COUNTA(QA6:QC6)),"")</f>
        <v>4</v>
      </c>
      <c r="QE6" s="183" t="str">
        <f t="shared" si="88"/>
        <v>A</v>
      </c>
      <c r="QF6" s="123"/>
      <c r="QG6" s="124"/>
      <c r="QH6" s="125"/>
      <c r="QI6" s="125"/>
      <c r="QJ6" s="182" t="str">
        <f>IFERROR((((COUNTIF('Elève (4ème5)'!QF6:QI6,"A"))*4)+((COUNTIF('Elève (4ème5)'!QF6:QI6,"B"))*3)+((COUNTIF('Elève (4ème5)'!QF6:QI6,"C"))*2)+((COUNTIF('Elève (4ème5)'!QF6:QI6,"D"))*1))/(COUNTA(QF6:QI6)),"")</f>
        <v/>
      </c>
      <c r="QK6" s="183" t="str">
        <f t="shared" si="89"/>
        <v/>
      </c>
      <c r="QL6" s="123" t="s">
        <v>29</v>
      </c>
      <c r="QM6" s="124"/>
      <c r="QN6" s="125"/>
      <c r="QO6" s="125"/>
      <c r="QP6" s="125"/>
      <c r="QQ6" s="182">
        <f>IFERROR((((COUNTIF('Elève (4ème5)'!QL6:QP6,"A"))*4)+((COUNTIF('Elève (4ème5)'!QL6:QP6,"B"))*3)+((COUNTIF('Elève (4ème5)'!QL6:QP6,"C"))*2)+((COUNTIF('Elève (4ème5)'!QL6:QP6,"D"))*1))/(COUNTA(QL6:QP6)),"")</f>
        <v>4</v>
      </c>
      <c r="QR6" s="183" t="str">
        <f t="shared" si="90"/>
        <v>A</v>
      </c>
      <c r="QS6" s="182">
        <f>IF(COUNT(QD6,QJ6,QQ6)=0,"",SUM(QD6,QJ6,QQ6)/COUNT(QD6,QJ6,QQ6))</f>
        <v>4</v>
      </c>
      <c r="QT6" s="206" t="str">
        <f t="shared" si="91"/>
        <v>A</v>
      </c>
      <c r="QU6" s="123"/>
      <c r="QV6" s="124" t="s">
        <v>32</v>
      </c>
      <c r="QW6" s="125"/>
      <c r="QX6" s="182">
        <f>IFERROR((((COUNTIF('Elève (4ème5)'!QU6:QW6,"A"))*4)+((COUNTIF('Elève (4ème5)'!QU6:QW6,"B"))*3)+((COUNTIF('Elève (4ème5)'!QU6:QW6,"C"))*2)+((COUNTIF('Elève (4ème5)'!QU6:QW6,"D"))*1))/(COUNTA(QU6:QW6)),"")</f>
        <v>1</v>
      </c>
      <c r="QY6" s="183" t="str">
        <f t="shared" si="92"/>
        <v>D</v>
      </c>
      <c r="QZ6" s="123"/>
      <c r="RA6" s="124"/>
      <c r="RB6" s="125"/>
      <c r="RC6" s="125"/>
      <c r="RD6" s="182" t="str">
        <f>IFERROR((((COUNTIF('Elève (4ème5)'!QZ6:RC6,"A"))*4)+((COUNTIF('Elève (4ème5)'!QZ6:RC6,"B"))*3)+((COUNTIF('Elève (4ème5)'!QZ6:RC6,"C"))*2)+((COUNTIF('Elève (4ème5)'!QZ6:RC6,"D"))*1))/(COUNTA(QZ6:RC6)),"")</f>
        <v/>
      </c>
      <c r="RE6" s="183" t="str">
        <f t="shared" si="93"/>
        <v/>
      </c>
      <c r="RF6" s="123" t="s">
        <v>30</v>
      </c>
      <c r="RG6" s="124"/>
      <c r="RH6" s="125"/>
      <c r="RI6" s="125"/>
      <c r="RJ6" s="125"/>
      <c r="RK6" s="182">
        <f>IFERROR((((COUNTIF('Elève (4ème5)'!RF6:RJ6,"A"))*4)+((COUNTIF('Elève (4ème5)'!RF6:RJ6,"B"))*3)+((COUNTIF('Elève (4ème5)'!RF6:RJ6,"C"))*2)+((COUNTIF('Elève (4ème5)'!RF6:RJ6,"D"))*1))/(COUNTA(RF6:RJ6)),"")</f>
        <v>3</v>
      </c>
      <c r="RL6" s="183" t="str">
        <f t="shared" si="94"/>
        <v>B</v>
      </c>
      <c r="RM6" s="182">
        <f>IF(COUNT(QX6,RD6,RK6)=0,"",SUM(QX6,RD6,RK6)/COUNT(QX6,RD6,RK6))</f>
        <v>2</v>
      </c>
      <c r="RN6" s="206" t="str">
        <f t="shared" si="95"/>
        <v>C</v>
      </c>
      <c r="RO6" s="123"/>
      <c r="RP6" s="124" t="s">
        <v>30</v>
      </c>
      <c r="RQ6" s="125"/>
      <c r="RR6" s="182">
        <f>IFERROR((((COUNTIF('Elève (4ème5)'!RO6:RQ6,"A"))*4)+((COUNTIF('Elève (4ème5)'!RO6:RQ6,"B"))*3)+((COUNTIF('Elève (4ème5)'!RO6:RQ6,"C"))*2)+((COUNTIF('Elève (4ème5)'!RO6:RQ6,"D"))*1))/(COUNTA(RO6:RQ6)),"")</f>
        <v>3</v>
      </c>
      <c r="RS6" s="183" t="str">
        <f t="shared" si="96"/>
        <v>B</v>
      </c>
      <c r="RT6" s="123"/>
      <c r="RU6" s="124"/>
      <c r="RV6" s="125"/>
      <c r="RW6" s="125"/>
      <c r="RX6" s="182" t="str">
        <f>IFERROR((((COUNTIF('Elève (4ème5)'!RT6:RW6,"A"))*4)+((COUNTIF('Elève (4ème5)'!RT6:RW6,"B"))*3)+((COUNTIF('Elève (4ème5)'!RT6:RW6,"C"))*2)+((COUNTIF('Elève (4ème5)'!RT6:RW6,"D"))*1))/(COUNTA(RT6:RW6)),"")</f>
        <v/>
      </c>
      <c r="RY6" s="183" t="str">
        <f t="shared" si="97"/>
        <v/>
      </c>
      <c r="RZ6" s="123" t="s">
        <v>30</v>
      </c>
      <c r="SA6" s="124"/>
      <c r="SB6" s="125"/>
      <c r="SC6" s="125"/>
      <c r="SD6" s="125"/>
      <c r="SE6" s="182">
        <f>IFERROR((((COUNTIF('Elève (4ème5)'!RZ6:SD6,"A"))*4)+((COUNTIF('Elève (4ème5)'!RZ6:SD6,"B"))*3)+((COUNTIF('Elève (4ème5)'!RZ6:SD6,"C"))*2)+((COUNTIF('Elève (4ème5)'!RZ6:SD6,"D"))*1))/(COUNTA(RZ6:SD6)),"")</f>
        <v>3</v>
      </c>
      <c r="SF6" s="183" t="str">
        <f t="shared" si="98"/>
        <v>B</v>
      </c>
      <c r="SG6" s="182">
        <f>IF(COUNT(RR6,RX6,SE6)=0,"",SUM(RR6,RX6,SE6)/COUNT(RR6,RX6,SE6))</f>
        <v>3</v>
      </c>
      <c r="SH6" s="206" t="str">
        <f t="shared" si="99"/>
        <v>B</v>
      </c>
      <c r="SI6" s="123"/>
      <c r="SJ6" s="124" t="s">
        <v>31</v>
      </c>
      <c r="SK6" s="125"/>
      <c r="SL6" s="182">
        <f>IFERROR((((COUNTIF('Elève (4ème5)'!SI6:SK6,"A"))*4)+((COUNTIF('Elève (4ème5)'!SI6:SK6,"B"))*3)+((COUNTIF('Elève (4ème5)'!SI6:SK6,"C"))*2)+((COUNTIF('Elève (4ème5)'!SI6:SK6,"D"))*1))/(COUNTA(SI6:SK6)),"")</f>
        <v>2</v>
      </c>
      <c r="SM6" s="183" t="str">
        <f t="shared" si="100"/>
        <v>C</v>
      </c>
      <c r="SN6" s="123"/>
      <c r="SO6" s="124"/>
      <c r="SP6" s="125"/>
      <c r="SQ6" s="125"/>
      <c r="SR6" s="182" t="str">
        <f>IFERROR((((COUNTIF('Elève (4ème5)'!SN6:SQ6,"A"))*4)+((COUNTIF('Elève (4ème5)'!SN6:SQ6,"B"))*3)+((COUNTIF('Elève (4ème5)'!SN6:SQ6,"C"))*2)+((COUNTIF('Elève (4ème5)'!SN6:SQ6,"D"))*1))/(COUNTA(SN6:SQ6)),"")</f>
        <v/>
      </c>
      <c r="SS6" s="183" t="str">
        <f t="shared" si="101"/>
        <v/>
      </c>
      <c r="ST6" s="123" t="s">
        <v>29</v>
      </c>
      <c r="SU6" s="124"/>
      <c r="SV6" s="125"/>
      <c r="SW6" s="125"/>
      <c r="SX6" s="125"/>
      <c r="SY6" s="182">
        <f>IFERROR((((COUNTIF('Elève (4ème5)'!ST6:SX6,"A"))*4)+((COUNTIF('Elève (4ème5)'!ST6:SX6,"B"))*3)+((COUNTIF('Elève (4ème5)'!ST6:SX6,"C"))*2)+((COUNTIF('Elève (4ème5)'!ST6:SX6,"D"))*1))/(COUNTA(ST6:SX6)),"")</f>
        <v>4</v>
      </c>
      <c r="SZ6" s="183" t="str">
        <f t="shared" si="102"/>
        <v>A</v>
      </c>
      <c r="TA6" s="182">
        <f>IF(COUNT(SL6,SR6,SY6)=0,"",SUM(SL6,SR6,SY6)/COUNT(SL6,SR6,SY6))</f>
        <v>3</v>
      </c>
      <c r="TB6" s="206" t="str">
        <f t="shared" si="103"/>
        <v>B</v>
      </c>
      <c r="TC6" s="123"/>
      <c r="TD6" s="124" t="s">
        <v>30</v>
      </c>
      <c r="TE6" s="125"/>
      <c r="TF6" s="182">
        <f>IFERROR((((COUNTIF('Elève (4ème5)'!TC6:TE6,"A"))*4)+((COUNTIF('Elève (4ème5)'!TC6:TE6,"B"))*3)+((COUNTIF('Elève (4ème5)'!TC6:TE6,"C"))*2)+((COUNTIF('Elève (4ème5)'!TC6:TE6,"D"))*1))/(COUNTA(TC6:TE6)),"")</f>
        <v>3</v>
      </c>
      <c r="TG6" s="183" t="str">
        <f t="shared" si="104"/>
        <v>B</v>
      </c>
      <c r="TH6" s="123"/>
      <c r="TI6" s="124"/>
      <c r="TJ6" s="125"/>
      <c r="TK6" s="125"/>
      <c r="TL6" s="182" t="str">
        <f>IFERROR((((COUNTIF('Elève (4ème5)'!TH6:TK6,"A"))*4)+((COUNTIF('Elève (4ème5)'!TH6:TK6,"B"))*3)+((COUNTIF('Elève (4ème5)'!TH6:TK6,"C"))*2)+((COUNTIF('Elève (4ème5)'!TH6:TK6,"D"))*1))/(COUNTA(TH6:TK6)),"")</f>
        <v/>
      </c>
      <c r="TM6" s="183" t="str">
        <f t="shared" si="105"/>
        <v/>
      </c>
      <c r="TN6" s="123" t="s">
        <v>29</v>
      </c>
      <c r="TO6" s="124"/>
      <c r="TP6" s="125"/>
      <c r="TQ6" s="125"/>
      <c r="TR6" s="125"/>
      <c r="TS6" s="182">
        <f>IFERROR((((COUNTIF('Elève (4ème5)'!TN6:TR6,"A"))*4)+((COUNTIF('Elève (4ème5)'!TN6:TR6,"B"))*3)+((COUNTIF('Elève (4ème5)'!TN6:TR6,"C"))*2)+((COUNTIF('Elève (4ème5)'!TN6:TR6,"D"))*1))/(COUNTA(TN6:TR6)),"")</f>
        <v>4</v>
      </c>
      <c r="TT6" s="183" t="str">
        <f t="shared" si="106"/>
        <v>A</v>
      </c>
      <c r="TU6" s="182">
        <f>IF(COUNT(TF6,TL6,TS6)=0,"",SUM(TF6,TL6,TS6)/COUNT(TF6,TL6,TS6))</f>
        <v>3.5</v>
      </c>
      <c r="TV6" s="206" t="str">
        <f t="shared" si="107"/>
        <v>B</v>
      </c>
      <c r="TW6" s="123"/>
      <c r="TX6" s="124" t="s">
        <v>32</v>
      </c>
      <c r="TY6" s="125"/>
      <c r="TZ6" s="182">
        <f>IFERROR((((COUNTIF('Elève (4ème5)'!TW6:TY6,"A"))*4)+((COUNTIF('Elève (4ème5)'!TW6:TY6,"B"))*3)+((COUNTIF('Elève (4ème5)'!TW6:TY6,"C"))*2)+((COUNTIF('Elève (4ème5)'!TW6:TY6,"D"))*1))/(COUNTA(TW6:TY6)),"")</f>
        <v>1</v>
      </c>
      <c r="UA6" s="183" t="str">
        <f t="shared" si="108"/>
        <v>D</v>
      </c>
      <c r="UB6" s="123"/>
      <c r="UC6" s="124"/>
      <c r="UD6" s="125"/>
      <c r="UE6" s="125"/>
      <c r="UF6" s="182" t="str">
        <f>IFERROR((((COUNTIF('Elève (4ème5)'!UB6:UE6,"A"))*4)+((COUNTIF('Elève (4ème5)'!UB6:UE6,"B"))*3)+((COUNTIF('Elève (4ème5)'!UB6:UE6,"C"))*2)+((COUNTIF('Elève (4ème5)'!UB6:UE6,"D"))*1))/(COUNTA(UB6:UE6)),"")</f>
        <v/>
      </c>
      <c r="UG6" s="183" t="str">
        <f t="shared" si="109"/>
        <v/>
      </c>
      <c r="UH6" s="123" t="s">
        <v>31</v>
      </c>
      <c r="UI6" s="124"/>
      <c r="UJ6" s="125"/>
      <c r="UK6" s="125"/>
      <c r="UL6" s="125"/>
      <c r="UM6" s="182">
        <f>IFERROR((((COUNTIF('Elève (4ème5)'!UH6:UL6,"A"))*4)+((COUNTIF('Elève (4ème5)'!UH6:UL6,"B"))*3)+((COUNTIF('Elève (4ème5)'!UH6:UL6,"C"))*2)+((COUNTIF('Elève (4ème5)'!UH6:UL6,"D"))*1))/(COUNTA(UH6:UL6)),"")</f>
        <v>2</v>
      </c>
      <c r="UN6" s="183" t="str">
        <f t="shared" si="110"/>
        <v>C</v>
      </c>
      <c r="UO6" s="182">
        <f>IF(COUNT(TZ6,UF6,UM6)=0,"",SUM(TZ6,UF6,UM6)/COUNT(TZ6,UF6,UM6))</f>
        <v>1.5</v>
      </c>
      <c r="UP6" s="206" t="str">
        <f t="shared" si="111"/>
        <v>D</v>
      </c>
      <c r="UQ6" s="123"/>
      <c r="UR6" s="124"/>
      <c r="US6" s="125"/>
      <c r="UT6" s="126" t="str">
        <f>IFERROR((((COUNTIF('Elève (4ème5)'!UQ6:US6,"A"))*4)+((COUNTIF('Elève (4ème5)'!UQ6:US6,"B"))*3)+((COUNTIF('Elève (4ème5)'!UQ6:US6,"C"))*2)+((COUNTIF('Elève (4ème5)'!UQ6:US6,"D"))*1))/(COUNTA(UQ6:US6)),"")</f>
        <v/>
      </c>
      <c r="UU6" s="127" t="str">
        <f t="shared" si="112"/>
        <v/>
      </c>
      <c r="UV6" s="123"/>
      <c r="UW6" s="124"/>
      <c r="UX6" s="125"/>
      <c r="UY6" s="126" t="str">
        <f>IFERROR((((COUNTIF('Elève (4ème5)'!UV6:UX6,"A"))*4)+((COUNTIF('Elève (4ème5)'!UV6:UX6,"B"))*3)+((COUNTIF('Elève (4ème5)'!UV6:UX6,"C"))*2)+((COUNTIF('Elève (4ème5)'!UV6:UX6,"D"))*1))/(COUNTA(UV6:UX6)),"")</f>
        <v/>
      </c>
      <c r="UZ6" s="127" t="str">
        <f t="shared" si="113"/>
        <v/>
      </c>
      <c r="VA6" s="123"/>
      <c r="VB6" s="124"/>
      <c r="VC6" s="129"/>
      <c r="VD6" s="126" t="str">
        <f>IFERROR((((COUNTIF('Elève (4ème5)'!VA6:VC6,"A"))*4)+((COUNTIF('Elève (4ème5)'!VA6:VC6,"B"))*3)+((COUNTIF('Elève (4ème5)'!VA6:VC6,"C"))*2)+((COUNTIF('Elève (4ème5)'!VA6:VC6,"D"))*1))/(COUNTA(VA6:VC6)),"")</f>
        <v/>
      </c>
      <c r="VE6" s="127" t="str">
        <f t="shared" si="114"/>
        <v/>
      </c>
      <c r="VF6" s="126" t="str">
        <f>IF(COUNT(UT6,UY6,VD6)=0,"",SUM(UT6,UY6,VD6)/COUNT(UT6,UY6,VD6))</f>
        <v/>
      </c>
      <c r="VG6" s="128" t="str">
        <f t="shared" si="115"/>
        <v/>
      </c>
      <c r="VH6" s="123"/>
      <c r="VI6" s="124"/>
      <c r="VJ6" s="125"/>
      <c r="VK6" s="126" t="str">
        <f>IFERROR((((COUNTIF('Elève (4ème5)'!VH6:VJ6,"A"))*4)+((COUNTIF('Elève (4ème5)'!VH6:VJ6,"B"))*3)+((COUNTIF('Elève (4ème5)'!VH6:VJ6,"C"))*2)+((COUNTIF('Elève (4ème5)'!VH6:VJ6,"D"))*1))/(COUNTA(VH6:VJ6)),"")</f>
        <v/>
      </c>
      <c r="VL6" s="127" t="str">
        <f t="shared" si="116"/>
        <v/>
      </c>
      <c r="VM6" s="123"/>
      <c r="VN6" s="124"/>
      <c r="VO6" s="125"/>
      <c r="VP6" s="126" t="str">
        <f>IFERROR((((COUNTIF('Elève (4ème5)'!VM6:VO6,"A"))*4)+((COUNTIF('Elève (4ème5)'!VM6:VO6,"B"))*3)+((COUNTIF('Elève (4ème5)'!VM6:VO6,"C"))*2)+((COUNTIF('Elève (4ème5)'!VM6:VO6,"D"))*1))/(COUNTA(VM6:VO6)),"")</f>
        <v/>
      </c>
      <c r="VQ6" s="127" t="str">
        <f t="shared" si="117"/>
        <v/>
      </c>
      <c r="VR6" s="123"/>
      <c r="VS6" s="124"/>
      <c r="VT6" s="129"/>
      <c r="VU6" s="126" t="str">
        <f>IFERROR((((COUNTIF('Elève (4ème5)'!VR6:VT6,"A"))*4)+((COUNTIF('Elève (4ème5)'!VR6:VT6,"B"))*3)+((COUNTIF('Elève (4ème5)'!VR6:VT6,"C"))*2)+((COUNTIF('Elève (4ème5)'!VR6:VT6,"D"))*1))/(COUNTA(VR6:VT6)),"")</f>
        <v/>
      </c>
      <c r="VV6" s="127" t="str">
        <f t="shared" si="118"/>
        <v/>
      </c>
      <c r="VW6" s="126" t="str">
        <f>IF(COUNT(VK6,VP6,VU6)=0,"",SUM(VK6,VP6,VU6)/COUNT(VK6,VP6,VU6))</f>
        <v/>
      </c>
      <c r="VX6" s="128" t="str">
        <f t="shared" si="119"/>
        <v/>
      </c>
    </row>
    <row r="7" spans="1:596" ht="18" customHeight="1" x14ac:dyDescent="0.55000000000000004">
      <c r="A7" s="248" t="s">
        <v>14</v>
      </c>
      <c r="B7" s="249"/>
      <c r="C7" s="123"/>
      <c r="D7" s="124"/>
      <c r="E7" s="125"/>
      <c r="F7" s="182" t="str">
        <f>IFERROR((((COUNTIF('Elève (4ème5)'!C7:E7,"A"))*4)+((COUNTIF('Elève (4ème5)'!C7:E7,"B"))*3)+((COUNTIF('Elève (4ème5)'!C7:E7,"C"))*2)+((COUNTIF('Elève (4ème5)'!C7:E7,"D"))*1))/(COUNTA(C7:E7)),"")</f>
        <v/>
      </c>
      <c r="G7" s="183" t="str">
        <f t="shared" si="0"/>
        <v/>
      </c>
      <c r="H7" s="123"/>
      <c r="I7" s="124"/>
      <c r="J7" s="125"/>
      <c r="K7" s="125"/>
      <c r="L7" s="182" t="str">
        <f>IFERROR((((COUNTIF('Elève (4ème5)'!H7:K7,"A"))*4)+((COUNTIF('Elève (4ème5)'!H7:K7,"B"))*3)+((COUNTIF('Elève (4ème5)'!H7:K7,"C"))*2)+((COUNTIF('Elève (4ème5)'!H7:K7,"D"))*1))/(COUNTA(H7:K7)),"")</f>
        <v/>
      </c>
      <c r="M7" s="183" t="str">
        <f t="shared" si="1"/>
        <v/>
      </c>
      <c r="N7" s="123"/>
      <c r="O7" s="124"/>
      <c r="P7" s="125"/>
      <c r="Q7" s="125"/>
      <c r="R7" s="125"/>
      <c r="S7" s="182" t="str">
        <f>IFERROR((((COUNTIF('Elève (4ème5)'!N7:R7,"A"))*4)+((COUNTIF('Elève (4ème5)'!N7:R7,"B"))*3)+((COUNTIF('Elève (4ème5)'!N7:R7,"C"))*2)+((COUNTIF('Elève (4ème5)'!N7:R7,"D"))*1))/(COUNTA(N7:R7)),"")</f>
        <v/>
      </c>
      <c r="T7" s="183" t="str">
        <f t="shared" si="2"/>
        <v/>
      </c>
      <c r="U7" s="182" t="str">
        <f>IF(COUNT(F7,L7,S7)=0,"",SUM(F7,L7,S7)/COUNT(F7,L7,S7))</f>
        <v/>
      </c>
      <c r="V7" s="206" t="str">
        <f t="shared" si="3"/>
        <v/>
      </c>
      <c r="W7" s="123"/>
      <c r="X7" s="124"/>
      <c r="Y7" s="125"/>
      <c r="Z7" s="182" t="str">
        <f>IFERROR((((COUNTIF('Elève (4ème5)'!W7:Y7,"A"))*4)+((COUNTIF('Elève (4ème5)'!W7:Y7,"B"))*3)+((COUNTIF('Elève (4ème5)'!W7:Y7,"C"))*2)+((COUNTIF('Elève (4ème5)'!W7:Y7,"D"))*1))/(COUNTA(W7:Y7)),"")</f>
        <v/>
      </c>
      <c r="AA7" s="183" t="str">
        <f t="shared" si="4"/>
        <v/>
      </c>
      <c r="AB7" s="123"/>
      <c r="AC7" s="124"/>
      <c r="AD7" s="125"/>
      <c r="AE7" s="125"/>
      <c r="AF7" s="182" t="str">
        <f>IFERROR((((COUNTIF('Elève (4ème5)'!AB7:AE7,"A"))*4)+((COUNTIF('Elève (4ème5)'!AB7:AE7,"B"))*3)+((COUNTIF('Elève (4ème5)'!AB7:AE7,"C"))*2)+((COUNTIF('Elève (4ème5)'!AB7:AE7,"D"))*1))/(COUNTA(AB7:AE7)),"")</f>
        <v/>
      </c>
      <c r="AG7" s="183" t="str">
        <f t="shared" si="5"/>
        <v/>
      </c>
      <c r="AH7" s="123"/>
      <c r="AI7" s="124"/>
      <c r="AJ7" s="125"/>
      <c r="AK7" s="125"/>
      <c r="AL7" s="125"/>
      <c r="AM7" s="182" t="str">
        <f>IFERROR((((COUNTIF('Elève (4ème5)'!AH7:AL7,"A"))*4)+((COUNTIF('Elève (4ème5)'!AH7:AL7,"B"))*3)+((COUNTIF('Elève (4ème5)'!AH7:AL7,"C"))*2)+((COUNTIF('Elève (4ème5)'!AH7:AL7,"D"))*1))/(COUNTA(AH7:AL7)),"")</f>
        <v/>
      </c>
      <c r="AN7" s="183" t="str">
        <f t="shared" si="6"/>
        <v/>
      </c>
      <c r="AO7" s="182" t="str">
        <f>IF(COUNT(Z7,AF7,AM7)=0,"",SUM(Z7,AF7,AM7)/COUNT(Z7,AF7,AM7))</f>
        <v/>
      </c>
      <c r="AP7" s="206" t="str">
        <f t="shared" si="7"/>
        <v/>
      </c>
      <c r="AQ7" s="123"/>
      <c r="AR7" s="124"/>
      <c r="AS7" s="125"/>
      <c r="AT7" s="182" t="str">
        <f>IFERROR((((COUNTIF('Elève (4ème5)'!AQ7:AS7,"A"))*4)+((COUNTIF('Elève (4ème5)'!AQ7:AS7,"B"))*3)+((COUNTIF('Elève (4ème5)'!AQ7:AS7,"C"))*2)+((COUNTIF('Elève (4ème5)'!AQ7:AS7,"D"))*1))/(COUNTA(AQ7:AS7)),"")</f>
        <v/>
      </c>
      <c r="AU7" s="183" t="str">
        <f t="shared" si="8"/>
        <v/>
      </c>
      <c r="AV7" s="123"/>
      <c r="AW7" s="124"/>
      <c r="AX7" s="125"/>
      <c r="AY7" s="125"/>
      <c r="AZ7" s="182" t="str">
        <f>IFERROR((((COUNTIF('Elève (4ème5)'!AV7:AY7,"A"))*4)+((COUNTIF('Elève (4ème5)'!AV7:AY7,"B"))*3)+((COUNTIF('Elève (4ème5)'!AV7:AY7,"C"))*2)+((COUNTIF('Elève (4ème5)'!AV7:AY7,"D"))*1))/(COUNTA(AV7:AY7)),"")</f>
        <v/>
      </c>
      <c r="BA7" s="183" t="str">
        <f t="shared" si="9"/>
        <v/>
      </c>
      <c r="BB7" s="123"/>
      <c r="BC7" s="124"/>
      <c r="BD7" s="125"/>
      <c r="BE7" s="125"/>
      <c r="BF7" s="125"/>
      <c r="BG7" s="182" t="str">
        <f>IFERROR((((COUNTIF('Elève (4ème5)'!BB7:BF7,"A"))*4)+((COUNTIF('Elève (4ème5)'!BB7:BF7,"B"))*3)+((COUNTIF('Elève (4ème5)'!BB7:BF7,"C"))*2)+((COUNTIF('Elève (4ème5)'!BB7:BF7,"D"))*1))/(COUNTA(BB7:BF7)),"")</f>
        <v/>
      </c>
      <c r="BH7" s="183" t="str">
        <f t="shared" si="10"/>
        <v/>
      </c>
      <c r="BI7" s="182" t="str">
        <f>IF(COUNT(AT7,AZ7,BG7)=0,"",SUM(AT7,AZ7,BG7)/COUNT(AT7,AZ7,BG7))</f>
        <v/>
      </c>
      <c r="BJ7" s="206" t="str">
        <f t="shared" si="11"/>
        <v/>
      </c>
      <c r="BK7" s="123"/>
      <c r="BL7" s="124"/>
      <c r="BM7" s="125"/>
      <c r="BN7" s="182" t="str">
        <f>IFERROR((((COUNTIF('Elève (4ème5)'!BK7:BM7,"A"))*4)+((COUNTIF('Elève (4ème5)'!BK7:BM7,"B"))*3)+((COUNTIF('Elève (4ème5)'!BK7:BM7,"C"))*2)+((COUNTIF('Elève (4ème5)'!BK7:BM7,"D"))*1))/(COUNTA(BK7:BM7)),"")</f>
        <v/>
      </c>
      <c r="BO7" s="183" t="str">
        <f t="shared" si="12"/>
        <v/>
      </c>
      <c r="BP7" s="123"/>
      <c r="BQ7" s="124"/>
      <c r="BR7" s="125"/>
      <c r="BS7" s="125"/>
      <c r="BT7" s="182" t="str">
        <f>IFERROR((((COUNTIF('Elève (4ème5)'!BP7:BS7,"A"))*4)+((COUNTIF('Elève (4ème5)'!BP7:BS7,"B"))*3)+((COUNTIF('Elève (4ème5)'!BP7:BS7,"C"))*2)+((COUNTIF('Elève (4ème5)'!BP7:BS7,"D"))*1))/(COUNTA(BP7:BS7)),"")</f>
        <v/>
      </c>
      <c r="BU7" s="183" t="str">
        <f t="shared" si="13"/>
        <v/>
      </c>
      <c r="BV7" s="123"/>
      <c r="BW7" s="124"/>
      <c r="BX7" s="125"/>
      <c r="BY7" s="125"/>
      <c r="BZ7" s="125"/>
      <c r="CA7" s="182" t="str">
        <f>IFERROR((((COUNTIF('Elève (4ème5)'!BV7:BZ7,"A"))*4)+((COUNTIF('Elève (4ème5)'!BV7:BZ7,"B"))*3)+((COUNTIF('Elève (4ème5)'!BV7:BZ7,"C"))*2)+((COUNTIF('Elève (4ème5)'!BV7:BZ7,"D"))*1))/(COUNTA(BV7:BZ7)),"")</f>
        <v/>
      </c>
      <c r="CB7" s="183" t="str">
        <f t="shared" si="14"/>
        <v/>
      </c>
      <c r="CC7" s="182" t="str">
        <f>IF(COUNT(BN7,BT7,CA7)=0,"",SUM(BN7,BT7,CA7)/COUNT(BN7,BT7,CA7))</f>
        <v/>
      </c>
      <c r="CD7" s="206" t="str">
        <f t="shared" si="15"/>
        <v/>
      </c>
      <c r="CE7" s="123"/>
      <c r="CF7" s="124"/>
      <c r="CG7" s="125"/>
      <c r="CH7" s="182" t="str">
        <f>IFERROR((((COUNTIF('Elève (4ème5)'!CE7:CG7,"A"))*4)+((COUNTIF('Elève (4ème5)'!CE7:CG7,"B"))*3)+((COUNTIF('Elève (4ème5)'!CE7:CG7,"C"))*2)+((COUNTIF('Elève (4ème5)'!CE7:CG7,"D"))*1))/(COUNTA(CE7:CG7)),"")</f>
        <v/>
      </c>
      <c r="CI7" s="183" t="str">
        <f t="shared" si="16"/>
        <v/>
      </c>
      <c r="CJ7" s="123"/>
      <c r="CK7" s="124"/>
      <c r="CL7" s="125"/>
      <c r="CM7" s="125"/>
      <c r="CN7" s="182" t="str">
        <f>IFERROR((((COUNTIF('Elève (4ème5)'!CJ7:CM7,"A"))*4)+((COUNTIF('Elève (4ème5)'!CJ7:CM7,"B"))*3)+((COUNTIF('Elève (4ème5)'!CJ7:CM7,"C"))*2)+((COUNTIF('Elève (4ème5)'!CJ7:CM7,"D"))*1))/(COUNTA(CJ7:CM7)),"")</f>
        <v/>
      </c>
      <c r="CO7" s="183" t="str">
        <f t="shared" si="17"/>
        <v/>
      </c>
      <c r="CP7" s="123"/>
      <c r="CQ7" s="124"/>
      <c r="CR7" s="125"/>
      <c r="CS7" s="125"/>
      <c r="CT7" s="125"/>
      <c r="CU7" s="182" t="str">
        <f>IFERROR((((COUNTIF('Elève (4ème5)'!CP7:CT7,"A"))*4)+((COUNTIF('Elève (4ème5)'!CP7:CT7,"B"))*3)+((COUNTIF('Elève (4ème5)'!CP7:CT7,"C"))*2)+((COUNTIF('Elève (4ème5)'!CP7:CT7,"D"))*1))/(COUNTA(CP7:CT7)),"")</f>
        <v/>
      </c>
      <c r="CV7" s="183" t="str">
        <f t="shared" si="18"/>
        <v/>
      </c>
      <c r="CW7" s="182" t="str">
        <f>IF(COUNT(CH7,CN7,CU7)=0,"",SUM(CH7,CN7,CU7)/COUNT(CH7,CN7,CU7))</f>
        <v/>
      </c>
      <c r="CX7" s="206" t="str">
        <f t="shared" si="19"/>
        <v/>
      </c>
      <c r="CY7" s="123"/>
      <c r="CZ7" s="124"/>
      <c r="DA7" s="125"/>
      <c r="DB7" s="182" t="str">
        <f>IFERROR((((COUNTIF('Elève (4ème5)'!CY7:DA7,"A"))*4)+((COUNTIF('Elève (4ème5)'!CY7:DA7,"B"))*3)+((COUNTIF('Elève (4ème5)'!CY7:DA7,"C"))*2)+((COUNTIF('Elève (4ème5)'!CY7:DA7,"D"))*1))/(COUNTA(CY7:DA7)),"")</f>
        <v/>
      </c>
      <c r="DC7" s="183" t="str">
        <f t="shared" si="20"/>
        <v/>
      </c>
      <c r="DD7" s="123"/>
      <c r="DE7" s="124"/>
      <c r="DF7" s="125"/>
      <c r="DG7" s="125"/>
      <c r="DH7" s="182" t="str">
        <f>IFERROR((((COUNTIF('Elève (4ème5)'!DD7:DG7,"A"))*4)+((COUNTIF('Elève (4ème5)'!DD7:DG7,"B"))*3)+((COUNTIF('Elève (4ème5)'!DD7:DG7,"C"))*2)+((COUNTIF('Elève (4ème5)'!DD7:DG7,"D"))*1))/(COUNTA(DD7:DG7)),"")</f>
        <v/>
      </c>
      <c r="DI7" s="183" t="str">
        <f t="shared" si="21"/>
        <v/>
      </c>
      <c r="DJ7" s="123"/>
      <c r="DK7" s="124"/>
      <c r="DL7" s="125"/>
      <c r="DM7" s="125"/>
      <c r="DN7" s="125"/>
      <c r="DO7" s="182" t="str">
        <f>IFERROR((((COUNTIF('Elève (4ème5)'!DJ7:DN7,"A"))*4)+((COUNTIF('Elève (4ème5)'!DJ7:DN7,"B"))*3)+((COUNTIF('Elève (4ème5)'!DJ7:DN7,"C"))*2)+((COUNTIF('Elève (4ème5)'!DJ7:DN7,"D"))*1))/(COUNTA(DJ7:DN7)),"")</f>
        <v/>
      </c>
      <c r="DP7" s="183" t="str">
        <f t="shared" si="22"/>
        <v/>
      </c>
      <c r="DQ7" s="182" t="str">
        <f>IF(COUNT(DB7,DH7,DO7)=0,"",SUM(DB7,DH7,DO7)/COUNT(DB7,DH7,DO7))</f>
        <v/>
      </c>
      <c r="DR7" s="206" t="str">
        <f t="shared" si="23"/>
        <v/>
      </c>
      <c r="DS7" s="123"/>
      <c r="DT7" s="124"/>
      <c r="DU7" s="125"/>
      <c r="DV7" s="182" t="str">
        <f>IFERROR((((COUNTIF('Elève (4ème5)'!DS7:DU7,"A"))*4)+((COUNTIF('Elève (4ème5)'!DS7:DU7,"B"))*3)+((COUNTIF('Elève (4ème5)'!DS7:DU7,"C"))*2)+((COUNTIF('Elève (4ème5)'!DS7:DU7,"D"))*1))/(COUNTA(DS7:DU7)),"")</f>
        <v/>
      </c>
      <c r="DW7" s="183" t="str">
        <f t="shared" si="24"/>
        <v/>
      </c>
      <c r="DX7" s="123"/>
      <c r="DY7" s="124"/>
      <c r="DZ7" s="125"/>
      <c r="EA7" s="125"/>
      <c r="EB7" s="182" t="str">
        <f>IFERROR((((COUNTIF('Elève (4ème5)'!DX7:EA7,"A"))*4)+((COUNTIF('Elève (4ème5)'!DX7:EA7,"B"))*3)+((COUNTIF('Elève (4ème5)'!DX7:EA7,"C"))*2)+((COUNTIF('Elève (4ème5)'!DX7:EA7,"D"))*1))/(COUNTA(DX7:EA7)),"")</f>
        <v/>
      </c>
      <c r="EC7" s="183" t="str">
        <f t="shared" si="25"/>
        <v/>
      </c>
      <c r="ED7" s="123"/>
      <c r="EE7" s="124"/>
      <c r="EF7" s="125"/>
      <c r="EG7" s="125"/>
      <c r="EH7" s="125"/>
      <c r="EI7" s="182" t="str">
        <f>IFERROR((((COUNTIF('Elève (4ème5)'!ED7:EH7,"A"))*4)+((COUNTIF('Elève (4ème5)'!ED7:EH7,"B"))*3)+((COUNTIF('Elève (4ème5)'!ED7:EH7,"C"))*2)+((COUNTIF('Elève (4ème5)'!ED7:EH7,"D"))*1))/(COUNTA(ED7:EH7)),"")</f>
        <v/>
      </c>
      <c r="EJ7" s="183" t="str">
        <f t="shared" si="26"/>
        <v/>
      </c>
      <c r="EK7" s="182" t="str">
        <f>IF(COUNT(DV7,EB7,EI7)=0,"",SUM(DV7,EB7,EI7)/COUNT(DV7,EB7,EI7))</f>
        <v/>
      </c>
      <c r="EL7" s="206" t="str">
        <f t="shared" si="27"/>
        <v/>
      </c>
      <c r="EM7" s="123"/>
      <c r="EN7" s="124"/>
      <c r="EO7" s="125"/>
      <c r="EP7" s="182" t="str">
        <f>IFERROR((((COUNTIF('Elève (4ème5)'!EM7:EO7,"A"))*4)+((COUNTIF('Elève (4ème5)'!EM7:EO7,"B"))*3)+((COUNTIF('Elève (4ème5)'!EM7:EO7,"C"))*2)+((COUNTIF('Elève (4ème5)'!EM7:EO7,"D"))*1))/(COUNTA(EM7:EO7)),"")</f>
        <v/>
      </c>
      <c r="EQ7" s="183" t="str">
        <f t="shared" si="28"/>
        <v/>
      </c>
      <c r="ER7" s="123"/>
      <c r="ES7" s="124"/>
      <c r="ET7" s="125"/>
      <c r="EU7" s="125"/>
      <c r="EV7" s="182" t="str">
        <f>IFERROR((((COUNTIF('Elève (4ème5)'!ER7:EU7,"A"))*4)+((COUNTIF('Elève (4ème5)'!ER7:EU7,"B"))*3)+((COUNTIF('Elève (4ème5)'!ER7:EU7,"C"))*2)+((COUNTIF('Elève (4ème5)'!ER7:EU7,"D"))*1))/(COUNTA(ER7:EU7)),"")</f>
        <v/>
      </c>
      <c r="EW7" s="183" t="str">
        <f t="shared" si="29"/>
        <v/>
      </c>
      <c r="EX7" s="123"/>
      <c r="EY7" s="124"/>
      <c r="EZ7" s="125"/>
      <c r="FA7" s="125"/>
      <c r="FB7" s="125"/>
      <c r="FC7" s="182" t="str">
        <f>IFERROR((((COUNTIF('Elève (4ème5)'!EX7:FB7,"A"))*4)+((COUNTIF('Elève (4ème5)'!EX7:FB7,"B"))*3)+((COUNTIF('Elève (4ème5)'!EX7:FB7,"C"))*2)+((COUNTIF('Elève (4ème5)'!EX7:FB7,"D"))*1))/(COUNTA(EX7:FB7)),"")</f>
        <v/>
      </c>
      <c r="FD7" s="183" t="str">
        <f t="shared" si="30"/>
        <v/>
      </c>
      <c r="FE7" s="182" t="str">
        <f>IF(COUNT(EP7,EV7,FC7)=0,"",SUM(EP7,EV7,FC7)/COUNT(EP7,EV7,FC7))</f>
        <v/>
      </c>
      <c r="FF7" s="206" t="str">
        <f t="shared" si="31"/>
        <v/>
      </c>
      <c r="FG7" s="123"/>
      <c r="FH7" s="124"/>
      <c r="FI7" s="125"/>
      <c r="FJ7" s="182" t="str">
        <f>IFERROR((((COUNTIF('Elève (4ème5)'!FG7:FI7,"A"))*4)+((COUNTIF('Elève (4ème5)'!FG7:FI7,"B"))*3)+((COUNTIF('Elève (4ème5)'!FG7:FI7,"C"))*2)+((COUNTIF('Elève (4ème5)'!FG7:FI7,"D"))*1))/(COUNTA(FG7:FI7)),"")</f>
        <v/>
      </c>
      <c r="FK7" s="183" t="str">
        <f t="shared" si="32"/>
        <v/>
      </c>
      <c r="FL7" s="123"/>
      <c r="FM7" s="124"/>
      <c r="FN7" s="125"/>
      <c r="FO7" s="125"/>
      <c r="FP7" s="182" t="str">
        <f>IFERROR((((COUNTIF('Elève (4ème5)'!FL7:FO7,"A"))*4)+((COUNTIF('Elève (4ème5)'!FL7:FO7,"B"))*3)+((COUNTIF('Elève (4ème5)'!FL7:FO7,"C"))*2)+((COUNTIF('Elève (4ème5)'!FL7:FO7,"D"))*1))/(COUNTA(FL7:FO7)),"")</f>
        <v/>
      </c>
      <c r="FQ7" s="183" t="str">
        <f t="shared" si="33"/>
        <v/>
      </c>
      <c r="FR7" s="123"/>
      <c r="FS7" s="124"/>
      <c r="FT7" s="125"/>
      <c r="FU7" s="125"/>
      <c r="FV7" s="125"/>
      <c r="FW7" s="182" t="str">
        <f>IFERROR((((COUNTIF('Elève (4ème5)'!FR7:FV7,"A"))*4)+((COUNTIF('Elève (4ème5)'!FR7:FV7,"B"))*3)+((COUNTIF('Elève (4ème5)'!FR7:FV7,"C"))*2)+((COUNTIF('Elève (4ème5)'!FR7:FV7,"D"))*1))/(COUNTA(FR7:FV7)),"")</f>
        <v/>
      </c>
      <c r="FX7" s="183" t="str">
        <f t="shared" si="34"/>
        <v/>
      </c>
      <c r="FY7" s="182" t="str">
        <f>IF(COUNT(FJ7,FP7,FW7)=0,"",SUM(FJ7,FP7,FW7)/COUNT(FJ7,FP7,FW7))</f>
        <v/>
      </c>
      <c r="FZ7" s="206" t="str">
        <f t="shared" si="35"/>
        <v/>
      </c>
      <c r="GA7" s="123"/>
      <c r="GB7" s="124"/>
      <c r="GC7" s="125"/>
      <c r="GD7" s="182" t="str">
        <f>IFERROR((((COUNTIF('Elève (4ème5)'!GA7:GC7,"A"))*4)+((COUNTIF('Elève (4ème5)'!GA7:GC7,"B"))*3)+((COUNTIF('Elève (4ème5)'!GA7:GC7,"C"))*2)+((COUNTIF('Elève (4ème5)'!GA7:GC7,"D"))*1))/(COUNTA(GA7:GC7)),"")</f>
        <v/>
      </c>
      <c r="GE7" s="183" t="str">
        <f t="shared" si="36"/>
        <v/>
      </c>
      <c r="GF7" s="123"/>
      <c r="GG7" s="124"/>
      <c r="GH7" s="125"/>
      <c r="GI7" s="125"/>
      <c r="GJ7" s="182" t="str">
        <f>IFERROR((((COUNTIF('Elève (4ème5)'!GF7:GI7,"A"))*4)+((COUNTIF('Elève (4ème5)'!GF7:GI7,"B"))*3)+((COUNTIF('Elève (4ème5)'!GF7:GI7,"C"))*2)+((COUNTIF('Elève (4ème5)'!GF7:GI7,"D"))*1))/(COUNTA(GF7:GI7)),"")</f>
        <v/>
      </c>
      <c r="GK7" s="183" t="str">
        <f t="shared" si="37"/>
        <v/>
      </c>
      <c r="GL7" s="123"/>
      <c r="GM7" s="124"/>
      <c r="GN7" s="125"/>
      <c r="GO7" s="125"/>
      <c r="GP7" s="125"/>
      <c r="GQ7" s="182" t="str">
        <f>IFERROR((((COUNTIF('Elève (4ème5)'!GL7:GP7,"A"))*4)+((COUNTIF('Elève (4ème5)'!GL7:GP7,"B"))*3)+((COUNTIF('Elève (4ème5)'!GL7:GP7,"C"))*2)+((COUNTIF('Elève (4ème5)'!GL7:GP7,"D"))*1))/(COUNTA(GL7:GP7)),"")</f>
        <v/>
      </c>
      <c r="GR7" s="183" t="str">
        <f t="shared" si="38"/>
        <v/>
      </c>
      <c r="GS7" s="182" t="str">
        <f>IF(COUNT(GD7,GJ7,GQ7)=0,"",SUM(GD7,GJ7,GQ7)/COUNT(GD7,GJ7,GQ7))</f>
        <v/>
      </c>
      <c r="GT7" s="206" t="str">
        <f t="shared" si="39"/>
        <v/>
      </c>
      <c r="GU7" s="123"/>
      <c r="GV7" s="124"/>
      <c r="GW7" s="125"/>
      <c r="GX7" s="182" t="str">
        <f>IFERROR((((COUNTIF('Elève (4ème5)'!GU7:GW7,"A"))*4)+((COUNTIF('Elève (4ème5)'!GU7:GW7,"B"))*3)+((COUNTIF('Elève (4ème5)'!GU7:GW7,"C"))*2)+((COUNTIF('Elève (4ème5)'!GU7:GW7,"D"))*1))/(COUNTA(GU7:GW7)),"")</f>
        <v/>
      </c>
      <c r="GY7" s="183" t="str">
        <f t="shared" si="40"/>
        <v/>
      </c>
      <c r="GZ7" s="123"/>
      <c r="HA7" s="124"/>
      <c r="HB7" s="125"/>
      <c r="HC7" s="125"/>
      <c r="HD7" s="182" t="str">
        <f>IFERROR((((COUNTIF('Elève (4ème5)'!GZ7:HC7,"A"))*4)+((COUNTIF('Elève (4ème5)'!GZ7:HC7,"B"))*3)+((COUNTIF('Elève (4ème5)'!GZ7:HC7,"C"))*2)+((COUNTIF('Elève (4ème5)'!GZ7:HC7,"D"))*1))/(COUNTA(GZ7:HC7)),"")</f>
        <v/>
      </c>
      <c r="HE7" s="183" t="str">
        <f t="shared" si="41"/>
        <v/>
      </c>
      <c r="HF7" s="123"/>
      <c r="HG7" s="124"/>
      <c r="HH7" s="125"/>
      <c r="HI7" s="125"/>
      <c r="HJ7" s="125"/>
      <c r="HK7" s="182" t="str">
        <f>IFERROR((((COUNTIF('Elève (4ème5)'!HF7:HJ7,"A"))*4)+((COUNTIF('Elève (4ème5)'!HF7:HJ7,"B"))*3)+((COUNTIF('Elève (4ème5)'!HF7:HJ7,"C"))*2)+((COUNTIF('Elève (4ème5)'!HF7:HJ7,"D"))*1))/(COUNTA(HF7:HJ7)),"")</f>
        <v/>
      </c>
      <c r="HL7" s="183" t="str">
        <f t="shared" si="42"/>
        <v/>
      </c>
      <c r="HM7" s="182" t="str">
        <f>IF(COUNT(GX7,HD7,HK7)=0,"",SUM(GX7,HD7,HK7)/COUNT(GX7,HD7,HK7))</f>
        <v/>
      </c>
      <c r="HN7" s="206" t="str">
        <f t="shared" si="43"/>
        <v/>
      </c>
      <c r="HO7" s="123"/>
      <c r="HP7" s="124"/>
      <c r="HQ7" s="125"/>
      <c r="HR7" s="182" t="str">
        <f>IFERROR((((COUNTIF('Elève (4ème5)'!HO7:HQ7,"A"))*4)+((COUNTIF('Elève (4ème5)'!HO7:HQ7,"B"))*3)+((COUNTIF('Elève (4ème5)'!HO7:HQ7,"C"))*2)+((COUNTIF('Elève (4ème5)'!HO7:HQ7,"D"))*1))/(COUNTA(HO7:HQ7)),"")</f>
        <v/>
      </c>
      <c r="HS7" s="183" t="str">
        <f t="shared" si="44"/>
        <v/>
      </c>
      <c r="HT7" s="123"/>
      <c r="HU7" s="124"/>
      <c r="HV7" s="125"/>
      <c r="HW7" s="125"/>
      <c r="HX7" s="182" t="str">
        <f>IFERROR((((COUNTIF('Elève (4ème5)'!HT7:HW7,"A"))*4)+((COUNTIF('Elève (4ème5)'!HT7:HW7,"B"))*3)+((COUNTIF('Elève (4ème5)'!HT7:HW7,"C"))*2)+((COUNTIF('Elève (4ème5)'!HT7:HW7,"D"))*1))/(COUNTA(HT7:HW7)),"")</f>
        <v/>
      </c>
      <c r="HY7" s="183" t="str">
        <f t="shared" si="45"/>
        <v/>
      </c>
      <c r="HZ7" s="123"/>
      <c r="IA7" s="124"/>
      <c r="IB7" s="125"/>
      <c r="IC7" s="125"/>
      <c r="ID7" s="125"/>
      <c r="IE7" s="182" t="str">
        <f>IFERROR((((COUNTIF('Elève (4ème5)'!HZ7:ID7,"A"))*4)+((COUNTIF('Elève (4ème5)'!HZ7:ID7,"B"))*3)+((COUNTIF('Elève (4ème5)'!HZ7:ID7,"C"))*2)+((COUNTIF('Elève (4ème5)'!HZ7:ID7,"D"))*1))/(COUNTA(HZ7:ID7)),"")</f>
        <v/>
      </c>
      <c r="IF7" s="183" t="str">
        <f t="shared" si="46"/>
        <v/>
      </c>
      <c r="IG7" s="182" t="str">
        <f>IF(COUNT(HR7,HX7,IE7)=0,"",SUM(HR7,HX7,IE7)/COUNT(HR7,HX7,IE7))</f>
        <v/>
      </c>
      <c r="IH7" s="206" t="str">
        <f t="shared" si="47"/>
        <v/>
      </c>
      <c r="II7" s="123"/>
      <c r="IJ7" s="124"/>
      <c r="IK7" s="125"/>
      <c r="IL7" s="182" t="str">
        <f>IFERROR((((COUNTIF('Elève (4ème5)'!II7:IK7,"A"))*4)+((COUNTIF('Elève (4ème5)'!II7:IK7,"B"))*3)+((COUNTIF('Elève (4ème5)'!II7:IK7,"C"))*2)+((COUNTIF('Elève (4ème5)'!II7:IK7,"D"))*1))/(COUNTA(II7:IK7)),"")</f>
        <v/>
      </c>
      <c r="IM7" s="183" t="str">
        <f t="shared" si="48"/>
        <v/>
      </c>
      <c r="IN7" s="123"/>
      <c r="IO7" s="124"/>
      <c r="IP7" s="125"/>
      <c r="IQ7" s="125"/>
      <c r="IR7" s="182" t="str">
        <f>IFERROR((((COUNTIF('Elève (4ème5)'!IN7:IQ7,"A"))*4)+((COUNTIF('Elève (4ème5)'!IN7:IQ7,"B"))*3)+((COUNTIF('Elève (4ème5)'!IN7:IQ7,"C"))*2)+((COUNTIF('Elève (4ème5)'!IN7:IQ7,"D"))*1))/(COUNTA(IN7:IQ7)),"")</f>
        <v/>
      </c>
      <c r="IS7" s="183" t="str">
        <f t="shared" si="49"/>
        <v/>
      </c>
      <c r="IT7" s="123"/>
      <c r="IU7" s="124"/>
      <c r="IV7" s="125"/>
      <c r="IW7" s="125"/>
      <c r="IX7" s="125"/>
      <c r="IY7" s="182" t="str">
        <f>IFERROR((((COUNTIF('Elève (4ème5)'!IT7:IX7,"A"))*4)+((COUNTIF('Elève (4ème5)'!IT7:IX7,"B"))*3)+((COUNTIF('Elève (4ème5)'!IT7:IX7,"C"))*2)+((COUNTIF('Elève (4ème5)'!IT7:IX7,"D"))*1))/(COUNTA(IT7:IX7)),"")</f>
        <v/>
      </c>
      <c r="IZ7" s="183" t="str">
        <f t="shared" si="50"/>
        <v/>
      </c>
      <c r="JA7" s="182" t="str">
        <f>IF(COUNT(IL7,IR7,IY7)=0,"",SUM(IL7,IR7,IY7)/COUNT(IL7,IR7,IY7))</f>
        <v/>
      </c>
      <c r="JB7" s="206" t="str">
        <f t="shared" si="51"/>
        <v/>
      </c>
      <c r="JC7" s="123"/>
      <c r="JD7" s="124"/>
      <c r="JE7" s="125"/>
      <c r="JF7" s="182" t="str">
        <f>IFERROR((((COUNTIF('Elève (4ème5)'!JC7:JE7,"A"))*4)+((COUNTIF('Elève (4ème5)'!JC7:JE7,"B"))*3)+((COUNTIF('Elève (4ème5)'!JC7:JE7,"C"))*2)+((COUNTIF('Elève (4ème5)'!JC7:JE7,"D"))*1))/(COUNTA(JC7:JE7)),"")</f>
        <v/>
      </c>
      <c r="JG7" s="183" t="str">
        <f t="shared" si="52"/>
        <v/>
      </c>
      <c r="JH7" s="123"/>
      <c r="JI7" s="124"/>
      <c r="JJ7" s="125"/>
      <c r="JK7" s="125"/>
      <c r="JL7" s="182" t="str">
        <f>IFERROR((((COUNTIF('Elève (4ème5)'!JH7:JK7,"A"))*4)+((COUNTIF('Elève (4ème5)'!JH7:JK7,"B"))*3)+((COUNTIF('Elève (4ème5)'!JH7:JK7,"C"))*2)+((COUNTIF('Elève (4ème5)'!JH7:JK7,"D"))*1))/(COUNTA(JH7:JK7)),"")</f>
        <v/>
      </c>
      <c r="JM7" s="183" t="str">
        <f t="shared" si="53"/>
        <v/>
      </c>
      <c r="JN7" s="123"/>
      <c r="JO7" s="124"/>
      <c r="JP7" s="125"/>
      <c r="JQ7" s="125"/>
      <c r="JR7" s="125"/>
      <c r="JS7" s="182" t="str">
        <f>IFERROR((((COUNTIF('Elève (4ème5)'!JN7:JR7,"A"))*4)+((COUNTIF('Elève (4ème5)'!JN7:JR7,"B"))*3)+((COUNTIF('Elève (4ème5)'!JN7:JR7,"C"))*2)+((COUNTIF('Elève (4ème5)'!JN7:JR7,"D"))*1))/(COUNTA(JN7:JR7)),"")</f>
        <v/>
      </c>
      <c r="JT7" s="183" t="str">
        <f t="shared" si="54"/>
        <v/>
      </c>
      <c r="JU7" s="182" t="str">
        <f>IF(COUNT(JF7,JL7,JS7)=0,"",SUM(JF7,JL7,JS7)/COUNT(JF7,JL7,JS7))</f>
        <v/>
      </c>
      <c r="JV7" s="206" t="str">
        <f t="shared" si="55"/>
        <v/>
      </c>
      <c r="JW7" s="123"/>
      <c r="JX7" s="124"/>
      <c r="JY7" s="125"/>
      <c r="JZ7" s="182" t="str">
        <f>IFERROR((((COUNTIF('Elève (4ème5)'!JW7:JY7,"A"))*4)+((COUNTIF('Elève (4ème5)'!JW7:JY7,"B"))*3)+((COUNTIF('Elève (4ème5)'!JW7:JY7,"C"))*2)+((COUNTIF('Elève (4ème5)'!JW7:JY7,"D"))*1))/(COUNTA(JW7:JY7)),"")</f>
        <v/>
      </c>
      <c r="KA7" s="183" t="str">
        <f t="shared" si="56"/>
        <v/>
      </c>
      <c r="KB7" s="123"/>
      <c r="KC7" s="124"/>
      <c r="KD7" s="125"/>
      <c r="KE7" s="125"/>
      <c r="KF7" s="182" t="str">
        <f>IFERROR((((COUNTIF('Elève (4ème5)'!KB7:KE7,"A"))*4)+((COUNTIF('Elève (4ème5)'!KB7:KE7,"B"))*3)+((COUNTIF('Elève (4ème5)'!KB7:KE7,"C"))*2)+((COUNTIF('Elève (4ème5)'!KB7:KE7,"D"))*1))/(COUNTA(KB7:KE7)),"")</f>
        <v/>
      </c>
      <c r="KG7" s="183" t="str">
        <f t="shared" si="57"/>
        <v/>
      </c>
      <c r="KH7" s="123"/>
      <c r="KI7" s="124"/>
      <c r="KJ7" s="125"/>
      <c r="KK7" s="125"/>
      <c r="KL7" s="125"/>
      <c r="KM7" s="182" t="str">
        <f>IFERROR((((COUNTIF('Elève (4ème5)'!KH7:KL7,"A"))*4)+((COUNTIF('Elève (4ème5)'!KH7:KL7,"B"))*3)+((COUNTIF('Elève (4ème5)'!KH7:KL7,"C"))*2)+((COUNTIF('Elève (4ème5)'!KH7:KL7,"D"))*1))/(COUNTA(KH7:KL7)),"")</f>
        <v/>
      </c>
      <c r="KN7" s="183" t="str">
        <f t="shared" si="58"/>
        <v/>
      </c>
      <c r="KO7" s="182" t="str">
        <f>IF(COUNT(JZ7,KF7,KM7)=0,"",SUM(JZ7,KF7,KM7)/COUNT(JZ7,KF7,KM7))</f>
        <v/>
      </c>
      <c r="KP7" s="206" t="str">
        <f t="shared" si="59"/>
        <v/>
      </c>
      <c r="KQ7" s="123"/>
      <c r="KR7" s="124"/>
      <c r="KS7" s="125"/>
      <c r="KT7" s="182" t="str">
        <f>IFERROR((((COUNTIF('Elève (4ème5)'!KQ7:KS7,"A"))*4)+((COUNTIF('Elève (4ème5)'!KQ7:KS7,"B"))*3)+((COUNTIF('Elève (4ème5)'!KQ7:KS7,"C"))*2)+((COUNTIF('Elève (4ème5)'!KQ7:KS7,"D"))*1))/(COUNTA(KQ7:KS7)),"")</f>
        <v/>
      </c>
      <c r="KU7" s="183" t="str">
        <f t="shared" si="60"/>
        <v/>
      </c>
      <c r="KV7" s="123"/>
      <c r="KW7" s="124"/>
      <c r="KX7" s="125"/>
      <c r="KY7" s="125"/>
      <c r="KZ7" s="182" t="str">
        <f>IFERROR((((COUNTIF('Elève (4ème5)'!KV7:KY7,"A"))*4)+((COUNTIF('Elève (4ème5)'!KV7:KY7,"B"))*3)+((COUNTIF('Elève (4ème5)'!KV7:KY7,"C"))*2)+((COUNTIF('Elève (4ème5)'!KV7:KY7,"D"))*1))/(COUNTA(KV7:KY7)),"")</f>
        <v/>
      </c>
      <c r="LA7" s="183" t="str">
        <f t="shared" si="61"/>
        <v/>
      </c>
      <c r="LB7" s="123"/>
      <c r="LC7" s="124"/>
      <c r="LD7" s="125"/>
      <c r="LE7" s="125"/>
      <c r="LF7" s="125"/>
      <c r="LG7" s="182" t="str">
        <f>IFERROR((((COUNTIF('Elève (4ème5)'!LB7:LF7,"A"))*4)+((COUNTIF('Elève (4ème5)'!LB7:LF7,"B"))*3)+((COUNTIF('Elève (4ème5)'!LB7:LF7,"C"))*2)+((COUNTIF('Elève (4ème5)'!LB7:LF7,"D"))*1))/(COUNTA(LB7:LF7)),"")</f>
        <v/>
      </c>
      <c r="LH7" s="183" t="str">
        <f t="shared" si="62"/>
        <v/>
      </c>
      <c r="LI7" s="182" t="str">
        <f>IF(COUNT(KT7,KZ7,LG7)=0,"",SUM(KT7,KZ7,LG7)/COUNT(KT7,KZ7,LG7))</f>
        <v/>
      </c>
      <c r="LJ7" s="206" t="str">
        <f t="shared" si="63"/>
        <v/>
      </c>
      <c r="LK7" s="123"/>
      <c r="LL7" s="124"/>
      <c r="LM7" s="125"/>
      <c r="LN7" s="182" t="str">
        <f>IFERROR((((COUNTIF('Elève (4ème5)'!LK7:LM7,"A"))*4)+((COUNTIF('Elève (4ème5)'!LK7:LM7,"B"))*3)+((COUNTIF('Elève (4ème5)'!LK7:LM7,"C"))*2)+((COUNTIF('Elève (4ème5)'!LK7:LM7,"D"))*1))/(COUNTA(LK7:LM7)),"")</f>
        <v/>
      </c>
      <c r="LO7" s="183" t="str">
        <f t="shared" si="64"/>
        <v/>
      </c>
      <c r="LP7" s="123"/>
      <c r="LQ7" s="124"/>
      <c r="LR7" s="125"/>
      <c r="LS7" s="125"/>
      <c r="LT7" s="182" t="str">
        <f>IFERROR((((COUNTIF('Elève (4ème5)'!LP7:LS7,"A"))*4)+((COUNTIF('Elève (4ème5)'!LP7:LS7,"B"))*3)+((COUNTIF('Elève (4ème5)'!LP7:LS7,"C"))*2)+((COUNTIF('Elève (4ème5)'!LP7:LS7,"D"))*1))/(COUNTA(LP7:LS7)),"")</f>
        <v/>
      </c>
      <c r="LU7" s="183" t="str">
        <f t="shared" si="65"/>
        <v/>
      </c>
      <c r="LV7" s="123"/>
      <c r="LW7" s="124"/>
      <c r="LX7" s="125"/>
      <c r="LY7" s="125"/>
      <c r="LZ7" s="125"/>
      <c r="MA7" s="182" t="str">
        <f>IFERROR((((COUNTIF('Elève (4ème5)'!LV7:LZ7,"A"))*4)+((COUNTIF('Elève (4ème5)'!LV7:LZ7,"B"))*3)+((COUNTIF('Elève (4ème5)'!LV7:LZ7,"C"))*2)+((COUNTIF('Elève (4ème5)'!LV7:LZ7,"D"))*1))/(COUNTA(LV7:LZ7)),"")</f>
        <v/>
      </c>
      <c r="MB7" s="183" t="str">
        <f t="shared" si="66"/>
        <v/>
      </c>
      <c r="MC7" s="182" t="str">
        <f>IF(COUNT(LN7,LT7,MA7)=0,"",SUM(LN7,LT7,MA7)/COUNT(LN7,LT7,MA7))</f>
        <v/>
      </c>
      <c r="MD7" s="206" t="str">
        <f t="shared" si="67"/>
        <v/>
      </c>
      <c r="ME7" s="123"/>
      <c r="MF7" s="124"/>
      <c r="MG7" s="125"/>
      <c r="MH7" s="182" t="str">
        <f>IFERROR((((COUNTIF('Elève (4ème5)'!ME7:MG7,"A"))*4)+((COUNTIF('Elève (4ème5)'!ME7:MG7,"B"))*3)+((COUNTIF('Elève (4ème5)'!ME7:MG7,"C"))*2)+((COUNTIF('Elève (4ème5)'!ME7:MG7,"D"))*1))/(COUNTA(ME7:MG7)),"")</f>
        <v/>
      </c>
      <c r="MI7" s="183" t="str">
        <f t="shared" si="68"/>
        <v/>
      </c>
      <c r="MJ7" s="123"/>
      <c r="MK7" s="124"/>
      <c r="ML7" s="125"/>
      <c r="MM7" s="125"/>
      <c r="MN7" s="182" t="str">
        <f>IFERROR((((COUNTIF('Elève (4ème5)'!MJ7:MM7,"A"))*4)+((COUNTIF('Elève (4ème5)'!MJ7:MM7,"B"))*3)+((COUNTIF('Elève (4ème5)'!MJ7:MM7,"C"))*2)+((COUNTIF('Elève (4ème5)'!MJ7:MM7,"D"))*1))/(COUNTA(MJ7:MM7)),"")</f>
        <v/>
      </c>
      <c r="MO7" s="183" t="str">
        <f t="shared" si="69"/>
        <v/>
      </c>
      <c r="MP7" s="123"/>
      <c r="MQ7" s="124"/>
      <c r="MR7" s="125"/>
      <c r="MS7" s="125"/>
      <c r="MT7" s="125"/>
      <c r="MU7" s="182" t="str">
        <f>IFERROR((((COUNTIF('Elève (4ème5)'!MP7:MT7,"A"))*4)+((COUNTIF('Elève (4ème5)'!MP7:MT7,"B"))*3)+((COUNTIF('Elève (4ème5)'!MP7:MT7,"C"))*2)+((COUNTIF('Elève (4ème5)'!MP7:MT7,"D"))*1))/(COUNTA(MP7:MT7)),"")</f>
        <v/>
      </c>
      <c r="MV7" s="183" t="str">
        <f t="shared" si="70"/>
        <v/>
      </c>
      <c r="MW7" s="182" t="str">
        <f>IF(COUNT(MH7,MN7,MU7)=0,"",SUM(MH7,MN7,MU7)/COUNT(MH7,MN7,MU7))</f>
        <v/>
      </c>
      <c r="MX7" s="206" t="str">
        <f t="shared" si="71"/>
        <v/>
      </c>
      <c r="MY7" s="123"/>
      <c r="MZ7" s="124"/>
      <c r="NA7" s="125"/>
      <c r="NB7" s="182" t="str">
        <f>IFERROR((((COUNTIF('Elève (4ème5)'!MY7:NA7,"A"))*4)+((COUNTIF('Elève (4ème5)'!MY7:NA7,"B"))*3)+((COUNTIF('Elève (4ème5)'!MY7:NA7,"C"))*2)+((COUNTIF('Elève (4ème5)'!MY7:NA7,"D"))*1))/(COUNTA(MY7:NA7)),"")</f>
        <v/>
      </c>
      <c r="NC7" s="183" t="str">
        <f t="shared" si="72"/>
        <v/>
      </c>
      <c r="ND7" s="123"/>
      <c r="NE7" s="124"/>
      <c r="NF7" s="125"/>
      <c r="NG7" s="125"/>
      <c r="NH7" s="182" t="str">
        <f>IFERROR((((COUNTIF('Elève (4ème5)'!ND7:NG7,"A"))*4)+((COUNTIF('Elève (4ème5)'!ND7:NG7,"B"))*3)+((COUNTIF('Elève (4ème5)'!ND7:NG7,"C"))*2)+((COUNTIF('Elève (4ème5)'!ND7:NG7,"D"))*1))/(COUNTA(ND7:NG7)),"")</f>
        <v/>
      </c>
      <c r="NI7" s="183" t="str">
        <f t="shared" si="73"/>
        <v/>
      </c>
      <c r="NJ7" s="123"/>
      <c r="NK7" s="124"/>
      <c r="NL7" s="125"/>
      <c r="NM7" s="125"/>
      <c r="NN7" s="125"/>
      <c r="NO7" s="182" t="str">
        <f>IFERROR((((COUNTIF('Elève (4ème5)'!NJ7:NN7,"A"))*4)+((COUNTIF('Elève (4ème5)'!NJ7:NN7,"B"))*3)+((COUNTIF('Elève (4ème5)'!NJ7:NN7,"C"))*2)+((COUNTIF('Elève (4ème5)'!NJ7:NN7,"D"))*1))/(COUNTA(NJ7:NN7)),"")</f>
        <v/>
      </c>
      <c r="NP7" s="183" t="str">
        <f t="shared" si="74"/>
        <v/>
      </c>
      <c r="NQ7" s="182" t="str">
        <f>IF(COUNT(NB7,NH7,NO7)=0,"",SUM(NB7,NH7,NO7)/COUNT(NB7,NH7,NO7))</f>
        <v/>
      </c>
      <c r="NR7" s="206" t="str">
        <f t="shared" si="75"/>
        <v/>
      </c>
      <c r="NS7" s="123"/>
      <c r="NT7" s="124"/>
      <c r="NU7" s="125"/>
      <c r="NV7" s="182" t="str">
        <f>IFERROR((((COUNTIF('Elève (4ème5)'!NS7:NU7,"A"))*4)+((COUNTIF('Elève (4ème5)'!NS7:NU7,"B"))*3)+((COUNTIF('Elève (4ème5)'!NS7:NU7,"C"))*2)+((COUNTIF('Elève (4ème5)'!NS7:NU7,"D"))*1))/(COUNTA(NS7:NU7)),"")</f>
        <v/>
      </c>
      <c r="NW7" s="183" t="str">
        <f t="shared" si="76"/>
        <v/>
      </c>
      <c r="NX7" s="123"/>
      <c r="NY7" s="124"/>
      <c r="NZ7" s="125"/>
      <c r="OA7" s="125"/>
      <c r="OB7" s="182" t="str">
        <f>IFERROR((((COUNTIF('Elève (4ème5)'!NX7:OA7,"A"))*4)+((COUNTIF('Elève (4ème5)'!NX7:OA7,"B"))*3)+((COUNTIF('Elève (4ème5)'!NX7:OA7,"C"))*2)+((COUNTIF('Elève (4ème5)'!NX7:OA7,"D"))*1))/(COUNTA(NX7:OA7)),"")</f>
        <v/>
      </c>
      <c r="OC7" s="183" t="str">
        <f t="shared" si="77"/>
        <v/>
      </c>
      <c r="OD7" s="123"/>
      <c r="OE7" s="124"/>
      <c r="OF7" s="125"/>
      <c r="OG7" s="125"/>
      <c r="OH7" s="125"/>
      <c r="OI7" s="182" t="str">
        <f>IFERROR((((COUNTIF('Elève (4ème5)'!OD7:OH7,"A"))*4)+((COUNTIF('Elève (4ème5)'!OD7:OH7,"B"))*3)+((COUNTIF('Elève (4ème5)'!OD7:OH7,"C"))*2)+((COUNTIF('Elève (4ème5)'!OD7:OH7,"D"))*1))/(COUNTA(OD7:OH7)),"")</f>
        <v/>
      </c>
      <c r="OJ7" s="183" t="str">
        <f t="shared" si="78"/>
        <v/>
      </c>
      <c r="OK7" s="182" t="str">
        <f>IF(COUNT(NV7,OB7,OI7)=0,"",SUM(NV7,OB7,OI7)/COUNT(NV7,OB7,OI7))</f>
        <v/>
      </c>
      <c r="OL7" s="206" t="str">
        <f t="shared" si="79"/>
        <v/>
      </c>
      <c r="OM7" s="123"/>
      <c r="ON7" s="124"/>
      <c r="OO7" s="125"/>
      <c r="OP7" s="182" t="str">
        <f>IFERROR((((COUNTIF('Elève (4ème5)'!OM7:OO7,"A"))*4)+((COUNTIF('Elève (4ème5)'!OM7:OO7,"B"))*3)+((COUNTIF('Elève (4ème5)'!OM7:OO7,"C"))*2)+((COUNTIF('Elève (4ème5)'!OM7:OO7,"D"))*1))/(COUNTA(OM7:OO7)),"")</f>
        <v/>
      </c>
      <c r="OQ7" s="183" t="str">
        <f t="shared" si="80"/>
        <v/>
      </c>
      <c r="OR7" s="123"/>
      <c r="OS7" s="124"/>
      <c r="OT7" s="125"/>
      <c r="OU7" s="125"/>
      <c r="OV7" s="182" t="str">
        <f>IFERROR((((COUNTIF('Elève (4ème5)'!OR7:OU7,"A"))*4)+((COUNTIF('Elève (4ème5)'!OR7:OU7,"B"))*3)+((COUNTIF('Elève (4ème5)'!OR7:OU7,"C"))*2)+((COUNTIF('Elève (4ème5)'!OR7:OU7,"D"))*1))/(COUNTA(OR7:OU7)),"")</f>
        <v/>
      </c>
      <c r="OW7" s="183" t="str">
        <f t="shared" si="81"/>
        <v/>
      </c>
      <c r="OX7" s="123"/>
      <c r="OY7" s="124"/>
      <c r="OZ7" s="125"/>
      <c r="PA7" s="125"/>
      <c r="PB7" s="125"/>
      <c r="PC7" s="182" t="str">
        <f>IFERROR((((COUNTIF('Elève (4ème5)'!OX7:PB7,"A"))*4)+((COUNTIF('Elève (4ème5)'!OX7:PB7,"B"))*3)+((COUNTIF('Elève (4ème5)'!OX7:PB7,"C"))*2)+((COUNTIF('Elève (4ème5)'!OX7:PB7,"D"))*1))/(COUNTA(OX7:PB7)),"")</f>
        <v/>
      </c>
      <c r="PD7" s="183" t="str">
        <f t="shared" si="82"/>
        <v/>
      </c>
      <c r="PE7" s="182" t="str">
        <f>IF(COUNT(OP7,OV7,PC7)=0,"",SUM(OP7,OV7,PC7)/COUNT(OP7,OV7,PC7))</f>
        <v/>
      </c>
      <c r="PF7" s="206" t="str">
        <f t="shared" si="83"/>
        <v/>
      </c>
      <c r="PG7" s="123"/>
      <c r="PH7" s="124"/>
      <c r="PI7" s="125"/>
      <c r="PJ7" s="182" t="str">
        <f>IFERROR((((COUNTIF('Elève (4ème5)'!PG7:PI7,"A"))*4)+((COUNTIF('Elève (4ème5)'!PG7:PI7,"B"))*3)+((COUNTIF('Elève (4ème5)'!PG7:PI7,"C"))*2)+((COUNTIF('Elève (4ème5)'!PG7:PI7,"D"))*1))/(COUNTA(PG7:PI7)),"")</f>
        <v/>
      </c>
      <c r="PK7" s="183" t="str">
        <f t="shared" si="84"/>
        <v/>
      </c>
      <c r="PL7" s="123"/>
      <c r="PM7" s="124"/>
      <c r="PN7" s="125"/>
      <c r="PO7" s="125"/>
      <c r="PP7" s="182" t="str">
        <f>IFERROR((((COUNTIF('Elève (4ème5)'!PL7:PO7,"A"))*4)+((COUNTIF('Elève (4ème5)'!PL7:PO7,"B"))*3)+((COUNTIF('Elève (4ème5)'!PL7:PO7,"C"))*2)+((COUNTIF('Elève (4ème5)'!PL7:PO7,"D"))*1))/(COUNTA(PL7:PO7)),"")</f>
        <v/>
      </c>
      <c r="PQ7" s="183" t="str">
        <f t="shared" si="85"/>
        <v/>
      </c>
      <c r="PR7" s="123"/>
      <c r="PS7" s="124"/>
      <c r="PT7" s="125"/>
      <c r="PU7" s="125"/>
      <c r="PV7" s="125"/>
      <c r="PW7" s="182" t="str">
        <f>IFERROR((((COUNTIF('Elève (4ème5)'!PR7:PV7,"A"))*4)+((COUNTIF('Elève (4ème5)'!PR7:PV7,"B"))*3)+((COUNTIF('Elève (4ème5)'!PR7:PV7,"C"))*2)+((COUNTIF('Elève (4ème5)'!PR7:PV7,"D"))*1))/(COUNTA(PR7:PV7)),"")</f>
        <v/>
      </c>
      <c r="PX7" s="183" t="str">
        <f t="shared" si="86"/>
        <v/>
      </c>
      <c r="PY7" s="182" t="str">
        <f>IF(COUNT(PJ7,PP7,PW7)=0,"",SUM(PJ7,PP7,PW7)/COUNT(PJ7,PP7,PW7))</f>
        <v/>
      </c>
      <c r="PZ7" s="206" t="str">
        <f t="shared" si="87"/>
        <v/>
      </c>
      <c r="QA7" s="123"/>
      <c r="QB7" s="124"/>
      <c r="QC7" s="125"/>
      <c r="QD7" s="182" t="str">
        <f>IFERROR((((COUNTIF('Elève (4ème5)'!QA7:QC7,"A"))*4)+((COUNTIF('Elève (4ème5)'!QA7:QC7,"B"))*3)+((COUNTIF('Elève (4ème5)'!QA7:QC7,"C"))*2)+((COUNTIF('Elève (4ème5)'!QA7:QC7,"D"))*1))/(COUNTA(QA7:QC7)),"")</f>
        <v/>
      </c>
      <c r="QE7" s="183" t="str">
        <f t="shared" si="88"/>
        <v/>
      </c>
      <c r="QF7" s="123"/>
      <c r="QG7" s="124"/>
      <c r="QH7" s="125"/>
      <c r="QI7" s="125"/>
      <c r="QJ7" s="182" t="str">
        <f>IFERROR((((COUNTIF('Elève (4ème5)'!QF7:QI7,"A"))*4)+((COUNTIF('Elève (4ème5)'!QF7:QI7,"B"))*3)+((COUNTIF('Elève (4ème5)'!QF7:QI7,"C"))*2)+((COUNTIF('Elève (4ème5)'!QF7:QI7,"D"))*1))/(COUNTA(QF7:QI7)),"")</f>
        <v/>
      </c>
      <c r="QK7" s="183" t="str">
        <f t="shared" si="89"/>
        <v/>
      </c>
      <c r="QL7" s="123"/>
      <c r="QM7" s="124"/>
      <c r="QN7" s="125"/>
      <c r="QO7" s="125"/>
      <c r="QP7" s="125"/>
      <c r="QQ7" s="182" t="str">
        <f>IFERROR((((COUNTIF('Elève (4ème5)'!QL7:QP7,"A"))*4)+((COUNTIF('Elève (4ème5)'!QL7:QP7,"B"))*3)+((COUNTIF('Elève (4ème5)'!QL7:QP7,"C"))*2)+((COUNTIF('Elève (4ème5)'!QL7:QP7,"D"))*1))/(COUNTA(QL7:QP7)),"")</f>
        <v/>
      </c>
      <c r="QR7" s="183" t="str">
        <f t="shared" si="90"/>
        <v/>
      </c>
      <c r="QS7" s="182" t="str">
        <f>IF(COUNT(QD7,QJ7,QQ7)=0,"",SUM(QD7,QJ7,QQ7)/COUNT(QD7,QJ7,QQ7))</f>
        <v/>
      </c>
      <c r="QT7" s="206" t="str">
        <f t="shared" si="91"/>
        <v/>
      </c>
      <c r="QU7" s="123"/>
      <c r="QV7" s="124"/>
      <c r="QW7" s="125"/>
      <c r="QX7" s="182" t="str">
        <f>IFERROR((((COUNTIF('Elève (4ème5)'!QU7:QW7,"A"))*4)+((COUNTIF('Elève (4ème5)'!QU7:QW7,"B"))*3)+((COUNTIF('Elève (4ème5)'!QU7:QW7,"C"))*2)+((COUNTIF('Elève (4ème5)'!QU7:QW7,"D"))*1))/(COUNTA(QU7:QW7)),"")</f>
        <v/>
      </c>
      <c r="QY7" s="183" t="str">
        <f t="shared" si="92"/>
        <v/>
      </c>
      <c r="QZ7" s="123"/>
      <c r="RA7" s="124"/>
      <c r="RB7" s="125"/>
      <c r="RC7" s="125"/>
      <c r="RD7" s="182" t="str">
        <f>IFERROR((((COUNTIF('Elève (4ème5)'!QZ7:RC7,"A"))*4)+((COUNTIF('Elève (4ème5)'!QZ7:RC7,"B"))*3)+((COUNTIF('Elève (4ème5)'!QZ7:RC7,"C"))*2)+((COUNTIF('Elève (4ème5)'!QZ7:RC7,"D"))*1))/(COUNTA(QZ7:RC7)),"")</f>
        <v/>
      </c>
      <c r="RE7" s="183" t="str">
        <f t="shared" si="93"/>
        <v/>
      </c>
      <c r="RF7" s="123"/>
      <c r="RG7" s="124"/>
      <c r="RH7" s="125"/>
      <c r="RI7" s="125"/>
      <c r="RJ7" s="125"/>
      <c r="RK7" s="182" t="str">
        <f>IFERROR((((COUNTIF('Elève (4ème5)'!RF7:RJ7,"A"))*4)+((COUNTIF('Elève (4ème5)'!RF7:RJ7,"B"))*3)+((COUNTIF('Elève (4ème5)'!RF7:RJ7,"C"))*2)+((COUNTIF('Elève (4ème5)'!RF7:RJ7,"D"))*1))/(COUNTA(RF7:RJ7)),"")</f>
        <v/>
      </c>
      <c r="RL7" s="183" t="str">
        <f t="shared" si="94"/>
        <v/>
      </c>
      <c r="RM7" s="182" t="str">
        <f>IF(COUNT(QX7,RD7,RK7)=0,"",SUM(QX7,RD7,RK7)/COUNT(QX7,RD7,RK7))</f>
        <v/>
      </c>
      <c r="RN7" s="206" t="str">
        <f t="shared" si="95"/>
        <v/>
      </c>
      <c r="RO7" s="123"/>
      <c r="RP7" s="124"/>
      <c r="RQ7" s="125"/>
      <c r="RR7" s="182" t="str">
        <f>IFERROR((((COUNTIF('Elève (4ème5)'!RO7:RQ7,"A"))*4)+((COUNTIF('Elève (4ème5)'!RO7:RQ7,"B"))*3)+((COUNTIF('Elève (4ème5)'!RO7:RQ7,"C"))*2)+((COUNTIF('Elève (4ème5)'!RO7:RQ7,"D"))*1))/(COUNTA(RO7:RQ7)),"")</f>
        <v/>
      </c>
      <c r="RS7" s="183" t="str">
        <f t="shared" si="96"/>
        <v/>
      </c>
      <c r="RT7" s="123"/>
      <c r="RU7" s="124"/>
      <c r="RV7" s="125"/>
      <c r="RW7" s="125"/>
      <c r="RX7" s="182" t="str">
        <f>IFERROR((((COUNTIF('Elève (4ème5)'!RT7:RW7,"A"))*4)+((COUNTIF('Elève (4ème5)'!RT7:RW7,"B"))*3)+((COUNTIF('Elève (4ème5)'!RT7:RW7,"C"))*2)+((COUNTIF('Elève (4ème5)'!RT7:RW7,"D"))*1))/(COUNTA(RT7:RW7)),"")</f>
        <v/>
      </c>
      <c r="RY7" s="183" t="str">
        <f t="shared" si="97"/>
        <v/>
      </c>
      <c r="RZ7" s="123"/>
      <c r="SA7" s="124"/>
      <c r="SB7" s="125"/>
      <c r="SC7" s="125"/>
      <c r="SD7" s="125"/>
      <c r="SE7" s="182" t="str">
        <f>IFERROR((((COUNTIF('Elève (4ème5)'!RZ7:SD7,"A"))*4)+((COUNTIF('Elève (4ème5)'!RZ7:SD7,"B"))*3)+((COUNTIF('Elève (4ème5)'!RZ7:SD7,"C"))*2)+((COUNTIF('Elève (4ème5)'!RZ7:SD7,"D"))*1))/(COUNTA(RZ7:SD7)),"")</f>
        <v/>
      </c>
      <c r="SF7" s="183" t="str">
        <f t="shared" si="98"/>
        <v/>
      </c>
      <c r="SG7" s="182" t="str">
        <f>IF(COUNT(RR7,RX7,SE7)=0,"",SUM(RR7,RX7,SE7)/COUNT(RR7,RX7,SE7))</f>
        <v/>
      </c>
      <c r="SH7" s="206" t="str">
        <f t="shared" si="99"/>
        <v/>
      </c>
      <c r="SI7" s="123"/>
      <c r="SJ7" s="124"/>
      <c r="SK7" s="125"/>
      <c r="SL7" s="182" t="str">
        <f>IFERROR((((COUNTIF('Elève (4ème5)'!SI7:SK7,"A"))*4)+((COUNTIF('Elève (4ème5)'!SI7:SK7,"B"))*3)+((COUNTIF('Elève (4ème5)'!SI7:SK7,"C"))*2)+((COUNTIF('Elève (4ème5)'!SI7:SK7,"D"))*1))/(COUNTA(SI7:SK7)),"")</f>
        <v/>
      </c>
      <c r="SM7" s="183" t="str">
        <f t="shared" si="100"/>
        <v/>
      </c>
      <c r="SN7" s="123"/>
      <c r="SO7" s="124"/>
      <c r="SP7" s="125"/>
      <c r="SQ7" s="125"/>
      <c r="SR7" s="182" t="str">
        <f>IFERROR((((COUNTIF('Elève (4ème5)'!SN7:SQ7,"A"))*4)+((COUNTIF('Elève (4ème5)'!SN7:SQ7,"B"))*3)+((COUNTIF('Elève (4ème5)'!SN7:SQ7,"C"))*2)+((COUNTIF('Elève (4ème5)'!SN7:SQ7,"D"))*1))/(COUNTA(SN7:SQ7)),"")</f>
        <v/>
      </c>
      <c r="SS7" s="183" t="str">
        <f t="shared" si="101"/>
        <v/>
      </c>
      <c r="ST7" s="123"/>
      <c r="SU7" s="124"/>
      <c r="SV7" s="125"/>
      <c r="SW7" s="125"/>
      <c r="SX7" s="125"/>
      <c r="SY7" s="182" t="str">
        <f>IFERROR((((COUNTIF('Elève (4ème5)'!ST7:SX7,"A"))*4)+((COUNTIF('Elève (4ème5)'!ST7:SX7,"B"))*3)+((COUNTIF('Elève (4ème5)'!ST7:SX7,"C"))*2)+((COUNTIF('Elève (4ème5)'!ST7:SX7,"D"))*1))/(COUNTA(ST7:SX7)),"")</f>
        <v/>
      </c>
      <c r="SZ7" s="183" t="str">
        <f t="shared" si="102"/>
        <v/>
      </c>
      <c r="TA7" s="182" t="str">
        <f>IF(COUNT(SL7,SR7,SY7)=0,"",SUM(SL7,SR7,SY7)/COUNT(SL7,SR7,SY7))</f>
        <v/>
      </c>
      <c r="TB7" s="206" t="str">
        <f t="shared" si="103"/>
        <v/>
      </c>
      <c r="TC7" s="123"/>
      <c r="TD7" s="124"/>
      <c r="TE7" s="125"/>
      <c r="TF7" s="182" t="str">
        <f>IFERROR((((COUNTIF('Elève (4ème5)'!TC7:TE7,"A"))*4)+((COUNTIF('Elève (4ème5)'!TC7:TE7,"B"))*3)+((COUNTIF('Elève (4ème5)'!TC7:TE7,"C"))*2)+((COUNTIF('Elève (4ème5)'!TC7:TE7,"D"))*1))/(COUNTA(TC7:TE7)),"")</f>
        <v/>
      </c>
      <c r="TG7" s="183" t="str">
        <f t="shared" si="104"/>
        <v/>
      </c>
      <c r="TH7" s="123"/>
      <c r="TI7" s="124"/>
      <c r="TJ7" s="125"/>
      <c r="TK7" s="125"/>
      <c r="TL7" s="182" t="str">
        <f>IFERROR((((COUNTIF('Elève (4ème5)'!TH7:TK7,"A"))*4)+((COUNTIF('Elève (4ème5)'!TH7:TK7,"B"))*3)+((COUNTIF('Elève (4ème5)'!TH7:TK7,"C"))*2)+((COUNTIF('Elève (4ème5)'!TH7:TK7,"D"))*1))/(COUNTA(TH7:TK7)),"")</f>
        <v/>
      </c>
      <c r="TM7" s="183" t="str">
        <f t="shared" si="105"/>
        <v/>
      </c>
      <c r="TN7" s="123"/>
      <c r="TO7" s="124"/>
      <c r="TP7" s="125"/>
      <c r="TQ7" s="125"/>
      <c r="TR7" s="125"/>
      <c r="TS7" s="182" t="str">
        <f>IFERROR((((COUNTIF('Elève (4ème5)'!TN7:TR7,"A"))*4)+((COUNTIF('Elève (4ème5)'!TN7:TR7,"B"))*3)+((COUNTIF('Elève (4ème5)'!TN7:TR7,"C"))*2)+((COUNTIF('Elève (4ème5)'!TN7:TR7,"D"))*1))/(COUNTA(TN7:TR7)),"")</f>
        <v/>
      </c>
      <c r="TT7" s="183" t="str">
        <f t="shared" si="106"/>
        <v/>
      </c>
      <c r="TU7" s="182" t="str">
        <f>IF(COUNT(TF7,TL7,TS7)=0,"",SUM(TF7,TL7,TS7)/COUNT(TF7,TL7,TS7))</f>
        <v/>
      </c>
      <c r="TV7" s="206" t="str">
        <f t="shared" si="107"/>
        <v/>
      </c>
      <c r="TW7" s="123"/>
      <c r="TX7" s="124"/>
      <c r="TY7" s="125"/>
      <c r="TZ7" s="182" t="str">
        <f>IFERROR((((COUNTIF('Elève (4ème5)'!TW7:TY7,"A"))*4)+((COUNTIF('Elève (4ème5)'!TW7:TY7,"B"))*3)+((COUNTIF('Elève (4ème5)'!TW7:TY7,"C"))*2)+((COUNTIF('Elève (4ème5)'!TW7:TY7,"D"))*1))/(COUNTA(TW7:TY7)),"")</f>
        <v/>
      </c>
      <c r="UA7" s="183" t="str">
        <f t="shared" si="108"/>
        <v/>
      </c>
      <c r="UB7" s="123"/>
      <c r="UC7" s="124"/>
      <c r="UD7" s="125"/>
      <c r="UE7" s="125"/>
      <c r="UF7" s="182" t="str">
        <f>IFERROR((((COUNTIF('Elève (4ème5)'!UB7:UE7,"A"))*4)+((COUNTIF('Elève (4ème5)'!UB7:UE7,"B"))*3)+((COUNTIF('Elève (4ème5)'!UB7:UE7,"C"))*2)+((COUNTIF('Elève (4ème5)'!UB7:UE7,"D"))*1))/(COUNTA(UB7:UE7)),"")</f>
        <v/>
      </c>
      <c r="UG7" s="183" t="str">
        <f t="shared" si="109"/>
        <v/>
      </c>
      <c r="UH7" s="123"/>
      <c r="UI7" s="124"/>
      <c r="UJ7" s="125"/>
      <c r="UK7" s="125"/>
      <c r="UL7" s="125"/>
      <c r="UM7" s="182" t="str">
        <f>IFERROR((((COUNTIF('Elève (4ème5)'!UH7:UL7,"A"))*4)+((COUNTIF('Elève (4ème5)'!UH7:UL7,"B"))*3)+((COUNTIF('Elève (4ème5)'!UH7:UL7,"C"))*2)+((COUNTIF('Elève (4ème5)'!UH7:UL7,"D"))*1))/(COUNTA(UH7:UL7)),"")</f>
        <v/>
      </c>
      <c r="UN7" s="183" t="str">
        <f t="shared" si="110"/>
        <v/>
      </c>
      <c r="UO7" s="182" t="str">
        <f>IF(COUNT(TZ7,UF7,UM7)=0,"",SUM(TZ7,UF7,UM7)/COUNT(TZ7,UF7,UM7))</f>
        <v/>
      </c>
      <c r="UP7" s="206" t="str">
        <f t="shared" si="111"/>
        <v/>
      </c>
      <c r="UQ7" s="123"/>
      <c r="UR7" s="124"/>
      <c r="US7" s="125"/>
      <c r="UT7" s="126" t="str">
        <f>IFERROR((((COUNTIF('Elève (4ème5)'!UQ7:US7,"A"))*4)+((COUNTIF('Elève (4ème5)'!UQ7:US7,"B"))*3)+((COUNTIF('Elève (4ème5)'!UQ7:US7,"C"))*2)+((COUNTIF('Elève (4ème5)'!UQ7:US7,"D"))*1))/(COUNTA(UQ7:US7)),"")</f>
        <v/>
      </c>
      <c r="UU7" s="127" t="str">
        <f t="shared" si="112"/>
        <v/>
      </c>
      <c r="UV7" s="123"/>
      <c r="UW7" s="124"/>
      <c r="UX7" s="125"/>
      <c r="UY7" s="126" t="str">
        <f>IFERROR((((COUNTIF('Elève (4ème5)'!UV7:UX7,"A"))*4)+((COUNTIF('Elève (4ème5)'!UV7:UX7,"B"))*3)+((COUNTIF('Elève (4ème5)'!UV7:UX7,"C"))*2)+((COUNTIF('Elève (4ème5)'!UV7:UX7,"D"))*1))/(COUNTA(UV7:UX7)),"")</f>
        <v/>
      </c>
      <c r="UZ7" s="127" t="str">
        <f t="shared" si="113"/>
        <v/>
      </c>
      <c r="VA7" s="123"/>
      <c r="VB7" s="124"/>
      <c r="VC7" s="129"/>
      <c r="VD7" s="126" t="str">
        <f>IFERROR((((COUNTIF('Elève (4ème5)'!VA7:VC7,"A"))*4)+((COUNTIF('Elève (4ème5)'!VA7:VC7,"B"))*3)+((COUNTIF('Elève (4ème5)'!VA7:VC7,"C"))*2)+((COUNTIF('Elève (4ème5)'!VA7:VC7,"D"))*1))/(COUNTA(VA7:VC7)),"")</f>
        <v/>
      </c>
      <c r="VE7" s="127" t="str">
        <f t="shared" si="114"/>
        <v/>
      </c>
      <c r="VF7" s="126" t="str">
        <f>IF(COUNT(UT7,UY7,VD7)=0,"",SUM(UT7,UY7,VD7)/COUNT(UT7,UY7,VD7))</f>
        <v/>
      </c>
      <c r="VG7" s="128" t="str">
        <f t="shared" si="115"/>
        <v/>
      </c>
      <c r="VH7" s="123"/>
      <c r="VI7" s="124"/>
      <c r="VJ7" s="125"/>
      <c r="VK7" s="126" t="str">
        <f>IFERROR((((COUNTIF('Elève (4ème5)'!VH7:VJ7,"A"))*4)+((COUNTIF('Elève (4ème5)'!VH7:VJ7,"B"))*3)+((COUNTIF('Elève (4ème5)'!VH7:VJ7,"C"))*2)+((COUNTIF('Elève (4ème5)'!VH7:VJ7,"D"))*1))/(COUNTA(VH7:VJ7)),"")</f>
        <v/>
      </c>
      <c r="VL7" s="127" t="str">
        <f t="shared" si="116"/>
        <v/>
      </c>
      <c r="VM7" s="123"/>
      <c r="VN7" s="124"/>
      <c r="VO7" s="125"/>
      <c r="VP7" s="126" t="str">
        <f>IFERROR((((COUNTIF('Elève (4ème5)'!VM7:VO7,"A"))*4)+((COUNTIF('Elève (4ème5)'!VM7:VO7,"B"))*3)+((COUNTIF('Elève (4ème5)'!VM7:VO7,"C"))*2)+((COUNTIF('Elève (4ème5)'!VM7:VO7,"D"))*1))/(COUNTA(VM7:VO7)),"")</f>
        <v/>
      </c>
      <c r="VQ7" s="127" t="str">
        <f t="shared" si="117"/>
        <v/>
      </c>
      <c r="VR7" s="123"/>
      <c r="VS7" s="124"/>
      <c r="VT7" s="129"/>
      <c r="VU7" s="126" t="str">
        <f>IFERROR((((COUNTIF('Elève (4ème5)'!VR7:VT7,"A"))*4)+((COUNTIF('Elève (4ème5)'!VR7:VT7,"B"))*3)+((COUNTIF('Elève (4ème5)'!VR7:VT7,"C"))*2)+((COUNTIF('Elève (4ème5)'!VR7:VT7,"D"))*1))/(COUNTA(VR7:VT7)),"")</f>
        <v/>
      </c>
      <c r="VV7" s="127" t="str">
        <f t="shared" si="118"/>
        <v/>
      </c>
      <c r="VW7" s="126" t="str">
        <f>IF(COUNT(VK7,VP7,VU7)=0,"",SUM(VK7,VP7,VU7)/COUNT(VK7,VP7,VU7))</f>
        <v/>
      </c>
      <c r="VX7" s="128" t="str">
        <f t="shared" si="119"/>
        <v/>
      </c>
    </row>
    <row r="8" spans="1:596" ht="18" customHeight="1" x14ac:dyDescent="0.55000000000000004">
      <c r="A8" s="248" t="s">
        <v>15</v>
      </c>
      <c r="B8" s="249"/>
      <c r="C8" s="123"/>
      <c r="D8" s="124"/>
      <c r="E8" s="125"/>
      <c r="F8" s="182" t="str">
        <f>IFERROR((((COUNTIF('Elève (4ème5)'!C8:E8,"A"))*4)+((COUNTIF('Elève (4ème5)'!C8:E8,"B"))*3)+((COUNTIF('Elève (4ème5)'!C8:E8,"C"))*2)+((COUNTIF('Elève (4ème5)'!C8:E8,"D"))*1))/(COUNTA(C8:E8)),"")</f>
        <v/>
      </c>
      <c r="G8" s="183" t="str">
        <f t="shared" si="0"/>
        <v/>
      </c>
      <c r="H8" s="123" t="s">
        <v>29</v>
      </c>
      <c r="I8" s="124" t="s">
        <v>30</v>
      </c>
      <c r="J8" s="125"/>
      <c r="K8" s="125"/>
      <c r="L8" s="182">
        <f>IFERROR((((COUNTIF('Elève (4ème5)'!H8:K8,"A"))*4)+((COUNTIF('Elève (4ème5)'!H8:K8,"B"))*3)+((COUNTIF('Elève (4ème5)'!H8:K8,"C"))*2)+((COUNTIF('Elève (4ème5)'!H8:K8,"D"))*1))/(COUNTA(H8:K8)),"")</f>
        <v>3.5</v>
      </c>
      <c r="M8" s="183" t="str">
        <f t="shared" si="1"/>
        <v>B</v>
      </c>
      <c r="N8" s="123" t="s">
        <v>31</v>
      </c>
      <c r="O8" s="124" t="s">
        <v>31</v>
      </c>
      <c r="P8" s="125"/>
      <c r="Q8" s="125"/>
      <c r="R8" s="125"/>
      <c r="S8" s="182">
        <f>IFERROR((((COUNTIF('Elève (4ème5)'!N8:R8,"A"))*4)+((COUNTIF('Elève (4ème5)'!N8:R8,"B"))*3)+((COUNTIF('Elève (4ème5)'!N8:R8,"C"))*2)+((COUNTIF('Elève (4ème5)'!N8:R8,"D"))*1))/(COUNTA(N8:R8)),"")</f>
        <v>2</v>
      </c>
      <c r="T8" s="183" t="str">
        <f t="shared" si="2"/>
        <v>C</v>
      </c>
      <c r="U8" s="182">
        <f>IF(COUNT(F8,L8,S8)=0,"",SUM(F8,L8,S8)/COUNT(F8,L8,S8))</f>
        <v>2.75</v>
      </c>
      <c r="V8" s="206" t="str">
        <f t="shared" si="3"/>
        <v>C</v>
      </c>
      <c r="W8" s="123"/>
      <c r="X8" s="124"/>
      <c r="Y8" s="125"/>
      <c r="Z8" s="182" t="str">
        <f>IFERROR((((COUNTIF('Elève (4ème5)'!W8:Y8,"A"))*4)+((COUNTIF('Elève (4ème5)'!W8:Y8,"B"))*3)+((COUNTIF('Elève (4ème5)'!W8:Y8,"C"))*2)+((COUNTIF('Elève (4ème5)'!W8:Y8,"D"))*1))/(COUNTA(W8:Y8)),"")</f>
        <v/>
      </c>
      <c r="AA8" s="183" t="str">
        <f t="shared" si="4"/>
        <v/>
      </c>
      <c r="AB8" s="123" t="s">
        <v>29</v>
      </c>
      <c r="AC8" s="124" t="s">
        <v>31</v>
      </c>
      <c r="AD8" s="125"/>
      <c r="AE8" s="125"/>
      <c r="AF8" s="182">
        <f>IFERROR((((COUNTIF('Elève (4ème5)'!AB8:AE8,"A"))*4)+((COUNTIF('Elève (4ème5)'!AB8:AE8,"B"))*3)+((COUNTIF('Elève (4ème5)'!AB8:AE8,"C"))*2)+((COUNTIF('Elève (4ème5)'!AB8:AE8,"D"))*1))/(COUNTA(AB8:AE8)),"")</f>
        <v>3</v>
      </c>
      <c r="AG8" s="183" t="str">
        <f t="shared" si="5"/>
        <v>B</v>
      </c>
      <c r="AH8" s="123" t="s">
        <v>29</v>
      </c>
      <c r="AI8" s="124" t="s">
        <v>30</v>
      </c>
      <c r="AJ8" s="125"/>
      <c r="AK8" s="125"/>
      <c r="AL8" s="125"/>
      <c r="AM8" s="182">
        <f>IFERROR((((COUNTIF('Elève (4ème5)'!AH8:AL8,"A"))*4)+((COUNTIF('Elève (4ème5)'!AH8:AL8,"B"))*3)+((COUNTIF('Elève (4ème5)'!AH8:AL8,"C"))*2)+((COUNTIF('Elève (4ème5)'!AH8:AL8,"D"))*1))/(COUNTA(AH8:AL8)),"")</f>
        <v>3.5</v>
      </c>
      <c r="AN8" s="183" t="str">
        <f t="shared" si="6"/>
        <v>B</v>
      </c>
      <c r="AO8" s="182">
        <f>IF(COUNT(Z8,AF8,AM8)=0,"",SUM(Z8,AF8,AM8)/COUNT(Z8,AF8,AM8))</f>
        <v>3.25</v>
      </c>
      <c r="AP8" s="206" t="str">
        <f t="shared" si="7"/>
        <v>B</v>
      </c>
      <c r="AQ8" s="123"/>
      <c r="AR8" s="124"/>
      <c r="AS8" s="125"/>
      <c r="AT8" s="182" t="str">
        <f>IFERROR((((COUNTIF('Elève (4ème5)'!AQ8:AS8,"A"))*4)+((COUNTIF('Elève (4ème5)'!AQ8:AS8,"B"))*3)+((COUNTIF('Elève (4ème5)'!AQ8:AS8,"C"))*2)+((COUNTIF('Elève (4ème5)'!AQ8:AS8,"D"))*1))/(COUNTA(AQ8:AS8)),"")</f>
        <v/>
      </c>
      <c r="AU8" s="183" t="str">
        <f t="shared" si="8"/>
        <v/>
      </c>
      <c r="AV8" s="123" t="s">
        <v>29</v>
      </c>
      <c r="AW8" s="124" t="s">
        <v>30</v>
      </c>
      <c r="AX8" s="125"/>
      <c r="AY8" s="125"/>
      <c r="AZ8" s="182">
        <f>IFERROR((((COUNTIF('Elève (4ème5)'!AV8:AY8,"A"))*4)+((COUNTIF('Elève (4ème5)'!AV8:AY8,"B"))*3)+((COUNTIF('Elève (4ème5)'!AV8:AY8,"C"))*2)+((COUNTIF('Elève (4ème5)'!AV8:AY8,"D"))*1))/(COUNTA(AV8:AY8)),"")</f>
        <v>3.5</v>
      </c>
      <c r="BA8" s="183" t="str">
        <f t="shared" si="9"/>
        <v>B</v>
      </c>
      <c r="BB8" s="123" t="s">
        <v>30</v>
      </c>
      <c r="BC8" s="124" t="s">
        <v>31</v>
      </c>
      <c r="BD8" s="125"/>
      <c r="BE8" s="125"/>
      <c r="BF8" s="125"/>
      <c r="BG8" s="182">
        <f>IFERROR((((COUNTIF('Elève (4ème5)'!BB8:BF8,"A"))*4)+((COUNTIF('Elève (4ème5)'!BB8:BF8,"B"))*3)+((COUNTIF('Elève (4ème5)'!BB8:BF8,"C"))*2)+((COUNTIF('Elève (4ème5)'!BB8:BF8,"D"))*1))/(COUNTA(BB8:BF8)),"")</f>
        <v>2.5</v>
      </c>
      <c r="BH8" s="183" t="str">
        <f t="shared" si="10"/>
        <v>C</v>
      </c>
      <c r="BI8" s="182">
        <f>IF(COUNT(AT8,AZ8,BG8)=0,"",SUM(AT8,AZ8,BG8)/COUNT(AT8,AZ8,BG8))</f>
        <v>3</v>
      </c>
      <c r="BJ8" s="206" t="str">
        <f t="shared" si="11"/>
        <v>B</v>
      </c>
      <c r="BK8" s="123"/>
      <c r="BL8" s="124"/>
      <c r="BM8" s="125"/>
      <c r="BN8" s="182" t="str">
        <f>IFERROR((((COUNTIF('Elève (4ème5)'!BK8:BM8,"A"))*4)+((COUNTIF('Elève (4ème5)'!BK8:BM8,"B"))*3)+((COUNTIF('Elève (4ème5)'!BK8:BM8,"C"))*2)+((COUNTIF('Elève (4ème5)'!BK8:BM8,"D"))*1))/(COUNTA(BK8:BM8)),"")</f>
        <v/>
      </c>
      <c r="BO8" s="183" t="str">
        <f t="shared" si="12"/>
        <v/>
      </c>
      <c r="BP8" s="123" t="s">
        <v>29</v>
      </c>
      <c r="BQ8" s="124" t="s">
        <v>30</v>
      </c>
      <c r="BR8" s="125"/>
      <c r="BS8" s="125"/>
      <c r="BT8" s="182">
        <f>IFERROR((((COUNTIF('Elève (4ème5)'!BP8:BS8,"A"))*4)+((COUNTIF('Elève (4ème5)'!BP8:BS8,"B"))*3)+((COUNTIF('Elève (4ème5)'!BP8:BS8,"C"))*2)+((COUNTIF('Elève (4ème5)'!BP8:BS8,"D"))*1))/(COUNTA(BP8:BS8)),"")</f>
        <v>3.5</v>
      </c>
      <c r="BU8" s="183" t="str">
        <f t="shared" si="13"/>
        <v>B</v>
      </c>
      <c r="BV8" s="123" t="s">
        <v>29</v>
      </c>
      <c r="BW8" s="124" t="s">
        <v>30</v>
      </c>
      <c r="BX8" s="125"/>
      <c r="BY8" s="125"/>
      <c r="BZ8" s="125"/>
      <c r="CA8" s="182">
        <f>IFERROR((((COUNTIF('Elève (4ème5)'!BV8:BZ8,"A"))*4)+((COUNTIF('Elève (4ème5)'!BV8:BZ8,"B"))*3)+((COUNTIF('Elève (4ème5)'!BV8:BZ8,"C"))*2)+((COUNTIF('Elève (4ème5)'!BV8:BZ8,"D"))*1))/(COUNTA(BV8:BZ8)),"")</f>
        <v>3.5</v>
      </c>
      <c r="CB8" s="183" t="str">
        <f t="shared" si="14"/>
        <v>B</v>
      </c>
      <c r="CC8" s="182">
        <f>IF(COUNT(BN8,BT8,CA8)=0,"",SUM(BN8,BT8,CA8)/COUNT(BN8,BT8,CA8))</f>
        <v>3.5</v>
      </c>
      <c r="CD8" s="206" t="str">
        <f t="shared" si="15"/>
        <v>B</v>
      </c>
      <c r="CE8" s="123"/>
      <c r="CF8" s="124"/>
      <c r="CG8" s="125"/>
      <c r="CH8" s="182" t="str">
        <f>IFERROR((((COUNTIF('Elève (4ème5)'!CE8:CG8,"A"))*4)+((COUNTIF('Elève (4ème5)'!CE8:CG8,"B"))*3)+((COUNTIF('Elève (4ème5)'!CE8:CG8,"C"))*2)+((COUNTIF('Elève (4ème5)'!CE8:CG8,"D"))*1))/(COUNTA(CE8:CG8)),"")</f>
        <v/>
      </c>
      <c r="CI8" s="183" t="str">
        <f t="shared" si="16"/>
        <v/>
      </c>
      <c r="CJ8" s="123" t="s">
        <v>29</v>
      </c>
      <c r="CK8" s="124" t="s">
        <v>31</v>
      </c>
      <c r="CL8" s="125"/>
      <c r="CM8" s="125"/>
      <c r="CN8" s="182">
        <f>IFERROR((((COUNTIF('Elève (4ème5)'!CJ8:CM8,"A"))*4)+((COUNTIF('Elève (4ème5)'!CJ8:CM8,"B"))*3)+((COUNTIF('Elève (4ème5)'!CJ8:CM8,"C"))*2)+((COUNTIF('Elève (4ème5)'!CJ8:CM8,"D"))*1))/(COUNTA(CJ8:CM8)),"")</f>
        <v>3</v>
      </c>
      <c r="CO8" s="183" t="str">
        <f t="shared" si="17"/>
        <v>B</v>
      </c>
      <c r="CP8" s="123" t="s">
        <v>29</v>
      </c>
      <c r="CQ8" s="124" t="s">
        <v>31</v>
      </c>
      <c r="CR8" s="125"/>
      <c r="CS8" s="125"/>
      <c r="CT8" s="125"/>
      <c r="CU8" s="182">
        <f>IFERROR((((COUNTIF('Elève (4ème5)'!CP8:CT8,"A"))*4)+((COUNTIF('Elève (4ème5)'!CP8:CT8,"B"))*3)+((COUNTIF('Elève (4ème5)'!CP8:CT8,"C"))*2)+((COUNTIF('Elève (4ème5)'!CP8:CT8,"D"))*1))/(COUNTA(CP8:CT8)),"")</f>
        <v>3</v>
      </c>
      <c r="CV8" s="183" t="str">
        <f t="shared" si="18"/>
        <v>B</v>
      </c>
      <c r="CW8" s="182">
        <f>IF(COUNT(CH8,CN8,CU8)=0,"",SUM(CH8,CN8,CU8)/COUNT(CH8,CN8,CU8))</f>
        <v>3</v>
      </c>
      <c r="CX8" s="206" t="str">
        <f t="shared" si="19"/>
        <v>B</v>
      </c>
      <c r="CY8" s="123"/>
      <c r="CZ8" s="124"/>
      <c r="DA8" s="125"/>
      <c r="DB8" s="182" t="str">
        <f>IFERROR((((COUNTIF('Elève (4ème5)'!CY8:DA8,"A"))*4)+((COUNTIF('Elève (4ème5)'!CY8:DA8,"B"))*3)+((COUNTIF('Elève (4ème5)'!CY8:DA8,"C"))*2)+((COUNTIF('Elève (4ème5)'!CY8:DA8,"D"))*1))/(COUNTA(CY8:DA8)),"")</f>
        <v/>
      </c>
      <c r="DC8" s="183" t="str">
        <f t="shared" si="20"/>
        <v/>
      </c>
      <c r="DD8" s="123" t="s">
        <v>29</v>
      </c>
      <c r="DE8" s="124" t="s">
        <v>30</v>
      </c>
      <c r="DF8" s="125"/>
      <c r="DG8" s="125"/>
      <c r="DH8" s="182">
        <f>IFERROR((((COUNTIF('Elève (4ème5)'!DD8:DG8,"A"))*4)+((COUNTIF('Elève (4ème5)'!DD8:DG8,"B"))*3)+((COUNTIF('Elève (4ème5)'!DD8:DG8,"C"))*2)+((COUNTIF('Elève (4ème5)'!DD8:DG8,"D"))*1))/(COUNTA(DD8:DG8)),"")</f>
        <v>3.5</v>
      </c>
      <c r="DI8" s="183" t="str">
        <f t="shared" si="21"/>
        <v>B</v>
      </c>
      <c r="DJ8" s="123" t="s">
        <v>31</v>
      </c>
      <c r="DK8" s="124" t="s">
        <v>31</v>
      </c>
      <c r="DL8" s="125"/>
      <c r="DM8" s="125"/>
      <c r="DN8" s="125"/>
      <c r="DO8" s="182">
        <f>IFERROR((((COUNTIF('Elève (4ème5)'!DJ8:DN8,"A"))*4)+((COUNTIF('Elève (4ème5)'!DJ8:DN8,"B"))*3)+((COUNTIF('Elève (4ème5)'!DJ8:DN8,"C"))*2)+((COUNTIF('Elève (4ème5)'!DJ8:DN8,"D"))*1))/(COUNTA(DJ8:DN8)),"")</f>
        <v>2</v>
      </c>
      <c r="DP8" s="183" t="str">
        <f t="shared" si="22"/>
        <v>C</v>
      </c>
      <c r="DQ8" s="182">
        <f>IF(COUNT(DB8,DH8,DO8)=0,"",SUM(DB8,DH8,DO8)/COUNT(DB8,DH8,DO8))</f>
        <v>2.75</v>
      </c>
      <c r="DR8" s="206" t="str">
        <f t="shared" si="23"/>
        <v>C</v>
      </c>
      <c r="DS8" s="123"/>
      <c r="DT8" s="124"/>
      <c r="DU8" s="125"/>
      <c r="DV8" s="182" t="str">
        <f>IFERROR((((COUNTIF('Elève (4ème5)'!DS8:DU8,"A"))*4)+((COUNTIF('Elève (4ème5)'!DS8:DU8,"B"))*3)+((COUNTIF('Elève (4ème5)'!DS8:DU8,"C"))*2)+((COUNTIF('Elève (4ème5)'!DS8:DU8,"D"))*1))/(COUNTA(DS8:DU8)),"")</f>
        <v/>
      </c>
      <c r="DW8" s="183" t="str">
        <f t="shared" si="24"/>
        <v/>
      </c>
      <c r="DX8" s="123" t="s">
        <v>30</v>
      </c>
      <c r="DY8" s="124" t="s">
        <v>31</v>
      </c>
      <c r="DZ8" s="125"/>
      <c r="EA8" s="125"/>
      <c r="EB8" s="182">
        <f>IFERROR((((COUNTIF('Elève (4ème5)'!DX8:EA8,"A"))*4)+((COUNTIF('Elève (4ème5)'!DX8:EA8,"B"))*3)+((COUNTIF('Elève (4ème5)'!DX8:EA8,"C"))*2)+((COUNTIF('Elève (4ème5)'!DX8:EA8,"D"))*1))/(COUNTA(DX8:EA8)),"")</f>
        <v>2.5</v>
      </c>
      <c r="EC8" s="183" t="str">
        <f t="shared" si="25"/>
        <v>C</v>
      </c>
      <c r="ED8" s="123" t="s">
        <v>32</v>
      </c>
      <c r="EE8" s="124" t="s">
        <v>30</v>
      </c>
      <c r="EF8" s="125"/>
      <c r="EG8" s="125"/>
      <c r="EH8" s="125"/>
      <c r="EI8" s="182">
        <f>IFERROR((((COUNTIF('Elève (4ème5)'!ED8:EH8,"A"))*4)+((COUNTIF('Elève (4ème5)'!ED8:EH8,"B"))*3)+((COUNTIF('Elève (4ème5)'!ED8:EH8,"C"))*2)+((COUNTIF('Elève (4ème5)'!ED8:EH8,"D"))*1))/(COUNTA(ED8:EH8)),"")</f>
        <v>2</v>
      </c>
      <c r="EJ8" s="183" t="str">
        <f t="shared" si="26"/>
        <v>C</v>
      </c>
      <c r="EK8" s="182">
        <f>IF(COUNT(DV8,EB8,EI8)=0,"",SUM(DV8,EB8,EI8)/COUNT(DV8,EB8,EI8))</f>
        <v>2.25</v>
      </c>
      <c r="EL8" s="206" t="str">
        <f t="shared" si="27"/>
        <v>C</v>
      </c>
      <c r="EM8" s="123"/>
      <c r="EN8" s="124"/>
      <c r="EO8" s="125"/>
      <c r="EP8" s="182" t="str">
        <f>IFERROR((((COUNTIF('Elève (4ème5)'!EM8:EO8,"A"))*4)+((COUNTIF('Elève (4ème5)'!EM8:EO8,"B"))*3)+((COUNTIF('Elève (4ème5)'!EM8:EO8,"C"))*2)+((COUNTIF('Elève (4ème5)'!EM8:EO8,"D"))*1))/(COUNTA(EM8:EO8)),"")</f>
        <v/>
      </c>
      <c r="EQ8" s="183" t="str">
        <f t="shared" si="28"/>
        <v/>
      </c>
      <c r="ER8" s="123" t="s">
        <v>29</v>
      </c>
      <c r="ES8" s="124"/>
      <c r="ET8" s="125"/>
      <c r="EU8" s="125"/>
      <c r="EV8" s="182">
        <f>IFERROR((((COUNTIF('Elève (4ème5)'!ER8:EU8,"A"))*4)+((COUNTIF('Elève (4ème5)'!ER8:EU8,"B"))*3)+((COUNTIF('Elève (4ème5)'!ER8:EU8,"C"))*2)+((COUNTIF('Elève (4ème5)'!ER8:EU8,"D"))*1))/(COUNTA(ER8:EU8)),"")</f>
        <v>4</v>
      </c>
      <c r="EW8" s="183" t="str">
        <f t="shared" si="29"/>
        <v>A</v>
      </c>
      <c r="EX8" s="123" t="s">
        <v>29</v>
      </c>
      <c r="EY8" s="124" t="s">
        <v>30</v>
      </c>
      <c r="EZ8" s="125"/>
      <c r="FA8" s="125"/>
      <c r="FB8" s="125"/>
      <c r="FC8" s="182">
        <f>IFERROR((((COUNTIF('Elève (4ème5)'!EX8:FB8,"A"))*4)+((COUNTIF('Elève (4ème5)'!EX8:FB8,"B"))*3)+((COUNTIF('Elève (4ème5)'!EX8:FB8,"C"))*2)+((COUNTIF('Elève (4ème5)'!EX8:FB8,"D"))*1))/(COUNTA(EX8:FB8)),"")</f>
        <v>3.5</v>
      </c>
      <c r="FD8" s="183" t="str">
        <f t="shared" si="30"/>
        <v>B</v>
      </c>
      <c r="FE8" s="182">
        <f>IF(COUNT(EP8,EV8,FC8)=0,"",SUM(EP8,EV8,FC8)/COUNT(EP8,EV8,FC8))</f>
        <v>3.75</v>
      </c>
      <c r="FF8" s="206" t="str">
        <f t="shared" si="31"/>
        <v>A</v>
      </c>
      <c r="FG8" s="123"/>
      <c r="FH8" s="124"/>
      <c r="FI8" s="125"/>
      <c r="FJ8" s="182" t="str">
        <f>IFERROR((((COUNTIF('Elève (4ème5)'!FG8:FI8,"A"))*4)+((COUNTIF('Elève (4ème5)'!FG8:FI8,"B"))*3)+((COUNTIF('Elève (4ème5)'!FG8:FI8,"C"))*2)+((COUNTIF('Elève (4ème5)'!FG8:FI8,"D"))*1))/(COUNTA(FG8:FI8)),"")</f>
        <v/>
      </c>
      <c r="FK8" s="183" t="str">
        <f t="shared" si="32"/>
        <v/>
      </c>
      <c r="FL8" s="123" t="s">
        <v>30</v>
      </c>
      <c r="FM8" s="124" t="s">
        <v>30</v>
      </c>
      <c r="FN8" s="125"/>
      <c r="FO8" s="125"/>
      <c r="FP8" s="182">
        <f>IFERROR((((COUNTIF('Elève (4ème5)'!FL8:FO8,"A"))*4)+((COUNTIF('Elève (4ème5)'!FL8:FO8,"B"))*3)+((COUNTIF('Elève (4ème5)'!FL8:FO8,"C"))*2)+((COUNTIF('Elève (4ème5)'!FL8:FO8,"D"))*1))/(COUNTA(FL8:FO8)),"")</f>
        <v>3</v>
      </c>
      <c r="FQ8" s="183" t="str">
        <f t="shared" si="33"/>
        <v>B</v>
      </c>
      <c r="FR8" s="123" t="s">
        <v>31</v>
      </c>
      <c r="FS8" s="124" t="s">
        <v>32</v>
      </c>
      <c r="FT8" s="125"/>
      <c r="FU8" s="125"/>
      <c r="FV8" s="125"/>
      <c r="FW8" s="182">
        <f>IFERROR((((COUNTIF('Elève (4ème5)'!FR8:FV8,"A"))*4)+((COUNTIF('Elève (4ème5)'!FR8:FV8,"B"))*3)+((COUNTIF('Elève (4ème5)'!FR8:FV8,"C"))*2)+((COUNTIF('Elève (4ème5)'!FR8:FV8,"D"))*1))/(COUNTA(FR8:FV8)),"")</f>
        <v>1.5</v>
      </c>
      <c r="FX8" s="183" t="str">
        <f t="shared" si="34"/>
        <v>D</v>
      </c>
      <c r="FY8" s="182">
        <f>IF(COUNT(FJ8,FP8,FW8)=0,"",SUM(FJ8,FP8,FW8)/COUNT(FJ8,FP8,FW8))</f>
        <v>2.25</v>
      </c>
      <c r="FZ8" s="206" t="str">
        <f t="shared" si="35"/>
        <v>C</v>
      </c>
      <c r="GA8" s="123"/>
      <c r="GB8" s="124"/>
      <c r="GC8" s="125"/>
      <c r="GD8" s="182" t="str">
        <f>IFERROR((((COUNTIF('Elève (4ème5)'!GA8:GC8,"A"))*4)+((COUNTIF('Elève (4ème5)'!GA8:GC8,"B"))*3)+((COUNTIF('Elève (4ème5)'!GA8:GC8,"C"))*2)+((COUNTIF('Elève (4ème5)'!GA8:GC8,"D"))*1))/(COUNTA(GA8:GC8)),"")</f>
        <v/>
      </c>
      <c r="GE8" s="183" t="str">
        <f t="shared" si="36"/>
        <v/>
      </c>
      <c r="GF8" s="123" t="s">
        <v>29</v>
      </c>
      <c r="GG8" s="124" t="s">
        <v>30</v>
      </c>
      <c r="GH8" s="125"/>
      <c r="GI8" s="125"/>
      <c r="GJ8" s="182">
        <f>IFERROR((((COUNTIF('Elève (4ème5)'!GF8:GI8,"A"))*4)+((COUNTIF('Elève (4ème5)'!GF8:GI8,"B"))*3)+((COUNTIF('Elève (4ème5)'!GF8:GI8,"C"))*2)+((COUNTIF('Elève (4ème5)'!GF8:GI8,"D"))*1))/(COUNTA(GF8:GI8)),"")</f>
        <v>3.5</v>
      </c>
      <c r="GK8" s="183" t="str">
        <f t="shared" si="37"/>
        <v>B</v>
      </c>
      <c r="GL8" s="123" t="s">
        <v>31</v>
      </c>
      <c r="GM8" s="124" t="s">
        <v>30</v>
      </c>
      <c r="GN8" s="125"/>
      <c r="GO8" s="125"/>
      <c r="GP8" s="125"/>
      <c r="GQ8" s="182">
        <f>IFERROR((((COUNTIF('Elève (4ème5)'!GL8:GP8,"A"))*4)+((COUNTIF('Elève (4ème5)'!GL8:GP8,"B"))*3)+((COUNTIF('Elève (4ème5)'!GL8:GP8,"C"))*2)+((COUNTIF('Elève (4ème5)'!GL8:GP8,"D"))*1))/(COUNTA(GL8:GP8)),"")</f>
        <v>2.5</v>
      </c>
      <c r="GR8" s="183" t="str">
        <f t="shared" si="38"/>
        <v>C</v>
      </c>
      <c r="GS8" s="182">
        <f>IF(COUNT(GD8,GJ8,GQ8)=0,"",SUM(GD8,GJ8,GQ8)/COUNT(GD8,GJ8,GQ8))</f>
        <v>3</v>
      </c>
      <c r="GT8" s="206" t="str">
        <f t="shared" si="39"/>
        <v>B</v>
      </c>
      <c r="GU8" s="123"/>
      <c r="GV8" s="124"/>
      <c r="GW8" s="125"/>
      <c r="GX8" s="182" t="str">
        <f>IFERROR((((COUNTIF('Elève (4ème5)'!GU8:GW8,"A"))*4)+((COUNTIF('Elève (4ème5)'!GU8:GW8,"B"))*3)+((COUNTIF('Elève (4ème5)'!GU8:GW8,"C"))*2)+((COUNTIF('Elève (4ème5)'!GU8:GW8,"D"))*1))/(COUNTA(GU8:GW8)),"")</f>
        <v/>
      </c>
      <c r="GY8" s="183" t="str">
        <f t="shared" si="40"/>
        <v/>
      </c>
      <c r="GZ8" s="123" t="s">
        <v>29</v>
      </c>
      <c r="HA8" s="124"/>
      <c r="HB8" s="125"/>
      <c r="HC8" s="125"/>
      <c r="HD8" s="182">
        <f>IFERROR((((COUNTIF('Elève (4ème5)'!GZ8:HC8,"A"))*4)+((COUNTIF('Elève (4ème5)'!GZ8:HC8,"B"))*3)+((COUNTIF('Elève (4ème5)'!GZ8:HC8,"C"))*2)+((COUNTIF('Elève (4ème5)'!GZ8:HC8,"D"))*1))/(COUNTA(GZ8:HC8)),"")</f>
        <v>4</v>
      </c>
      <c r="HE8" s="183" t="str">
        <f t="shared" si="41"/>
        <v>A</v>
      </c>
      <c r="HF8" s="123" t="s">
        <v>31</v>
      </c>
      <c r="HG8" s="124" t="s">
        <v>31</v>
      </c>
      <c r="HH8" s="125"/>
      <c r="HI8" s="125"/>
      <c r="HJ8" s="125"/>
      <c r="HK8" s="182">
        <f>IFERROR((((COUNTIF('Elève (4ème5)'!HF8:HJ8,"A"))*4)+((COUNTIF('Elève (4ème5)'!HF8:HJ8,"B"))*3)+((COUNTIF('Elève (4ème5)'!HF8:HJ8,"C"))*2)+((COUNTIF('Elève (4ème5)'!HF8:HJ8,"D"))*1))/(COUNTA(HF8:HJ8)),"")</f>
        <v>2</v>
      </c>
      <c r="HL8" s="183" t="str">
        <f t="shared" si="42"/>
        <v>C</v>
      </c>
      <c r="HM8" s="182">
        <f>IF(COUNT(GX8,HD8,HK8)=0,"",SUM(GX8,HD8,HK8)/COUNT(GX8,HD8,HK8))</f>
        <v>3</v>
      </c>
      <c r="HN8" s="206" t="str">
        <f t="shared" si="43"/>
        <v>B</v>
      </c>
      <c r="HO8" s="123"/>
      <c r="HP8" s="124"/>
      <c r="HQ8" s="125"/>
      <c r="HR8" s="182" t="str">
        <f>IFERROR((((COUNTIF('Elève (4ème5)'!HO8:HQ8,"A"))*4)+((COUNTIF('Elève (4ème5)'!HO8:HQ8,"B"))*3)+((COUNTIF('Elève (4ème5)'!HO8:HQ8,"C"))*2)+((COUNTIF('Elève (4ème5)'!HO8:HQ8,"D"))*1))/(COUNTA(HO8:HQ8)),"")</f>
        <v/>
      </c>
      <c r="HS8" s="183" t="str">
        <f t="shared" si="44"/>
        <v/>
      </c>
      <c r="HT8" s="123" t="s">
        <v>29</v>
      </c>
      <c r="HU8" s="124" t="s">
        <v>29</v>
      </c>
      <c r="HV8" s="125"/>
      <c r="HW8" s="125"/>
      <c r="HX8" s="182">
        <f>IFERROR((((COUNTIF('Elève (4ème5)'!HT8:HW8,"A"))*4)+((COUNTIF('Elève (4ème5)'!HT8:HW8,"B"))*3)+((COUNTIF('Elève (4ème5)'!HT8:HW8,"C"))*2)+((COUNTIF('Elève (4ème5)'!HT8:HW8,"D"))*1))/(COUNTA(HT8:HW8)),"")</f>
        <v>4</v>
      </c>
      <c r="HY8" s="183" t="str">
        <f t="shared" si="45"/>
        <v>A</v>
      </c>
      <c r="HZ8" s="123" t="s">
        <v>29</v>
      </c>
      <c r="IA8" s="124" t="s">
        <v>30</v>
      </c>
      <c r="IB8" s="125"/>
      <c r="IC8" s="125"/>
      <c r="ID8" s="125"/>
      <c r="IE8" s="182">
        <f>IFERROR((((COUNTIF('Elève (4ème5)'!HZ8:ID8,"A"))*4)+((COUNTIF('Elève (4ème5)'!HZ8:ID8,"B"))*3)+((COUNTIF('Elève (4ème5)'!HZ8:ID8,"C"))*2)+((COUNTIF('Elève (4ème5)'!HZ8:ID8,"D"))*1))/(COUNTA(HZ8:ID8)),"")</f>
        <v>3.5</v>
      </c>
      <c r="IF8" s="183" t="str">
        <f t="shared" si="46"/>
        <v>B</v>
      </c>
      <c r="IG8" s="182">
        <f>IF(COUNT(HR8,HX8,IE8)=0,"",SUM(HR8,HX8,IE8)/COUNT(HR8,HX8,IE8))</f>
        <v>3.75</v>
      </c>
      <c r="IH8" s="206" t="str">
        <f t="shared" si="47"/>
        <v>A</v>
      </c>
      <c r="II8" s="123"/>
      <c r="IJ8" s="124"/>
      <c r="IK8" s="125"/>
      <c r="IL8" s="182" t="str">
        <f>IFERROR((((COUNTIF('Elève (4ème5)'!II8:IK8,"A"))*4)+((COUNTIF('Elève (4ème5)'!II8:IK8,"B"))*3)+((COUNTIF('Elève (4ème5)'!II8:IK8,"C"))*2)+((COUNTIF('Elève (4ème5)'!II8:IK8,"D"))*1))/(COUNTA(II8:IK8)),"")</f>
        <v/>
      </c>
      <c r="IM8" s="183" t="str">
        <f t="shared" si="48"/>
        <v/>
      </c>
      <c r="IN8" s="123" t="s">
        <v>29</v>
      </c>
      <c r="IO8" s="124" t="s">
        <v>30</v>
      </c>
      <c r="IP8" s="125"/>
      <c r="IQ8" s="125"/>
      <c r="IR8" s="182">
        <f>IFERROR((((COUNTIF('Elève (4ème5)'!IN8:IQ8,"A"))*4)+((COUNTIF('Elève (4ème5)'!IN8:IQ8,"B"))*3)+((COUNTIF('Elève (4ème5)'!IN8:IQ8,"C"))*2)+((COUNTIF('Elève (4ème5)'!IN8:IQ8,"D"))*1))/(COUNTA(IN8:IQ8)),"")</f>
        <v>3.5</v>
      </c>
      <c r="IS8" s="183" t="str">
        <f t="shared" si="49"/>
        <v>B</v>
      </c>
      <c r="IT8" s="123" t="s">
        <v>31</v>
      </c>
      <c r="IU8" s="124" t="s">
        <v>32</v>
      </c>
      <c r="IV8" s="125"/>
      <c r="IW8" s="125"/>
      <c r="IX8" s="125"/>
      <c r="IY8" s="182">
        <f>IFERROR((((COUNTIF('Elève (4ème5)'!IT8:IX8,"A"))*4)+((COUNTIF('Elève (4ème5)'!IT8:IX8,"B"))*3)+((COUNTIF('Elève (4ème5)'!IT8:IX8,"C"))*2)+((COUNTIF('Elève (4ème5)'!IT8:IX8,"D"))*1))/(COUNTA(IT8:IX8)),"")</f>
        <v>1.5</v>
      </c>
      <c r="IZ8" s="183" t="str">
        <f t="shared" si="50"/>
        <v>D</v>
      </c>
      <c r="JA8" s="182">
        <f>IF(COUNT(IL8,IR8,IY8)=0,"",SUM(IL8,IR8,IY8)/COUNT(IL8,IR8,IY8))</f>
        <v>2.5</v>
      </c>
      <c r="JB8" s="206" t="str">
        <f t="shared" si="51"/>
        <v>C</v>
      </c>
      <c r="JC8" s="123"/>
      <c r="JD8" s="124"/>
      <c r="JE8" s="125"/>
      <c r="JF8" s="182" t="str">
        <f>IFERROR((((COUNTIF('Elève (4ème5)'!JC8:JE8,"A"))*4)+((COUNTIF('Elève (4ème5)'!JC8:JE8,"B"))*3)+((COUNTIF('Elève (4ème5)'!JC8:JE8,"C"))*2)+((COUNTIF('Elève (4ème5)'!JC8:JE8,"D"))*1))/(COUNTA(JC8:JE8)),"")</f>
        <v/>
      </c>
      <c r="JG8" s="183" t="str">
        <f t="shared" si="52"/>
        <v/>
      </c>
      <c r="JH8" s="123" t="s">
        <v>29</v>
      </c>
      <c r="JI8" s="124" t="s">
        <v>31</v>
      </c>
      <c r="JJ8" s="125"/>
      <c r="JK8" s="125"/>
      <c r="JL8" s="182">
        <f>IFERROR((((COUNTIF('Elève (4ème5)'!JH8:JK8,"A"))*4)+((COUNTIF('Elève (4ème5)'!JH8:JK8,"B"))*3)+((COUNTIF('Elève (4ème5)'!JH8:JK8,"C"))*2)+((COUNTIF('Elève (4ème5)'!JH8:JK8,"D"))*1))/(COUNTA(JH8:JK8)),"")</f>
        <v>3</v>
      </c>
      <c r="JM8" s="183" t="str">
        <f t="shared" si="53"/>
        <v>B</v>
      </c>
      <c r="JN8" s="123" t="s">
        <v>30</v>
      </c>
      <c r="JO8" s="124" t="s">
        <v>30</v>
      </c>
      <c r="JP8" s="125"/>
      <c r="JQ8" s="125"/>
      <c r="JR8" s="125"/>
      <c r="JS8" s="182">
        <f>IFERROR((((COUNTIF('Elève (4ème5)'!JN8:JR8,"A"))*4)+((COUNTIF('Elève (4ème5)'!JN8:JR8,"B"))*3)+((COUNTIF('Elève (4ème5)'!JN8:JR8,"C"))*2)+((COUNTIF('Elève (4ème5)'!JN8:JR8,"D"))*1))/(COUNTA(JN8:JR8)),"")</f>
        <v>3</v>
      </c>
      <c r="JT8" s="183" t="str">
        <f t="shared" si="54"/>
        <v>B</v>
      </c>
      <c r="JU8" s="182">
        <f>IF(COUNT(JF8,JL8,JS8)=0,"",SUM(JF8,JL8,JS8)/COUNT(JF8,JL8,JS8))</f>
        <v>3</v>
      </c>
      <c r="JV8" s="206" t="str">
        <f t="shared" si="55"/>
        <v>B</v>
      </c>
      <c r="JW8" s="123"/>
      <c r="JX8" s="124"/>
      <c r="JY8" s="125"/>
      <c r="JZ8" s="182" t="str">
        <f>IFERROR((((COUNTIF('Elève (4ème5)'!JW8:JY8,"A"))*4)+((COUNTIF('Elève (4ème5)'!JW8:JY8,"B"))*3)+((COUNTIF('Elève (4ème5)'!JW8:JY8,"C"))*2)+((COUNTIF('Elève (4ème5)'!JW8:JY8,"D"))*1))/(COUNTA(JW8:JY8)),"")</f>
        <v/>
      </c>
      <c r="KA8" s="183" t="str">
        <f t="shared" si="56"/>
        <v/>
      </c>
      <c r="KB8" s="123" t="s">
        <v>29</v>
      </c>
      <c r="KC8" s="124" t="s">
        <v>30</v>
      </c>
      <c r="KD8" s="125"/>
      <c r="KE8" s="125"/>
      <c r="KF8" s="182">
        <f>IFERROR((((COUNTIF('Elève (4ème5)'!KB8:KE8,"A"))*4)+((COUNTIF('Elève (4ème5)'!KB8:KE8,"B"))*3)+((COUNTIF('Elève (4ème5)'!KB8:KE8,"C"))*2)+((COUNTIF('Elève (4ème5)'!KB8:KE8,"D"))*1))/(COUNTA(KB8:KE8)),"")</f>
        <v>3.5</v>
      </c>
      <c r="KG8" s="183" t="str">
        <f t="shared" si="57"/>
        <v>B</v>
      </c>
      <c r="KH8" s="123" t="s">
        <v>30</v>
      </c>
      <c r="KI8" s="124" t="s">
        <v>31</v>
      </c>
      <c r="KJ8" s="125"/>
      <c r="KK8" s="125"/>
      <c r="KL8" s="125"/>
      <c r="KM8" s="182">
        <f>IFERROR((((COUNTIF('Elève (4ème5)'!KH8:KL8,"A"))*4)+((COUNTIF('Elève (4ème5)'!KH8:KL8,"B"))*3)+((COUNTIF('Elève (4ème5)'!KH8:KL8,"C"))*2)+((COUNTIF('Elève (4ème5)'!KH8:KL8,"D"))*1))/(COUNTA(KH8:KL8)),"")</f>
        <v>2.5</v>
      </c>
      <c r="KN8" s="183" t="str">
        <f t="shared" si="58"/>
        <v>C</v>
      </c>
      <c r="KO8" s="182">
        <f>IF(COUNT(JZ8,KF8,KM8)=0,"",SUM(JZ8,KF8,KM8)/COUNT(JZ8,KF8,KM8))</f>
        <v>3</v>
      </c>
      <c r="KP8" s="206" t="str">
        <f t="shared" si="59"/>
        <v>B</v>
      </c>
      <c r="KQ8" s="123"/>
      <c r="KR8" s="124"/>
      <c r="KS8" s="125"/>
      <c r="KT8" s="182" t="str">
        <f>IFERROR((((COUNTIF('Elève (4ème5)'!KQ8:KS8,"A"))*4)+((COUNTIF('Elève (4ème5)'!KQ8:KS8,"B"))*3)+((COUNTIF('Elève (4ème5)'!KQ8:KS8,"C"))*2)+((COUNTIF('Elève (4ème5)'!KQ8:KS8,"D"))*1))/(COUNTA(KQ8:KS8)),"")</f>
        <v/>
      </c>
      <c r="KU8" s="183" t="str">
        <f t="shared" si="60"/>
        <v/>
      </c>
      <c r="KV8" s="123" t="s">
        <v>29</v>
      </c>
      <c r="KW8" s="124" t="s">
        <v>29</v>
      </c>
      <c r="KX8" s="125"/>
      <c r="KY8" s="125"/>
      <c r="KZ8" s="182">
        <f>IFERROR((((COUNTIF('Elève (4ème5)'!KV8:KY8,"A"))*4)+((COUNTIF('Elève (4ème5)'!KV8:KY8,"B"))*3)+((COUNTIF('Elève (4ème5)'!KV8:KY8,"C"))*2)+((COUNTIF('Elève (4ème5)'!KV8:KY8,"D"))*1))/(COUNTA(KV8:KY8)),"")</f>
        <v>4</v>
      </c>
      <c r="LA8" s="183" t="str">
        <f t="shared" si="61"/>
        <v>A</v>
      </c>
      <c r="LB8" s="123" t="s">
        <v>31</v>
      </c>
      <c r="LC8" s="124" t="s">
        <v>32</v>
      </c>
      <c r="LD8" s="125"/>
      <c r="LE8" s="125"/>
      <c r="LF8" s="125"/>
      <c r="LG8" s="182">
        <f>IFERROR((((COUNTIF('Elève (4ème5)'!LB8:LF8,"A"))*4)+((COUNTIF('Elève (4ème5)'!LB8:LF8,"B"))*3)+((COUNTIF('Elève (4ème5)'!LB8:LF8,"C"))*2)+((COUNTIF('Elève (4ème5)'!LB8:LF8,"D"))*1))/(COUNTA(LB8:LF8)),"")</f>
        <v>1.5</v>
      </c>
      <c r="LH8" s="183" t="str">
        <f t="shared" si="62"/>
        <v>D</v>
      </c>
      <c r="LI8" s="182">
        <f>IF(COUNT(KT8,KZ8,LG8)=0,"",SUM(KT8,KZ8,LG8)/COUNT(KT8,KZ8,LG8))</f>
        <v>2.75</v>
      </c>
      <c r="LJ8" s="206" t="str">
        <f t="shared" si="63"/>
        <v>C</v>
      </c>
      <c r="LK8" s="123"/>
      <c r="LL8" s="124"/>
      <c r="LM8" s="125"/>
      <c r="LN8" s="182" t="str">
        <f>IFERROR((((COUNTIF('Elève (4ème5)'!LK8:LM8,"A"))*4)+((COUNTIF('Elève (4ème5)'!LK8:LM8,"B"))*3)+((COUNTIF('Elève (4ème5)'!LK8:LM8,"C"))*2)+((COUNTIF('Elève (4ème5)'!LK8:LM8,"D"))*1))/(COUNTA(LK8:LM8)),"")</f>
        <v/>
      </c>
      <c r="LO8" s="183" t="str">
        <f t="shared" si="64"/>
        <v/>
      </c>
      <c r="LP8" s="123"/>
      <c r="LQ8" s="124"/>
      <c r="LR8" s="125"/>
      <c r="LS8" s="125"/>
      <c r="LT8" s="182" t="str">
        <f>IFERROR((((COUNTIF('Elève (4ème5)'!LP8:LS8,"A"))*4)+((COUNTIF('Elève (4ème5)'!LP8:LS8,"B"))*3)+((COUNTIF('Elève (4ème5)'!LP8:LS8,"C"))*2)+((COUNTIF('Elève (4ème5)'!LP8:LS8,"D"))*1))/(COUNTA(LP8:LS8)),"")</f>
        <v/>
      </c>
      <c r="LU8" s="183" t="str">
        <f t="shared" si="65"/>
        <v/>
      </c>
      <c r="LV8" s="123"/>
      <c r="LW8" s="124"/>
      <c r="LX8" s="125"/>
      <c r="LY8" s="125"/>
      <c r="LZ8" s="125"/>
      <c r="MA8" s="182" t="str">
        <f>IFERROR((((COUNTIF('Elève (4ème5)'!LV8:LZ8,"A"))*4)+((COUNTIF('Elève (4ème5)'!LV8:LZ8,"B"))*3)+((COUNTIF('Elève (4ème5)'!LV8:LZ8,"C"))*2)+((COUNTIF('Elève (4ème5)'!LV8:LZ8,"D"))*1))/(COUNTA(LV8:LZ8)),"")</f>
        <v/>
      </c>
      <c r="MB8" s="183" t="str">
        <f t="shared" si="66"/>
        <v/>
      </c>
      <c r="MC8" s="182" t="str">
        <f>IF(COUNT(LN8,LT8,MA8)=0,"",SUM(LN8,LT8,MA8)/COUNT(LN8,LT8,MA8))</f>
        <v/>
      </c>
      <c r="MD8" s="206" t="str">
        <f t="shared" si="67"/>
        <v/>
      </c>
      <c r="ME8" s="123"/>
      <c r="MF8" s="124"/>
      <c r="MG8" s="125"/>
      <c r="MH8" s="182" t="str">
        <f>IFERROR((((COUNTIF('Elève (4ème5)'!ME8:MG8,"A"))*4)+((COUNTIF('Elève (4ème5)'!ME8:MG8,"B"))*3)+((COUNTIF('Elève (4ème5)'!ME8:MG8,"C"))*2)+((COUNTIF('Elève (4ème5)'!ME8:MG8,"D"))*1))/(COUNTA(ME8:MG8)),"")</f>
        <v/>
      </c>
      <c r="MI8" s="183" t="str">
        <f t="shared" si="68"/>
        <v/>
      </c>
      <c r="MJ8" s="123" t="s">
        <v>31</v>
      </c>
      <c r="MK8" s="124" t="s">
        <v>30</v>
      </c>
      <c r="ML8" s="125"/>
      <c r="MM8" s="125"/>
      <c r="MN8" s="182">
        <f>IFERROR((((COUNTIF('Elève (4ème5)'!MJ8:MM8,"A"))*4)+((COUNTIF('Elève (4ème5)'!MJ8:MM8,"B"))*3)+((COUNTIF('Elève (4ème5)'!MJ8:MM8,"C"))*2)+((COUNTIF('Elève (4ème5)'!MJ8:MM8,"D"))*1))/(COUNTA(MJ8:MM8)),"")</f>
        <v>2.5</v>
      </c>
      <c r="MO8" s="183" t="str">
        <f t="shared" si="69"/>
        <v>C</v>
      </c>
      <c r="MP8" s="123" t="s">
        <v>31</v>
      </c>
      <c r="MQ8" s="124" t="s">
        <v>30</v>
      </c>
      <c r="MR8" s="125"/>
      <c r="MS8" s="125"/>
      <c r="MT8" s="125"/>
      <c r="MU8" s="182">
        <f>IFERROR((((COUNTIF('Elève (4ème5)'!MP8:MT8,"A"))*4)+((COUNTIF('Elève (4ème5)'!MP8:MT8,"B"))*3)+((COUNTIF('Elève (4ème5)'!MP8:MT8,"C"))*2)+((COUNTIF('Elève (4ème5)'!MP8:MT8,"D"))*1))/(COUNTA(MP8:MT8)),"")</f>
        <v>2.5</v>
      </c>
      <c r="MV8" s="183" t="str">
        <f t="shared" si="70"/>
        <v>C</v>
      </c>
      <c r="MW8" s="182">
        <f>IF(COUNT(MH8,MN8,MU8)=0,"",SUM(MH8,MN8,MU8)/COUNT(MH8,MN8,MU8))</f>
        <v>2.5</v>
      </c>
      <c r="MX8" s="206" t="str">
        <f t="shared" si="71"/>
        <v>C</v>
      </c>
      <c r="MY8" s="123"/>
      <c r="MZ8" s="124"/>
      <c r="NA8" s="125"/>
      <c r="NB8" s="182" t="str">
        <f>IFERROR((((COUNTIF('Elève (4ème5)'!MY8:NA8,"A"))*4)+((COUNTIF('Elève (4ème5)'!MY8:NA8,"B"))*3)+((COUNTIF('Elève (4ème5)'!MY8:NA8,"C"))*2)+((COUNTIF('Elève (4ème5)'!MY8:NA8,"D"))*1))/(COUNTA(MY8:NA8)),"")</f>
        <v/>
      </c>
      <c r="NC8" s="183" t="str">
        <f t="shared" si="72"/>
        <v/>
      </c>
      <c r="ND8" s="123" t="s">
        <v>29</v>
      </c>
      <c r="NE8" s="124" t="s">
        <v>31</v>
      </c>
      <c r="NF8" s="125"/>
      <c r="NG8" s="125"/>
      <c r="NH8" s="182">
        <f>IFERROR((((COUNTIF('Elève (4ème5)'!ND8:NG8,"A"))*4)+((COUNTIF('Elève (4ème5)'!ND8:NG8,"B"))*3)+((COUNTIF('Elève (4ème5)'!ND8:NG8,"C"))*2)+((COUNTIF('Elève (4ème5)'!ND8:NG8,"D"))*1))/(COUNTA(ND8:NG8)),"")</f>
        <v>3</v>
      </c>
      <c r="NI8" s="183" t="str">
        <f t="shared" si="73"/>
        <v>B</v>
      </c>
      <c r="NJ8" s="123" t="s">
        <v>32</v>
      </c>
      <c r="NK8" s="124" t="s">
        <v>30</v>
      </c>
      <c r="NL8" s="125"/>
      <c r="NM8" s="125"/>
      <c r="NN8" s="125"/>
      <c r="NO8" s="182">
        <f>IFERROR((((COUNTIF('Elève (4ème5)'!NJ8:NN8,"A"))*4)+((COUNTIF('Elève (4ème5)'!NJ8:NN8,"B"))*3)+((COUNTIF('Elève (4ème5)'!NJ8:NN8,"C"))*2)+((COUNTIF('Elève (4ème5)'!NJ8:NN8,"D"))*1))/(COUNTA(NJ8:NN8)),"")</f>
        <v>2</v>
      </c>
      <c r="NP8" s="183" t="str">
        <f t="shared" si="74"/>
        <v>C</v>
      </c>
      <c r="NQ8" s="182">
        <f>IF(COUNT(NB8,NH8,NO8)=0,"",SUM(NB8,NH8,NO8)/COUNT(NB8,NH8,NO8))</f>
        <v>2.5</v>
      </c>
      <c r="NR8" s="206" t="str">
        <f t="shared" si="75"/>
        <v>C</v>
      </c>
      <c r="NS8" s="123"/>
      <c r="NT8" s="124"/>
      <c r="NU8" s="125"/>
      <c r="NV8" s="182" t="str">
        <f>IFERROR((((COUNTIF('Elève (4ème5)'!NS8:NU8,"A"))*4)+((COUNTIF('Elève (4ème5)'!NS8:NU8,"B"))*3)+((COUNTIF('Elève (4ème5)'!NS8:NU8,"C"))*2)+((COUNTIF('Elève (4ème5)'!NS8:NU8,"D"))*1))/(COUNTA(NS8:NU8)),"")</f>
        <v/>
      </c>
      <c r="NW8" s="183" t="str">
        <f t="shared" si="76"/>
        <v/>
      </c>
      <c r="NX8" s="123" t="s">
        <v>32</v>
      </c>
      <c r="NY8" s="124" t="s">
        <v>30</v>
      </c>
      <c r="NZ8" s="125"/>
      <c r="OA8" s="125"/>
      <c r="OB8" s="182">
        <f>IFERROR((((COUNTIF('Elève (4ème5)'!NX8:OA8,"A"))*4)+((COUNTIF('Elève (4ème5)'!NX8:OA8,"B"))*3)+((COUNTIF('Elève (4ème5)'!NX8:OA8,"C"))*2)+((COUNTIF('Elève (4ème5)'!NX8:OA8,"D"))*1))/(COUNTA(NX8:OA8)),"")</f>
        <v>2</v>
      </c>
      <c r="OC8" s="183" t="str">
        <f t="shared" si="77"/>
        <v>C</v>
      </c>
      <c r="OD8" s="123" t="s">
        <v>31</v>
      </c>
      <c r="OE8" s="124" t="s">
        <v>31</v>
      </c>
      <c r="OF8" s="125"/>
      <c r="OG8" s="125"/>
      <c r="OH8" s="125"/>
      <c r="OI8" s="182">
        <f>IFERROR((((COUNTIF('Elève (4ème5)'!OD8:OH8,"A"))*4)+((COUNTIF('Elève (4ème5)'!OD8:OH8,"B"))*3)+((COUNTIF('Elève (4ème5)'!OD8:OH8,"C"))*2)+((COUNTIF('Elève (4ème5)'!OD8:OH8,"D"))*1))/(COUNTA(OD8:OH8)),"")</f>
        <v>2</v>
      </c>
      <c r="OJ8" s="183" t="str">
        <f t="shared" si="78"/>
        <v>C</v>
      </c>
      <c r="OK8" s="182">
        <f>IF(COUNT(NV8,OB8,OI8)=0,"",SUM(NV8,OB8,OI8)/COUNT(NV8,OB8,OI8))</f>
        <v>2</v>
      </c>
      <c r="OL8" s="206" t="str">
        <f t="shared" si="79"/>
        <v>C</v>
      </c>
      <c r="OM8" s="123"/>
      <c r="ON8" s="124"/>
      <c r="OO8" s="125"/>
      <c r="OP8" s="182" t="str">
        <f>IFERROR((((COUNTIF('Elève (4ème5)'!OM8:OO8,"A"))*4)+((COUNTIF('Elève (4ème5)'!OM8:OO8,"B"))*3)+((COUNTIF('Elève (4ème5)'!OM8:OO8,"C"))*2)+((COUNTIF('Elève (4ème5)'!OM8:OO8,"D"))*1))/(COUNTA(OM8:OO8)),"")</f>
        <v/>
      </c>
      <c r="OQ8" s="183" t="str">
        <f t="shared" si="80"/>
        <v/>
      </c>
      <c r="OR8" s="123" t="s">
        <v>29</v>
      </c>
      <c r="OS8" s="124" t="s">
        <v>30</v>
      </c>
      <c r="OT8" s="125"/>
      <c r="OU8" s="125"/>
      <c r="OV8" s="182">
        <f>IFERROR((((COUNTIF('Elève (4ème5)'!OR8:OU8,"A"))*4)+((COUNTIF('Elève (4ème5)'!OR8:OU8,"B"))*3)+((COUNTIF('Elève (4ème5)'!OR8:OU8,"C"))*2)+((COUNTIF('Elève (4ème5)'!OR8:OU8,"D"))*1))/(COUNTA(OR8:OU8)),"")</f>
        <v>3.5</v>
      </c>
      <c r="OW8" s="183" t="str">
        <f t="shared" si="81"/>
        <v>B</v>
      </c>
      <c r="OX8" s="123" t="s">
        <v>32</v>
      </c>
      <c r="OY8" s="124" t="s">
        <v>30</v>
      </c>
      <c r="OZ8" s="125"/>
      <c r="PA8" s="125"/>
      <c r="PB8" s="125"/>
      <c r="PC8" s="182">
        <f>IFERROR((((COUNTIF('Elève (4ème5)'!OX8:PB8,"A"))*4)+((COUNTIF('Elève (4ème5)'!OX8:PB8,"B"))*3)+((COUNTIF('Elève (4ème5)'!OX8:PB8,"C"))*2)+((COUNTIF('Elève (4ème5)'!OX8:PB8,"D"))*1))/(COUNTA(OX8:PB8)),"")</f>
        <v>2</v>
      </c>
      <c r="PD8" s="183" t="str">
        <f t="shared" si="82"/>
        <v>C</v>
      </c>
      <c r="PE8" s="182">
        <f>IF(COUNT(OP8,OV8,PC8)=0,"",SUM(OP8,OV8,PC8)/COUNT(OP8,OV8,PC8))</f>
        <v>2.75</v>
      </c>
      <c r="PF8" s="206" t="str">
        <f t="shared" si="83"/>
        <v>C</v>
      </c>
      <c r="PG8" s="123"/>
      <c r="PH8" s="124"/>
      <c r="PI8" s="125"/>
      <c r="PJ8" s="182" t="str">
        <f>IFERROR((((COUNTIF('Elève (4ème5)'!PG8:PI8,"A"))*4)+((COUNTIF('Elève (4ème5)'!PG8:PI8,"B"))*3)+((COUNTIF('Elève (4ème5)'!PG8:PI8,"C"))*2)+((COUNTIF('Elève (4ème5)'!PG8:PI8,"D"))*1))/(COUNTA(PG8:PI8)),"")</f>
        <v/>
      </c>
      <c r="PK8" s="183" t="str">
        <f t="shared" si="84"/>
        <v/>
      </c>
      <c r="PL8" s="123" t="s">
        <v>29</v>
      </c>
      <c r="PM8" s="124" t="s">
        <v>30</v>
      </c>
      <c r="PN8" s="125"/>
      <c r="PO8" s="125"/>
      <c r="PP8" s="182">
        <f>IFERROR((((COUNTIF('Elève (4ème5)'!PL8:PO8,"A"))*4)+((COUNTIF('Elève (4ème5)'!PL8:PO8,"B"))*3)+((COUNTIF('Elève (4ème5)'!PL8:PO8,"C"))*2)+((COUNTIF('Elève (4ème5)'!PL8:PO8,"D"))*1))/(COUNTA(PL8:PO8)),"")</f>
        <v>3.5</v>
      </c>
      <c r="PQ8" s="183" t="str">
        <f t="shared" si="85"/>
        <v>B</v>
      </c>
      <c r="PR8" s="123" t="s">
        <v>31</v>
      </c>
      <c r="PS8" s="124" t="s">
        <v>30</v>
      </c>
      <c r="PT8" s="125"/>
      <c r="PU8" s="125"/>
      <c r="PV8" s="125"/>
      <c r="PW8" s="182">
        <f>IFERROR((((COUNTIF('Elève (4ème5)'!PR8:PV8,"A"))*4)+((COUNTIF('Elève (4ème5)'!PR8:PV8,"B"))*3)+((COUNTIF('Elève (4ème5)'!PR8:PV8,"C"))*2)+((COUNTIF('Elève (4ème5)'!PR8:PV8,"D"))*1))/(COUNTA(PR8:PV8)),"")</f>
        <v>2.5</v>
      </c>
      <c r="PX8" s="183" t="str">
        <f t="shared" si="86"/>
        <v>C</v>
      </c>
      <c r="PY8" s="182">
        <f>IF(COUNT(PJ8,PP8,PW8)=0,"",SUM(PJ8,PP8,PW8)/COUNT(PJ8,PP8,PW8))</f>
        <v>3</v>
      </c>
      <c r="PZ8" s="206" t="str">
        <f t="shared" si="87"/>
        <v>B</v>
      </c>
      <c r="QA8" s="123"/>
      <c r="QB8" s="124"/>
      <c r="QC8" s="125"/>
      <c r="QD8" s="182" t="str">
        <f>IFERROR((((COUNTIF('Elève (4ème5)'!QA8:QC8,"A"))*4)+((COUNTIF('Elève (4ème5)'!QA8:QC8,"B"))*3)+((COUNTIF('Elève (4ème5)'!QA8:QC8,"C"))*2)+((COUNTIF('Elève (4ème5)'!QA8:QC8,"D"))*1))/(COUNTA(QA8:QC8)),"")</f>
        <v/>
      </c>
      <c r="QE8" s="183" t="str">
        <f t="shared" si="88"/>
        <v/>
      </c>
      <c r="QF8" s="123" t="s">
        <v>29</v>
      </c>
      <c r="QG8" s="124" t="s">
        <v>30</v>
      </c>
      <c r="QH8" s="125"/>
      <c r="QI8" s="125"/>
      <c r="QJ8" s="182">
        <f>IFERROR((((COUNTIF('Elève (4ème5)'!QF8:QI8,"A"))*4)+((COUNTIF('Elève (4ème5)'!QF8:QI8,"B"))*3)+((COUNTIF('Elève (4ème5)'!QF8:QI8,"C"))*2)+((COUNTIF('Elève (4ème5)'!QF8:QI8,"D"))*1))/(COUNTA(QF8:QI8)),"")</f>
        <v>3.5</v>
      </c>
      <c r="QK8" s="183" t="str">
        <f t="shared" si="89"/>
        <v>B</v>
      </c>
      <c r="QL8" s="123" t="s">
        <v>29</v>
      </c>
      <c r="QM8" s="124"/>
      <c r="QN8" s="125"/>
      <c r="QO8" s="125"/>
      <c r="QP8" s="125"/>
      <c r="QQ8" s="182">
        <f>IFERROR((((COUNTIF('Elève (4ème5)'!QL8:QP8,"A"))*4)+((COUNTIF('Elève (4ème5)'!QL8:QP8,"B"))*3)+((COUNTIF('Elève (4ème5)'!QL8:QP8,"C"))*2)+((COUNTIF('Elève (4ème5)'!QL8:QP8,"D"))*1))/(COUNTA(QL8:QP8)),"")</f>
        <v>4</v>
      </c>
      <c r="QR8" s="183" t="str">
        <f t="shared" si="90"/>
        <v>A</v>
      </c>
      <c r="QS8" s="182">
        <f>IF(COUNT(QD8,QJ8,QQ8)=0,"",SUM(QD8,QJ8,QQ8)/COUNT(QD8,QJ8,QQ8))</f>
        <v>3.75</v>
      </c>
      <c r="QT8" s="206" t="str">
        <f t="shared" si="91"/>
        <v>A</v>
      </c>
      <c r="QU8" s="123"/>
      <c r="QV8" s="124"/>
      <c r="QW8" s="125"/>
      <c r="QX8" s="182" t="str">
        <f>IFERROR((((COUNTIF('Elève (4ème5)'!QU8:QW8,"A"))*4)+((COUNTIF('Elève (4ème5)'!QU8:QW8,"B"))*3)+((COUNTIF('Elève (4ème5)'!QU8:QW8,"C"))*2)+((COUNTIF('Elève (4ème5)'!QU8:QW8,"D"))*1))/(COUNTA(QU8:QW8)),"")</f>
        <v/>
      </c>
      <c r="QY8" s="183" t="str">
        <f t="shared" si="92"/>
        <v/>
      </c>
      <c r="QZ8" s="123" t="s">
        <v>29</v>
      </c>
      <c r="RA8" s="124" t="s">
        <v>29</v>
      </c>
      <c r="RB8" s="125"/>
      <c r="RC8" s="125"/>
      <c r="RD8" s="182">
        <f>IFERROR((((COUNTIF('Elève (4ème5)'!QZ8:RC8,"A"))*4)+((COUNTIF('Elève (4ème5)'!QZ8:RC8,"B"))*3)+((COUNTIF('Elève (4ème5)'!QZ8:RC8,"C"))*2)+((COUNTIF('Elève (4ème5)'!QZ8:RC8,"D"))*1))/(COUNTA(QZ8:RC8)),"")</f>
        <v>4</v>
      </c>
      <c r="RE8" s="183" t="str">
        <f t="shared" si="93"/>
        <v>A</v>
      </c>
      <c r="RF8" s="123" t="s">
        <v>31</v>
      </c>
      <c r="RG8" s="124" t="s">
        <v>32</v>
      </c>
      <c r="RH8" s="125"/>
      <c r="RI8" s="125"/>
      <c r="RJ8" s="125"/>
      <c r="RK8" s="182">
        <f>IFERROR((((COUNTIF('Elève (4ème5)'!RF8:RJ8,"A"))*4)+((COUNTIF('Elève (4ème5)'!RF8:RJ8,"B"))*3)+((COUNTIF('Elève (4ème5)'!RF8:RJ8,"C"))*2)+((COUNTIF('Elève (4ème5)'!RF8:RJ8,"D"))*1))/(COUNTA(RF8:RJ8)),"")</f>
        <v>1.5</v>
      </c>
      <c r="RL8" s="183" t="str">
        <f t="shared" si="94"/>
        <v>D</v>
      </c>
      <c r="RM8" s="182">
        <f>IF(COUNT(QX8,RD8,RK8)=0,"",SUM(QX8,RD8,RK8)/COUNT(QX8,RD8,RK8))</f>
        <v>2.75</v>
      </c>
      <c r="RN8" s="206" t="str">
        <f t="shared" si="95"/>
        <v>C</v>
      </c>
      <c r="RO8" s="123"/>
      <c r="RP8" s="124"/>
      <c r="RQ8" s="125"/>
      <c r="RR8" s="182" t="str">
        <f>IFERROR((((COUNTIF('Elève (4ème5)'!RO8:RQ8,"A"))*4)+((COUNTIF('Elève (4ème5)'!RO8:RQ8,"B"))*3)+((COUNTIF('Elève (4ème5)'!RO8:RQ8,"C"))*2)+((COUNTIF('Elève (4ème5)'!RO8:RQ8,"D"))*1))/(COUNTA(RO8:RQ8)),"")</f>
        <v/>
      </c>
      <c r="RS8" s="183" t="str">
        <f t="shared" si="96"/>
        <v/>
      </c>
      <c r="RT8" s="123" t="s">
        <v>29</v>
      </c>
      <c r="RU8" s="124" t="s">
        <v>31</v>
      </c>
      <c r="RV8" s="125"/>
      <c r="RW8" s="125"/>
      <c r="RX8" s="182">
        <f>IFERROR((((COUNTIF('Elève (4ème5)'!RT8:RW8,"A"))*4)+((COUNTIF('Elève (4ème5)'!RT8:RW8,"B"))*3)+((COUNTIF('Elève (4ème5)'!RT8:RW8,"C"))*2)+((COUNTIF('Elève (4ème5)'!RT8:RW8,"D"))*1))/(COUNTA(RT8:RW8)),"")</f>
        <v>3</v>
      </c>
      <c r="RY8" s="183" t="str">
        <f t="shared" si="97"/>
        <v>B</v>
      </c>
      <c r="RZ8" s="123" t="s">
        <v>29</v>
      </c>
      <c r="SA8" s="124" t="s">
        <v>30</v>
      </c>
      <c r="SB8" s="125"/>
      <c r="SC8" s="125"/>
      <c r="SD8" s="125"/>
      <c r="SE8" s="182">
        <f>IFERROR((((COUNTIF('Elève (4ème5)'!RZ8:SD8,"A"))*4)+((COUNTIF('Elève (4ème5)'!RZ8:SD8,"B"))*3)+((COUNTIF('Elève (4ème5)'!RZ8:SD8,"C"))*2)+((COUNTIF('Elève (4ème5)'!RZ8:SD8,"D"))*1))/(COUNTA(RZ8:SD8)),"")</f>
        <v>3.5</v>
      </c>
      <c r="SF8" s="183" t="str">
        <f t="shared" si="98"/>
        <v>B</v>
      </c>
      <c r="SG8" s="182">
        <f>IF(COUNT(RR8,RX8,SE8)=0,"",SUM(RR8,RX8,SE8)/COUNT(RR8,RX8,SE8))</f>
        <v>3.25</v>
      </c>
      <c r="SH8" s="206" t="str">
        <f t="shared" si="99"/>
        <v>B</v>
      </c>
      <c r="SI8" s="123"/>
      <c r="SJ8" s="124"/>
      <c r="SK8" s="125"/>
      <c r="SL8" s="182" t="str">
        <f>IFERROR((((COUNTIF('Elève (4ème5)'!SI8:SK8,"A"))*4)+((COUNTIF('Elève (4ème5)'!SI8:SK8,"B"))*3)+((COUNTIF('Elève (4ème5)'!SI8:SK8,"C"))*2)+((COUNTIF('Elève (4ème5)'!SI8:SK8,"D"))*1))/(COUNTA(SI8:SK8)),"")</f>
        <v/>
      </c>
      <c r="SM8" s="183" t="str">
        <f t="shared" si="100"/>
        <v/>
      </c>
      <c r="SN8" s="123" t="s">
        <v>29</v>
      </c>
      <c r="SO8" s="124" t="s">
        <v>31</v>
      </c>
      <c r="SP8" s="125"/>
      <c r="SQ8" s="125"/>
      <c r="SR8" s="182">
        <f>IFERROR((((COUNTIF('Elève (4ème5)'!SN8:SQ8,"A"))*4)+((COUNTIF('Elève (4ème5)'!SN8:SQ8,"B"))*3)+((COUNTIF('Elève (4ème5)'!SN8:SQ8,"C"))*2)+((COUNTIF('Elève (4ème5)'!SN8:SQ8,"D"))*1))/(COUNTA(SN8:SQ8)),"")</f>
        <v>3</v>
      </c>
      <c r="SS8" s="183" t="str">
        <f t="shared" si="101"/>
        <v>B</v>
      </c>
      <c r="ST8" s="123" t="s">
        <v>32</v>
      </c>
      <c r="SU8" s="124" t="s">
        <v>32</v>
      </c>
      <c r="SV8" s="125"/>
      <c r="SW8" s="125"/>
      <c r="SX8" s="125"/>
      <c r="SY8" s="182">
        <f>IFERROR((((COUNTIF('Elève (4ème5)'!ST8:SX8,"A"))*4)+((COUNTIF('Elève (4ème5)'!ST8:SX8,"B"))*3)+((COUNTIF('Elève (4ème5)'!ST8:SX8,"C"))*2)+((COUNTIF('Elève (4ème5)'!ST8:SX8,"D"))*1))/(COUNTA(ST8:SX8)),"")</f>
        <v>1</v>
      </c>
      <c r="SZ8" s="183" t="str">
        <f t="shared" si="102"/>
        <v>D</v>
      </c>
      <c r="TA8" s="182">
        <f>IF(COUNT(SL8,SR8,SY8)=0,"",SUM(SL8,SR8,SY8)/COUNT(SL8,SR8,SY8))</f>
        <v>2</v>
      </c>
      <c r="TB8" s="206" t="str">
        <f t="shared" si="103"/>
        <v>C</v>
      </c>
      <c r="TC8" s="123"/>
      <c r="TD8" s="124"/>
      <c r="TE8" s="125"/>
      <c r="TF8" s="182" t="str">
        <f>IFERROR((((COUNTIF('Elève (4ème5)'!TC8:TE8,"A"))*4)+((COUNTIF('Elève (4ème5)'!TC8:TE8,"B"))*3)+((COUNTIF('Elève (4ème5)'!TC8:TE8,"C"))*2)+((COUNTIF('Elève (4ème5)'!TC8:TE8,"D"))*1))/(COUNTA(TC8:TE8)),"")</f>
        <v/>
      </c>
      <c r="TG8" s="183" t="str">
        <f t="shared" si="104"/>
        <v/>
      </c>
      <c r="TH8" s="123" t="s">
        <v>30</v>
      </c>
      <c r="TI8" s="124"/>
      <c r="TJ8" s="125"/>
      <c r="TK8" s="125"/>
      <c r="TL8" s="182">
        <f>IFERROR((((COUNTIF('Elève (4ème5)'!TH8:TK8,"A"))*4)+((COUNTIF('Elève (4ème5)'!TH8:TK8,"B"))*3)+((COUNTIF('Elève (4ème5)'!TH8:TK8,"C"))*2)+((COUNTIF('Elève (4ème5)'!TH8:TK8,"D"))*1))/(COUNTA(TH8:TK8)),"")</f>
        <v>3</v>
      </c>
      <c r="TM8" s="183" t="str">
        <f t="shared" si="105"/>
        <v>B</v>
      </c>
      <c r="TN8" s="123" t="s">
        <v>31</v>
      </c>
      <c r="TO8" s="124" t="s">
        <v>31</v>
      </c>
      <c r="TP8" s="125"/>
      <c r="TQ8" s="125"/>
      <c r="TR8" s="125"/>
      <c r="TS8" s="182">
        <f>IFERROR((((COUNTIF('Elève (4ème5)'!TN8:TR8,"A"))*4)+((COUNTIF('Elève (4ème5)'!TN8:TR8,"B"))*3)+((COUNTIF('Elève (4ème5)'!TN8:TR8,"C"))*2)+((COUNTIF('Elève (4ème5)'!TN8:TR8,"D"))*1))/(COUNTA(TN8:TR8)),"")</f>
        <v>2</v>
      </c>
      <c r="TT8" s="183" t="str">
        <f t="shared" si="106"/>
        <v>C</v>
      </c>
      <c r="TU8" s="182">
        <f>IF(COUNT(TF8,TL8,TS8)=0,"",SUM(TF8,TL8,TS8)/COUNT(TF8,TL8,TS8))</f>
        <v>2.5</v>
      </c>
      <c r="TV8" s="206" t="str">
        <f t="shared" si="107"/>
        <v>C</v>
      </c>
      <c r="TW8" s="123"/>
      <c r="TX8" s="124"/>
      <c r="TY8" s="125"/>
      <c r="TZ8" s="182" t="str">
        <f>IFERROR((((COUNTIF('Elève (4ème5)'!TW8:TY8,"A"))*4)+((COUNTIF('Elève (4ème5)'!TW8:TY8,"B"))*3)+((COUNTIF('Elève (4ème5)'!TW8:TY8,"C"))*2)+((COUNTIF('Elève (4ème5)'!TW8:TY8,"D"))*1))/(COUNTA(TW8:TY8)),"")</f>
        <v/>
      </c>
      <c r="UA8" s="183" t="str">
        <f t="shared" si="108"/>
        <v/>
      </c>
      <c r="UB8" s="123" t="s">
        <v>29</v>
      </c>
      <c r="UC8" s="124" t="s">
        <v>31</v>
      </c>
      <c r="UD8" s="125"/>
      <c r="UE8" s="125"/>
      <c r="UF8" s="182">
        <f>IFERROR((((COUNTIF('Elève (4ème5)'!UB8:UE8,"A"))*4)+((COUNTIF('Elève (4ème5)'!UB8:UE8,"B"))*3)+((COUNTIF('Elève (4ème5)'!UB8:UE8,"C"))*2)+((COUNTIF('Elève (4ème5)'!UB8:UE8,"D"))*1))/(COUNTA(UB8:UE8)),"")</f>
        <v>3</v>
      </c>
      <c r="UG8" s="183" t="str">
        <f t="shared" si="109"/>
        <v>B</v>
      </c>
      <c r="UH8" s="123" t="s">
        <v>29</v>
      </c>
      <c r="UI8" s="124" t="s">
        <v>31</v>
      </c>
      <c r="UJ8" s="125"/>
      <c r="UK8" s="125"/>
      <c r="UL8" s="125"/>
      <c r="UM8" s="182">
        <f>IFERROR((((COUNTIF('Elève (4ème5)'!UH8:UL8,"A"))*4)+((COUNTIF('Elève (4ème5)'!UH8:UL8,"B"))*3)+((COUNTIF('Elève (4ème5)'!UH8:UL8,"C"))*2)+((COUNTIF('Elève (4ème5)'!UH8:UL8,"D"))*1))/(COUNTA(UH8:UL8)),"")</f>
        <v>3</v>
      </c>
      <c r="UN8" s="183" t="str">
        <f t="shared" si="110"/>
        <v>B</v>
      </c>
      <c r="UO8" s="182">
        <f>IF(COUNT(TZ8,UF8,UM8)=0,"",SUM(TZ8,UF8,UM8)/COUNT(TZ8,UF8,UM8))</f>
        <v>3</v>
      </c>
      <c r="UP8" s="206" t="str">
        <f t="shared" si="111"/>
        <v>B</v>
      </c>
      <c r="UQ8" s="123"/>
      <c r="UR8" s="124"/>
      <c r="US8" s="125"/>
      <c r="UT8" s="126" t="str">
        <f>IFERROR((((COUNTIF('Elève (4ème5)'!UQ8:US8,"A"))*4)+((COUNTIF('Elève (4ème5)'!UQ8:US8,"B"))*3)+((COUNTIF('Elève (4ème5)'!UQ8:US8,"C"))*2)+((COUNTIF('Elève (4ème5)'!UQ8:US8,"D"))*1))/(COUNTA(UQ8:US8)),"")</f>
        <v/>
      </c>
      <c r="UU8" s="127" t="str">
        <f t="shared" si="112"/>
        <v/>
      </c>
      <c r="UV8" s="123"/>
      <c r="UW8" s="124"/>
      <c r="UX8" s="125"/>
      <c r="UY8" s="126" t="str">
        <f>IFERROR((((COUNTIF('Elève (4ème5)'!UV8:UX8,"A"))*4)+((COUNTIF('Elève (4ème5)'!UV8:UX8,"B"))*3)+((COUNTIF('Elève (4ème5)'!UV8:UX8,"C"))*2)+((COUNTIF('Elève (4ème5)'!UV8:UX8,"D"))*1))/(COUNTA(UV8:UX8)),"")</f>
        <v/>
      </c>
      <c r="UZ8" s="127" t="str">
        <f t="shared" si="113"/>
        <v/>
      </c>
      <c r="VA8" s="123"/>
      <c r="VB8" s="124"/>
      <c r="VC8" s="129"/>
      <c r="VD8" s="126" t="str">
        <f>IFERROR((((COUNTIF('Elève (4ème5)'!VA8:VC8,"A"))*4)+((COUNTIF('Elève (4ème5)'!VA8:VC8,"B"))*3)+((COUNTIF('Elève (4ème5)'!VA8:VC8,"C"))*2)+((COUNTIF('Elève (4ème5)'!VA8:VC8,"D"))*1))/(COUNTA(VA8:VC8)),"")</f>
        <v/>
      </c>
      <c r="VE8" s="127" t="str">
        <f t="shared" si="114"/>
        <v/>
      </c>
      <c r="VF8" s="126" t="str">
        <f>IF(COUNT(UT8,UY8,VD8)=0,"",SUM(UT8,UY8,VD8)/COUNT(UT8,UY8,VD8))</f>
        <v/>
      </c>
      <c r="VG8" s="128" t="str">
        <f t="shared" si="115"/>
        <v/>
      </c>
      <c r="VH8" s="123"/>
      <c r="VI8" s="124"/>
      <c r="VJ8" s="125"/>
      <c r="VK8" s="126" t="str">
        <f>IFERROR((((COUNTIF('Elève (4ème5)'!VH8:VJ8,"A"))*4)+((COUNTIF('Elève (4ème5)'!VH8:VJ8,"B"))*3)+((COUNTIF('Elève (4ème5)'!VH8:VJ8,"C"))*2)+((COUNTIF('Elève (4ème5)'!VH8:VJ8,"D"))*1))/(COUNTA(VH8:VJ8)),"")</f>
        <v/>
      </c>
      <c r="VL8" s="127" t="str">
        <f t="shared" si="116"/>
        <v/>
      </c>
      <c r="VM8" s="123"/>
      <c r="VN8" s="124"/>
      <c r="VO8" s="125"/>
      <c r="VP8" s="126" t="str">
        <f>IFERROR((((COUNTIF('Elève (4ème5)'!VM8:VO8,"A"))*4)+((COUNTIF('Elève (4ème5)'!VM8:VO8,"B"))*3)+((COUNTIF('Elève (4ème5)'!VM8:VO8,"C"))*2)+((COUNTIF('Elève (4ème5)'!VM8:VO8,"D"))*1))/(COUNTA(VM8:VO8)),"")</f>
        <v/>
      </c>
      <c r="VQ8" s="127" t="str">
        <f t="shared" si="117"/>
        <v/>
      </c>
      <c r="VR8" s="123"/>
      <c r="VS8" s="124"/>
      <c r="VT8" s="129"/>
      <c r="VU8" s="126" t="str">
        <f>IFERROR((((COUNTIF('Elève (4ème5)'!VR8:VT8,"A"))*4)+((COUNTIF('Elève (4ème5)'!VR8:VT8,"B"))*3)+((COUNTIF('Elève (4ème5)'!VR8:VT8,"C"))*2)+((COUNTIF('Elève (4ème5)'!VR8:VT8,"D"))*1))/(COUNTA(VR8:VT8)),"")</f>
        <v/>
      </c>
      <c r="VV8" s="127" t="str">
        <f t="shared" si="118"/>
        <v/>
      </c>
      <c r="VW8" s="126" t="str">
        <f>IF(COUNT(VK8,VP8,VU8)=0,"",SUM(VK8,VP8,VU8)/COUNT(VK8,VP8,VU8))</f>
        <v/>
      </c>
      <c r="VX8" s="128" t="str">
        <f t="shared" si="119"/>
        <v/>
      </c>
    </row>
    <row r="9" spans="1:596" ht="18" customHeight="1" thickBot="1" x14ac:dyDescent="0.6">
      <c r="A9" s="250" t="s">
        <v>16</v>
      </c>
      <c r="B9" s="251"/>
      <c r="C9" s="130" t="s">
        <v>30</v>
      </c>
      <c r="D9" s="131"/>
      <c r="E9" s="132"/>
      <c r="F9" s="184">
        <f>IFERROR((((COUNTIF('Elève (4ème5)'!C9:E9,"A"))*4)+((COUNTIF('Elève (4ème5)'!C9:E9,"B"))*3)+((COUNTIF('Elève (4ème5)'!C9:E9,"C"))*2)+((COUNTIF('Elève (4ème5)'!C9:E9,"D"))*1))/(COUNTA(C9:E9)),"")</f>
        <v>3</v>
      </c>
      <c r="G9" s="185" t="str">
        <f t="shared" si="0"/>
        <v>B</v>
      </c>
      <c r="H9" s="130"/>
      <c r="I9" s="131" t="s">
        <v>31</v>
      </c>
      <c r="J9" s="132"/>
      <c r="K9" s="132"/>
      <c r="L9" s="184">
        <f>IFERROR((((COUNTIF('Elève (4ème5)'!H9:K9,"A"))*4)+((COUNTIF('Elève (4ème5)'!H9:K9,"B"))*3)+((COUNTIF('Elève (4ème5)'!H9:K9,"C"))*2)+((COUNTIF('Elève (4ème5)'!H9:K9,"D"))*1))/(COUNTA(H9:K9)),"")</f>
        <v>2</v>
      </c>
      <c r="M9" s="185" t="str">
        <f t="shared" si="1"/>
        <v>C</v>
      </c>
      <c r="N9" s="130" t="s">
        <v>30</v>
      </c>
      <c r="O9" s="131"/>
      <c r="P9" s="132" t="s">
        <v>30</v>
      </c>
      <c r="Q9" s="132"/>
      <c r="R9" s="132"/>
      <c r="S9" s="184">
        <f>IFERROR((((COUNTIF('Elève (4ème5)'!N9:R9,"A"))*4)+((COUNTIF('Elève (4ème5)'!N9:R9,"B"))*3)+((COUNTIF('Elève (4ème5)'!N9:R9,"C"))*2)+((COUNTIF('Elève (4ème5)'!N9:R9,"D"))*1))/(COUNTA(N9:R9)),"")</f>
        <v>3</v>
      </c>
      <c r="T9" s="185" t="str">
        <f t="shared" si="2"/>
        <v>B</v>
      </c>
      <c r="U9" s="184">
        <f>IF(COUNT(F9,L9,S9)=0,"",SUM(F9,L9,S9)/COUNT(F9,L9,S9))</f>
        <v>2.6666666666666665</v>
      </c>
      <c r="V9" s="207" t="str">
        <f t="shared" si="3"/>
        <v>C</v>
      </c>
      <c r="W9" s="130" t="s">
        <v>31</v>
      </c>
      <c r="X9" s="131"/>
      <c r="Y9" s="132"/>
      <c r="Z9" s="184">
        <f>IFERROR((((COUNTIF('Elève (4ème5)'!W9:Y9,"A"))*4)+((COUNTIF('Elève (4ème5)'!W9:Y9,"B"))*3)+((COUNTIF('Elève (4ème5)'!W9:Y9,"C"))*2)+((COUNTIF('Elève (4ème5)'!W9:Y9,"D"))*1))/(COUNTA(W9:Y9)),"")</f>
        <v>2</v>
      </c>
      <c r="AA9" s="185" t="str">
        <f t="shared" si="4"/>
        <v>C</v>
      </c>
      <c r="AB9" s="130"/>
      <c r="AC9" s="131" t="s">
        <v>31</v>
      </c>
      <c r="AD9" s="132"/>
      <c r="AE9" s="132"/>
      <c r="AF9" s="184">
        <f>IFERROR((((COUNTIF('Elève (4ème5)'!AB9:AE9,"A"))*4)+((COUNTIF('Elève (4ème5)'!AB9:AE9,"B"))*3)+((COUNTIF('Elève (4ème5)'!AB9:AE9,"C"))*2)+((COUNTIF('Elève (4ème5)'!AB9:AE9,"D"))*1))/(COUNTA(AB9:AE9)),"")</f>
        <v>2</v>
      </c>
      <c r="AG9" s="185" t="str">
        <f t="shared" si="5"/>
        <v>C</v>
      </c>
      <c r="AH9" s="130" t="s">
        <v>32</v>
      </c>
      <c r="AI9" s="131"/>
      <c r="AJ9" s="132" t="s">
        <v>30</v>
      </c>
      <c r="AK9" s="132"/>
      <c r="AL9" s="132"/>
      <c r="AM9" s="184">
        <f>IFERROR((((COUNTIF('Elève (4ème5)'!AH9:AL9,"A"))*4)+((COUNTIF('Elève (4ème5)'!AH9:AL9,"B"))*3)+((COUNTIF('Elève (4ème5)'!AH9:AL9,"C"))*2)+((COUNTIF('Elève (4ème5)'!AH9:AL9,"D"))*1))/(COUNTA(AH9:AL9)),"")</f>
        <v>2</v>
      </c>
      <c r="AN9" s="185" t="str">
        <f t="shared" si="6"/>
        <v>C</v>
      </c>
      <c r="AO9" s="184">
        <f>IF(COUNT(Z9,AF9,AM9)=0,"",SUM(Z9,AF9,AM9)/COUNT(Z9,AF9,AM9))</f>
        <v>2</v>
      </c>
      <c r="AP9" s="207" t="str">
        <f t="shared" si="7"/>
        <v>C</v>
      </c>
      <c r="AQ9" s="130" t="s">
        <v>30</v>
      </c>
      <c r="AR9" s="131"/>
      <c r="AS9" s="132"/>
      <c r="AT9" s="184">
        <f>IFERROR((((COUNTIF('Elève (4ème5)'!AQ9:AS9,"A"))*4)+((COUNTIF('Elève (4ème5)'!AQ9:AS9,"B"))*3)+((COUNTIF('Elève (4ème5)'!AQ9:AS9,"C"))*2)+((COUNTIF('Elève (4ème5)'!AQ9:AS9,"D"))*1))/(COUNTA(AQ9:AS9)),"")</f>
        <v>3</v>
      </c>
      <c r="AU9" s="185" t="str">
        <f t="shared" si="8"/>
        <v>B</v>
      </c>
      <c r="AV9" s="130"/>
      <c r="AW9" s="131" t="s">
        <v>31</v>
      </c>
      <c r="AX9" s="132"/>
      <c r="AY9" s="132"/>
      <c r="AZ9" s="184">
        <f>IFERROR((((COUNTIF('Elève (4ème5)'!AV9:AY9,"A"))*4)+((COUNTIF('Elève (4ème5)'!AV9:AY9,"B"))*3)+((COUNTIF('Elève (4ème5)'!AV9:AY9,"C"))*2)+((COUNTIF('Elève (4ème5)'!AV9:AY9,"D"))*1))/(COUNTA(AV9:AY9)),"")</f>
        <v>2</v>
      </c>
      <c r="BA9" s="185" t="str">
        <f t="shared" si="9"/>
        <v>C</v>
      </c>
      <c r="BB9" s="130" t="s">
        <v>31</v>
      </c>
      <c r="BC9" s="131"/>
      <c r="BD9" s="132" t="s">
        <v>31</v>
      </c>
      <c r="BE9" s="132"/>
      <c r="BF9" s="132"/>
      <c r="BG9" s="184">
        <f>IFERROR((((COUNTIF('Elève (4ème5)'!BB9:BF9,"A"))*4)+((COUNTIF('Elève (4ème5)'!BB9:BF9,"B"))*3)+((COUNTIF('Elève (4ème5)'!BB9:BF9,"C"))*2)+((COUNTIF('Elève (4ème5)'!BB9:BF9,"D"))*1))/(COUNTA(BB9:BF9)),"")</f>
        <v>2</v>
      </c>
      <c r="BH9" s="185" t="str">
        <f t="shared" si="10"/>
        <v>C</v>
      </c>
      <c r="BI9" s="184">
        <f>IF(COUNT(AT9,AZ9,BG9)=0,"",SUM(AT9,AZ9,BG9)/COUNT(AT9,AZ9,BG9))</f>
        <v>2.3333333333333335</v>
      </c>
      <c r="BJ9" s="207" t="str">
        <f t="shared" si="11"/>
        <v>C</v>
      </c>
      <c r="BK9" s="130" t="s">
        <v>30</v>
      </c>
      <c r="BL9" s="131"/>
      <c r="BM9" s="132"/>
      <c r="BN9" s="184">
        <f>IFERROR((((COUNTIF('Elève (4ème5)'!BK9:BM9,"A"))*4)+((COUNTIF('Elève (4ème5)'!BK9:BM9,"B"))*3)+((COUNTIF('Elève (4ème5)'!BK9:BM9,"C"))*2)+((COUNTIF('Elève (4ème5)'!BK9:BM9,"D"))*1))/(COUNTA(BK9:BM9)),"")</f>
        <v>3</v>
      </c>
      <c r="BO9" s="185" t="str">
        <f t="shared" si="12"/>
        <v>B</v>
      </c>
      <c r="BP9" s="130"/>
      <c r="BQ9" s="131" t="s">
        <v>30</v>
      </c>
      <c r="BR9" s="132"/>
      <c r="BS9" s="132"/>
      <c r="BT9" s="184">
        <f>IFERROR((((COUNTIF('Elève (4ème5)'!BP9:BS9,"A"))*4)+((COUNTIF('Elève (4ème5)'!BP9:BS9,"B"))*3)+((COUNTIF('Elève (4ème5)'!BP9:BS9,"C"))*2)+((COUNTIF('Elève (4ème5)'!BP9:BS9,"D"))*1))/(COUNTA(BP9:BS9)),"")</f>
        <v>3</v>
      </c>
      <c r="BU9" s="185" t="str">
        <f t="shared" si="13"/>
        <v>B</v>
      </c>
      <c r="BV9" s="130" t="s">
        <v>30</v>
      </c>
      <c r="BW9" s="131"/>
      <c r="BX9" s="132" t="s">
        <v>31</v>
      </c>
      <c r="BY9" s="132"/>
      <c r="BZ9" s="132"/>
      <c r="CA9" s="184">
        <f>IFERROR((((COUNTIF('Elève (4ème5)'!BV9:BZ9,"A"))*4)+((COUNTIF('Elève (4ème5)'!BV9:BZ9,"B"))*3)+((COUNTIF('Elève (4ème5)'!BV9:BZ9,"C"))*2)+((COUNTIF('Elève (4ème5)'!BV9:BZ9,"D"))*1))/(COUNTA(BV9:BZ9)),"")</f>
        <v>2.5</v>
      </c>
      <c r="CB9" s="185" t="str">
        <f t="shared" si="14"/>
        <v>C</v>
      </c>
      <c r="CC9" s="184">
        <f>IF(COUNT(BN9,BT9,CA9)=0,"",SUM(BN9,BT9,CA9)/COUNT(BN9,BT9,CA9))</f>
        <v>2.8333333333333335</v>
      </c>
      <c r="CD9" s="207" t="str">
        <f t="shared" si="15"/>
        <v>B</v>
      </c>
      <c r="CE9" s="130" t="s">
        <v>30</v>
      </c>
      <c r="CF9" s="131"/>
      <c r="CG9" s="132"/>
      <c r="CH9" s="184">
        <f>IFERROR((((COUNTIF('Elève (4ème5)'!CE9:CG9,"A"))*4)+((COUNTIF('Elève (4ème5)'!CE9:CG9,"B"))*3)+((COUNTIF('Elève (4ème5)'!CE9:CG9,"C"))*2)+((COUNTIF('Elève (4ème5)'!CE9:CG9,"D"))*1))/(COUNTA(CE9:CG9)),"")</f>
        <v>3</v>
      </c>
      <c r="CI9" s="185" t="str">
        <f t="shared" si="16"/>
        <v>B</v>
      </c>
      <c r="CJ9" s="130"/>
      <c r="CK9" s="131" t="s">
        <v>31</v>
      </c>
      <c r="CL9" s="132"/>
      <c r="CM9" s="132"/>
      <c r="CN9" s="184">
        <f>IFERROR((((COUNTIF('Elève (4ème5)'!CJ9:CM9,"A"))*4)+((COUNTIF('Elève (4ème5)'!CJ9:CM9,"B"))*3)+((COUNTIF('Elève (4ème5)'!CJ9:CM9,"C"))*2)+((COUNTIF('Elève (4ème5)'!CJ9:CM9,"D"))*1))/(COUNTA(CJ9:CM9)),"")</f>
        <v>2</v>
      </c>
      <c r="CO9" s="185" t="str">
        <f t="shared" si="17"/>
        <v>C</v>
      </c>
      <c r="CP9" s="130" t="s">
        <v>31</v>
      </c>
      <c r="CQ9" s="131"/>
      <c r="CR9" s="132" t="s">
        <v>31</v>
      </c>
      <c r="CS9" s="132"/>
      <c r="CT9" s="132"/>
      <c r="CU9" s="184">
        <f>IFERROR((((COUNTIF('Elève (4ème5)'!CP9:CT9,"A"))*4)+((COUNTIF('Elève (4ème5)'!CP9:CT9,"B"))*3)+((COUNTIF('Elève (4ème5)'!CP9:CT9,"C"))*2)+((COUNTIF('Elève (4ème5)'!CP9:CT9,"D"))*1))/(COUNTA(CP9:CT9)),"")</f>
        <v>2</v>
      </c>
      <c r="CV9" s="185" t="str">
        <f t="shared" si="18"/>
        <v>C</v>
      </c>
      <c r="CW9" s="184">
        <f>IF(COUNT(CH9,CN9,CU9)=0,"",SUM(CH9,CN9,CU9)/COUNT(CH9,CN9,CU9))</f>
        <v>2.3333333333333335</v>
      </c>
      <c r="CX9" s="207" t="str">
        <f t="shared" si="19"/>
        <v>C</v>
      </c>
      <c r="CY9" s="130" t="s">
        <v>32</v>
      </c>
      <c r="CZ9" s="131"/>
      <c r="DA9" s="132"/>
      <c r="DB9" s="184">
        <f>IFERROR((((COUNTIF('Elève (4ème5)'!CY9:DA9,"A"))*4)+((COUNTIF('Elève (4ème5)'!CY9:DA9,"B"))*3)+((COUNTIF('Elève (4ème5)'!CY9:DA9,"C"))*2)+((COUNTIF('Elève (4ème5)'!CY9:DA9,"D"))*1))/(COUNTA(CY9:DA9)),"")</f>
        <v>1</v>
      </c>
      <c r="DC9" s="185" t="str">
        <f t="shared" si="20"/>
        <v>D</v>
      </c>
      <c r="DD9" s="130"/>
      <c r="DE9" s="131" t="s">
        <v>31</v>
      </c>
      <c r="DF9" s="132"/>
      <c r="DG9" s="132"/>
      <c r="DH9" s="184">
        <f>IFERROR((((COUNTIF('Elève (4ème5)'!DD9:DG9,"A"))*4)+((COUNTIF('Elève (4ème5)'!DD9:DG9,"B"))*3)+((COUNTIF('Elève (4ème5)'!DD9:DG9,"C"))*2)+((COUNTIF('Elève (4ème5)'!DD9:DG9,"D"))*1))/(COUNTA(DD9:DG9)),"")</f>
        <v>2</v>
      </c>
      <c r="DI9" s="185" t="str">
        <f t="shared" si="21"/>
        <v>C</v>
      </c>
      <c r="DJ9" s="130" t="s">
        <v>30</v>
      </c>
      <c r="DK9" s="131"/>
      <c r="DL9" s="132" t="s">
        <v>31</v>
      </c>
      <c r="DM9" s="132"/>
      <c r="DN9" s="132"/>
      <c r="DO9" s="184">
        <f>IFERROR((((COUNTIF('Elève (4ème5)'!DJ9:DN9,"A"))*4)+((COUNTIF('Elève (4ème5)'!DJ9:DN9,"B"))*3)+((COUNTIF('Elève (4ème5)'!DJ9:DN9,"C"))*2)+((COUNTIF('Elève (4ème5)'!DJ9:DN9,"D"))*1))/(COUNTA(DJ9:DN9)),"")</f>
        <v>2.5</v>
      </c>
      <c r="DP9" s="185" t="str">
        <f t="shared" si="22"/>
        <v>C</v>
      </c>
      <c r="DQ9" s="184">
        <f>IF(COUNT(DB9,DH9,DO9)=0,"",SUM(DB9,DH9,DO9)/COUNT(DB9,DH9,DO9))</f>
        <v>1.8333333333333333</v>
      </c>
      <c r="DR9" s="207" t="str">
        <f t="shared" si="23"/>
        <v>C</v>
      </c>
      <c r="DS9" s="130" t="s">
        <v>32</v>
      </c>
      <c r="DT9" s="131"/>
      <c r="DU9" s="132"/>
      <c r="DV9" s="184">
        <f>IFERROR((((COUNTIF('Elève (4ème5)'!DS9:DU9,"A"))*4)+((COUNTIF('Elève (4ème5)'!DS9:DU9,"B"))*3)+((COUNTIF('Elève (4ème5)'!DS9:DU9,"C"))*2)+((COUNTIF('Elève (4ème5)'!DS9:DU9,"D"))*1))/(COUNTA(DS9:DU9)),"")</f>
        <v>1</v>
      </c>
      <c r="DW9" s="185" t="str">
        <f t="shared" si="24"/>
        <v>D</v>
      </c>
      <c r="DX9" s="130"/>
      <c r="DY9" s="131" t="s">
        <v>31</v>
      </c>
      <c r="DZ9" s="132"/>
      <c r="EA9" s="132"/>
      <c r="EB9" s="184">
        <f>IFERROR((((COUNTIF('Elève (4ème5)'!DX9:EA9,"A"))*4)+((COUNTIF('Elève (4ème5)'!DX9:EA9,"B"))*3)+((COUNTIF('Elève (4ème5)'!DX9:EA9,"C"))*2)+((COUNTIF('Elève (4ème5)'!DX9:EA9,"D"))*1))/(COUNTA(DX9:EA9)),"")</f>
        <v>2</v>
      </c>
      <c r="EC9" s="185" t="str">
        <f t="shared" si="25"/>
        <v>C</v>
      </c>
      <c r="ED9" s="130" t="s">
        <v>32</v>
      </c>
      <c r="EE9" s="131"/>
      <c r="EF9" s="132" t="s">
        <v>30</v>
      </c>
      <c r="EG9" s="132"/>
      <c r="EH9" s="132"/>
      <c r="EI9" s="184">
        <f>IFERROR((((COUNTIF('Elève (4ème5)'!ED9:EH9,"A"))*4)+((COUNTIF('Elève (4ème5)'!ED9:EH9,"B"))*3)+((COUNTIF('Elève (4ème5)'!ED9:EH9,"C"))*2)+((COUNTIF('Elève (4ème5)'!ED9:EH9,"D"))*1))/(COUNTA(ED9:EH9)),"")</f>
        <v>2</v>
      </c>
      <c r="EJ9" s="185" t="str">
        <f t="shared" si="26"/>
        <v>C</v>
      </c>
      <c r="EK9" s="184">
        <f>IF(COUNT(DV9,EB9,EI9)=0,"",SUM(DV9,EB9,EI9)/COUNT(DV9,EB9,EI9))</f>
        <v>1.6666666666666667</v>
      </c>
      <c r="EL9" s="207" t="str">
        <f t="shared" si="27"/>
        <v>C</v>
      </c>
      <c r="EM9" s="130" t="s">
        <v>30</v>
      </c>
      <c r="EN9" s="131"/>
      <c r="EO9" s="132"/>
      <c r="EP9" s="184">
        <f>IFERROR((((COUNTIF('Elève (4ème5)'!EM9:EO9,"A"))*4)+((COUNTIF('Elève (4ème5)'!EM9:EO9,"B"))*3)+((COUNTIF('Elève (4ème5)'!EM9:EO9,"C"))*2)+((COUNTIF('Elève (4ème5)'!EM9:EO9,"D"))*1))/(COUNTA(EM9:EO9)),"")</f>
        <v>3</v>
      </c>
      <c r="EQ9" s="185" t="str">
        <f t="shared" si="28"/>
        <v>B</v>
      </c>
      <c r="ER9" s="130"/>
      <c r="ES9" s="131"/>
      <c r="ET9" s="132"/>
      <c r="EU9" s="132"/>
      <c r="EV9" s="184" t="str">
        <f>IFERROR((((COUNTIF('Elève (4ème5)'!ER9:EU9,"A"))*4)+((COUNTIF('Elève (4ème5)'!ER9:EU9,"B"))*3)+((COUNTIF('Elève (4ème5)'!ER9:EU9,"C"))*2)+((COUNTIF('Elève (4ème5)'!ER9:EU9,"D"))*1))/(COUNTA(ER9:EU9)),"")</f>
        <v/>
      </c>
      <c r="EW9" s="185" t="str">
        <f t="shared" si="29"/>
        <v/>
      </c>
      <c r="EX9" s="130" t="s">
        <v>30</v>
      </c>
      <c r="EY9" s="131"/>
      <c r="EZ9" s="132" t="s">
        <v>31</v>
      </c>
      <c r="FA9" s="132"/>
      <c r="FB9" s="132"/>
      <c r="FC9" s="184">
        <f>IFERROR((((COUNTIF('Elève (4ème5)'!EX9:FB9,"A"))*4)+((COUNTIF('Elève (4ème5)'!EX9:FB9,"B"))*3)+((COUNTIF('Elève (4ème5)'!EX9:FB9,"C"))*2)+((COUNTIF('Elève (4ème5)'!EX9:FB9,"D"))*1))/(COUNTA(EX9:FB9)),"")</f>
        <v>2.5</v>
      </c>
      <c r="FD9" s="185" t="str">
        <f t="shared" si="30"/>
        <v>C</v>
      </c>
      <c r="FE9" s="184">
        <f>IF(COUNT(EP9,EV9,FC9)=0,"",SUM(EP9,EV9,FC9)/COUNT(EP9,EV9,FC9))</f>
        <v>2.75</v>
      </c>
      <c r="FF9" s="207" t="str">
        <f t="shared" si="31"/>
        <v>C</v>
      </c>
      <c r="FG9" s="130" t="s">
        <v>32</v>
      </c>
      <c r="FH9" s="131"/>
      <c r="FI9" s="132"/>
      <c r="FJ9" s="184">
        <f>IFERROR((((COUNTIF('Elève (4ème5)'!FG9:FI9,"A"))*4)+((COUNTIF('Elève (4ème5)'!FG9:FI9,"B"))*3)+((COUNTIF('Elève (4ème5)'!FG9:FI9,"C"))*2)+((COUNTIF('Elève (4ème5)'!FG9:FI9,"D"))*1))/(COUNTA(FG9:FI9)),"")</f>
        <v>1</v>
      </c>
      <c r="FK9" s="185" t="str">
        <f t="shared" si="32"/>
        <v>D</v>
      </c>
      <c r="FL9" s="130"/>
      <c r="FM9" s="131" t="s">
        <v>30</v>
      </c>
      <c r="FN9" s="132"/>
      <c r="FO9" s="132"/>
      <c r="FP9" s="184">
        <f>IFERROR((((COUNTIF('Elève (4ème5)'!FL9:FO9,"A"))*4)+((COUNTIF('Elève (4ème5)'!FL9:FO9,"B"))*3)+((COUNTIF('Elève (4ème5)'!FL9:FO9,"C"))*2)+((COUNTIF('Elève (4ème5)'!FL9:FO9,"D"))*1))/(COUNTA(FL9:FO9)),"")</f>
        <v>3</v>
      </c>
      <c r="FQ9" s="185" t="str">
        <f t="shared" si="33"/>
        <v>B</v>
      </c>
      <c r="FR9" s="130" t="s">
        <v>32</v>
      </c>
      <c r="FS9" s="131"/>
      <c r="FT9" s="132" t="s">
        <v>29</v>
      </c>
      <c r="FU9" s="132"/>
      <c r="FV9" s="132"/>
      <c r="FW9" s="184">
        <f>IFERROR((((COUNTIF('Elève (4ème5)'!FR9:FV9,"A"))*4)+((COUNTIF('Elève (4ème5)'!FR9:FV9,"B"))*3)+((COUNTIF('Elève (4ème5)'!FR9:FV9,"C"))*2)+((COUNTIF('Elève (4ème5)'!FR9:FV9,"D"))*1))/(COUNTA(FR9:FV9)),"")</f>
        <v>2.5</v>
      </c>
      <c r="FX9" s="185" t="str">
        <f t="shared" si="34"/>
        <v>C</v>
      </c>
      <c r="FY9" s="184">
        <f>IF(COUNT(FJ9,FP9,FW9)=0,"",SUM(FJ9,FP9,FW9)/COUNT(FJ9,FP9,FW9))</f>
        <v>2.1666666666666665</v>
      </c>
      <c r="FZ9" s="207" t="str">
        <f t="shared" si="35"/>
        <v>C</v>
      </c>
      <c r="GA9" s="130" t="s">
        <v>30</v>
      </c>
      <c r="GB9" s="131"/>
      <c r="GC9" s="132"/>
      <c r="GD9" s="184">
        <f>IFERROR((((COUNTIF('Elève (4ème5)'!GA9:GC9,"A"))*4)+((COUNTIF('Elève (4ème5)'!GA9:GC9,"B"))*3)+((COUNTIF('Elève (4ème5)'!GA9:GC9,"C"))*2)+((COUNTIF('Elève (4ème5)'!GA9:GC9,"D"))*1))/(COUNTA(GA9:GC9)),"")</f>
        <v>3</v>
      </c>
      <c r="GE9" s="185" t="str">
        <f t="shared" si="36"/>
        <v>B</v>
      </c>
      <c r="GF9" s="130"/>
      <c r="GG9" s="131" t="s">
        <v>30</v>
      </c>
      <c r="GH9" s="132"/>
      <c r="GI9" s="132"/>
      <c r="GJ9" s="184">
        <f>IFERROR((((COUNTIF('Elève (4ème5)'!GF9:GI9,"A"))*4)+((COUNTIF('Elève (4ème5)'!GF9:GI9,"B"))*3)+((COUNTIF('Elève (4ème5)'!GF9:GI9,"C"))*2)+((COUNTIF('Elève (4ème5)'!GF9:GI9,"D"))*1))/(COUNTA(GF9:GI9)),"")</f>
        <v>3</v>
      </c>
      <c r="GK9" s="185" t="str">
        <f t="shared" si="37"/>
        <v>B</v>
      </c>
      <c r="GL9" s="130" t="s">
        <v>29</v>
      </c>
      <c r="GM9" s="131"/>
      <c r="GN9" s="132" t="s">
        <v>30</v>
      </c>
      <c r="GO9" s="132"/>
      <c r="GP9" s="132"/>
      <c r="GQ9" s="184">
        <f>IFERROR((((COUNTIF('Elève (4ème5)'!GL9:GP9,"A"))*4)+((COUNTIF('Elève (4ème5)'!GL9:GP9,"B"))*3)+((COUNTIF('Elève (4ème5)'!GL9:GP9,"C"))*2)+((COUNTIF('Elève (4ème5)'!GL9:GP9,"D"))*1))/(COUNTA(GL9:GP9)),"")</f>
        <v>3.5</v>
      </c>
      <c r="GR9" s="185" t="str">
        <f t="shared" si="38"/>
        <v>B</v>
      </c>
      <c r="GS9" s="184">
        <f>IF(COUNT(GD9,GJ9,GQ9)=0,"",SUM(GD9,GJ9,GQ9)/COUNT(GD9,GJ9,GQ9))</f>
        <v>3.1666666666666665</v>
      </c>
      <c r="GT9" s="207" t="str">
        <f t="shared" si="39"/>
        <v>B</v>
      </c>
      <c r="GU9" s="130" t="s">
        <v>31</v>
      </c>
      <c r="GV9" s="131"/>
      <c r="GW9" s="132"/>
      <c r="GX9" s="184">
        <f>IFERROR((((COUNTIF('Elève (4ème5)'!GU9:GW9,"A"))*4)+((COUNTIF('Elève (4ème5)'!GU9:GW9,"B"))*3)+((COUNTIF('Elève (4ème5)'!GU9:GW9,"C"))*2)+((COUNTIF('Elève (4ème5)'!GU9:GW9,"D"))*1))/(COUNTA(GU9:GW9)),"")</f>
        <v>2</v>
      </c>
      <c r="GY9" s="185" t="str">
        <f t="shared" si="40"/>
        <v>C</v>
      </c>
      <c r="GZ9" s="130"/>
      <c r="HA9" s="131"/>
      <c r="HB9" s="132"/>
      <c r="HC9" s="132"/>
      <c r="HD9" s="184" t="str">
        <f>IFERROR((((COUNTIF('Elève (4ème5)'!GZ9:HC9,"A"))*4)+((COUNTIF('Elève (4ème5)'!GZ9:HC9,"B"))*3)+((COUNTIF('Elève (4ème5)'!GZ9:HC9,"C"))*2)+((COUNTIF('Elève (4ème5)'!GZ9:HC9,"D"))*1))/(COUNTA(GZ9:HC9)),"")</f>
        <v/>
      </c>
      <c r="HE9" s="185" t="str">
        <f t="shared" si="41"/>
        <v/>
      </c>
      <c r="HF9" s="130" t="s">
        <v>31</v>
      </c>
      <c r="HG9" s="131"/>
      <c r="HH9" s="132" t="s">
        <v>31</v>
      </c>
      <c r="HI9" s="132"/>
      <c r="HJ9" s="132"/>
      <c r="HK9" s="184">
        <f>IFERROR((((COUNTIF('Elève (4ème5)'!HF9:HJ9,"A"))*4)+((COUNTIF('Elève (4ème5)'!HF9:HJ9,"B"))*3)+((COUNTIF('Elève (4ème5)'!HF9:HJ9,"C"))*2)+((COUNTIF('Elève (4ème5)'!HF9:HJ9,"D"))*1))/(COUNTA(HF9:HJ9)),"")</f>
        <v>2</v>
      </c>
      <c r="HL9" s="185" t="str">
        <f t="shared" si="42"/>
        <v>C</v>
      </c>
      <c r="HM9" s="184">
        <f>IF(COUNT(GX9,HD9,HK9)=0,"",SUM(GX9,HD9,HK9)/COUNT(GX9,HD9,HK9))</f>
        <v>2</v>
      </c>
      <c r="HN9" s="207" t="str">
        <f t="shared" si="43"/>
        <v>C</v>
      </c>
      <c r="HO9" s="130" t="s">
        <v>31</v>
      </c>
      <c r="HP9" s="131"/>
      <c r="HQ9" s="132"/>
      <c r="HR9" s="184">
        <f>IFERROR((((COUNTIF('Elève (4ème5)'!HO9:HQ9,"A"))*4)+((COUNTIF('Elève (4ème5)'!HO9:HQ9,"B"))*3)+((COUNTIF('Elève (4ème5)'!HO9:HQ9,"C"))*2)+((COUNTIF('Elève (4ème5)'!HO9:HQ9,"D"))*1))/(COUNTA(HO9:HQ9)),"")</f>
        <v>2</v>
      </c>
      <c r="HS9" s="185" t="str">
        <f t="shared" si="44"/>
        <v>C</v>
      </c>
      <c r="HT9" s="130"/>
      <c r="HU9" s="131" t="s">
        <v>30</v>
      </c>
      <c r="HV9" s="132"/>
      <c r="HW9" s="132"/>
      <c r="HX9" s="184">
        <f>IFERROR((((COUNTIF('Elève (4ème5)'!HT9:HW9,"A"))*4)+((COUNTIF('Elève (4ème5)'!HT9:HW9,"B"))*3)+((COUNTIF('Elève (4ème5)'!HT9:HW9,"C"))*2)+((COUNTIF('Elève (4ème5)'!HT9:HW9,"D"))*1))/(COUNTA(HT9:HW9)),"")</f>
        <v>3</v>
      </c>
      <c r="HY9" s="185" t="str">
        <f t="shared" si="45"/>
        <v>B</v>
      </c>
      <c r="HZ9" s="130" t="s">
        <v>31</v>
      </c>
      <c r="IA9" s="131"/>
      <c r="IB9" s="132" t="s">
        <v>29</v>
      </c>
      <c r="IC9" s="132"/>
      <c r="ID9" s="132"/>
      <c r="IE9" s="184">
        <f>IFERROR((((COUNTIF('Elève (4ème5)'!HZ9:ID9,"A"))*4)+((COUNTIF('Elève (4ème5)'!HZ9:ID9,"B"))*3)+((COUNTIF('Elève (4ème5)'!HZ9:ID9,"C"))*2)+((COUNTIF('Elève (4ème5)'!HZ9:ID9,"D"))*1))/(COUNTA(HZ9:ID9)),"")</f>
        <v>3</v>
      </c>
      <c r="IF9" s="185" t="str">
        <f t="shared" si="46"/>
        <v>B</v>
      </c>
      <c r="IG9" s="184">
        <f>IF(COUNT(HR9,HX9,IE9)=0,"",SUM(HR9,HX9,IE9)/COUNT(HR9,HX9,IE9))</f>
        <v>2.6666666666666665</v>
      </c>
      <c r="IH9" s="207" t="str">
        <f t="shared" si="47"/>
        <v>C</v>
      </c>
      <c r="II9" s="130" t="s">
        <v>31</v>
      </c>
      <c r="IJ9" s="131"/>
      <c r="IK9" s="132"/>
      <c r="IL9" s="184">
        <f>IFERROR((((COUNTIF('Elève (4ème5)'!II9:IK9,"A"))*4)+((COUNTIF('Elève (4ème5)'!II9:IK9,"B"))*3)+((COUNTIF('Elève (4ème5)'!II9:IK9,"C"))*2)+((COUNTIF('Elève (4ème5)'!II9:IK9,"D"))*1))/(COUNTA(II9:IK9)),"")</f>
        <v>2</v>
      </c>
      <c r="IM9" s="185" t="str">
        <f t="shared" si="48"/>
        <v>C</v>
      </c>
      <c r="IN9" s="130"/>
      <c r="IO9" s="131" t="s">
        <v>31</v>
      </c>
      <c r="IP9" s="132"/>
      <c r="IQ9" s="132"/>
      <c r="IR9" s="184">
        <f>IFERROR((((COUNTIF('Elève (4ème5)'!IN9:IQ9,"A"))*4)+((COUNTIF('Elève (4ème5)'!IN9:IQ9,"B"))*3)+((COUNTIF('Elève (4ème5)'!IN9:IQ9,"C"))*2)+((COUNTIF('Elève (4ème5)'!IN9:IQ9,"D"))*1))/(COUNTA(IN9:IQ9)),"")</f>
        <v>2</v>
      </c>
      <c r="IS9" s="185" t="str">
        <f t="shared" si="49"/>
        <v>C</v>
      </c>
      <c r="IT9" s="130" t="s">
        <v>30</v>
      </c>
      <c r="IU9" s="131"/>
      <c r="IV9" s="132" t="s">
        <v>31</v>
      </c>
      <c r="IW9" s="132"/>
      <c r="IX9" s="132"/>
      <c r="IY9" s="184">
        <f>IFERROR((((COUNTIF('Elève (4ème5)'!IT9:IX9,"A"))*4)+((COUNTIF('Elève (4ème5)'!IT9:IX9,"B"))*3)+((COUNTIF('Elève (4ème5)'!IT9:IX9,"C"))*2)+((COUNTIF('Elève (4ème5)'!IT9:IX9,"D"))*1))/(COUNTA(IT9:IX9)),"")</f>
        <v>2.5</v>
      </c>
      <c r="IZ9" s="185" t="str">
        <f t="shared" si="50"/>
        <v>C</v>
      </c>
      <c r="JA9" s="184">
        <f>IF(COUNT(IL9,IR9,IY9)=0,"",SUM(IL9,IR9,IY9)/COUNT(IL9,IR9,IY9))</f>
        <v>2.1666666666666665</v>
      </c>
      <c r="JB9" s="207" t="str">
        <f t="shared" si="51"/>
        <v>C</v>
      </c>
      <c r="JC9" s="130" t="s">
        <v>30</v>
      </c>
      <c r="JD9" s="131"/>
      <c r="JE9" s="132"/>
      <c r="JF9" s="184">
        <f>IFERROR((((COUNTIF('Elève (4ème5)'!JC9:JE9,"A"))*4)+((COUNTIF('Elève (4ème5)'!JC9:JE9,"B"))*3)+((COUNTIF('Elève (4ème5)'!JC9:JE9,"C"))*2)+((COUNTIF('Elève (4ème5)'!JC9:JE9,"D"))*1))/(COUNTA(JC9:JE9)),"")</f>
        <v>3</v>
      </c>
      <c r="JG9" s="185" t="str">
        <f t="shared" si="52"/>
        <v>B</v>
      </c>
      <c r="JH9" s="130"/>
      <c r="JI9" s="131" t="s">
        <v>31</v>
      </c>
      <c r="JJ9" s="132"/>
      <c r="JK9" s="132"/>
      <c r="JL9" s="184">
        <f>IFERROR((((COUNTIF('Elève (4ème5)'!JH9:JK9,"A"))*4)+((COUNTIF('Elève (4ème5)'!JH9:JK9,"B"))*3)+((COUNTIF('Elève (4ème5)'!JH9:JK9,"C"))*2)+((COUNTIF('Elève (4ème5)'!JH9:JK9,"D"))*1))/(COUNTA(JH9:JK9)),"")</f>
        <v>2</v>
      </c>
      <c r="JM9" s="185" t="str">
        <f t="shared" si="53"/>
        <v>C</v>
      </c>
      <c r="JN9" s="130" t="s">
        <v>31</v>
      </c>
      <c r="JO9" s="131"/>
      <c r="JP9" s="132" t="s">
        <v>30</v>
      </c>
      <c r="JQ9" s="132"/>
      <c r="JR9" s="132"/>
      <c r="JS9" s="184">
        <f>IFERROR((((COUNTIF('Elève (4ème5)'!JN9:JR9,"A"))*4)+((COUNTIF('Elève (4ème5)'!JN9:JR9,"B"))*3)+((COUNTIF('Elève (4ème5)'!JN9:JR9,"C"))*2)+((COUNTIF('Elève (4ème5)'!JN9:JR9,"D"))*1))/(COUNTA(JN9:JR9)),"")</f>
        <v>2.5</v>
      </c>
      <c r="JT9" s="185" t="str">
        <f t="shared" si="54"/>
        <v>C</v>
      </c>
      <c r="JU9" s="184">
        <f>IF(COUNT(JF9,JL9,JS9)=0,"",SUM(JF9,JL9,JS9)/COUNT(JF9,JL9,JS9))</f>
        <v>2.5</v>
      </c>
      <c r="JV9" s="207" t="str">
        <f t="shared" si="55"/>
        <v>C</v>
      </c>
      <c r="JW9" s="130" t="s">
        <v>30</v>
      </c>
      <c r="JX9" s="131"/>
      <c r="JY9" s="132"/>
      <c r="JZ9" s="184">
        <f>IFERROR((((COUNTIF('Elève (4ème5)'!JW9:JY9,"A"))*4)+((COUNTIF('Elève (4ème5)'!JW9:JY9,"B"))*3)+((COUNTIF('Elève (4ème5)'!JW9:JY9,"C"))*2)+((COUNTIF('Elève (4ème5)'!JW9:JY9,"D"))*1))/(COUNTA(JW9:JY9)),"")</f>
        <v>3</v>
      </c>
      <c r="KA9" s="185" t="str">
        <f t="shared" si="56"/>
        <v>B</v>
      </c>
      <c r="KB9" s="130"/>
      <c r="KC9" s="131" t="s">
        <v>31</v>
      </c>
      <c r="KD9" s="132"/>
      <c r="KE9" s="132"/>
      <c r="KF9" s="184">
        <f>IFERROR((((COUNTIF('Elève (4ème5)'!KB9:KE9,"A"))*4)+((COUNTIF('Elève (4ème5)'!KB9:KE9,"B"))*3)+((COUNTIF('Elève (4ème5)'!KB9:KE9,"C"))*2)+((COUNTIF('Elève (4ème5)'!KB9:KE9,"D"))*1))/(COUNTA(KB9:KE9)),"")</f>
        <v>2</v>
      </c>
      <c r="KG9" s="185" t="str">
        <f t="shared" si="57"/>
        <v>C</v>
      </c>
      <c r="KH9" s="130" t="s">
        <v>31</v>
      </c>
      <c r="KI9" s="131"/>
      <c r="KJ9" s="132" t="s">
        <v>30</v>
      </c>
      <c r="KK9" s="132"/>
      <c r="KL9" s="132"/>
      <c r="KM9" s="184">
        <f>IFERROR((((COUNTIF('Elève (4ème5)'!KH9:KL9,"A"))*4)+((COUNTIF('Elève (4ème5)'!KH9:KL9,"B"))*3)+((COUNTIF('Elève (4ème5)'!KH9:KL9,"C"))*2)+((COUNTIF('Elève (4ème5)'!KH9:KL9,"D"))*1))/(COUNTA(KH9:KL9)),"")</f>
        <v>2.5</v>
      </c>
      <c r="KN9" s="185" t="str">
        <f t="shared" si="58"/>
        <v>C</v>
      </c>
      <c r="KO9" s="184">
        <f>IF(COUNT(JZ9,KF9,KM9)=0,"",SUM(JZ9,KF9,KM9)/COUNT(JZ9,KF9,KM9))</f>
        <v>2.5</v>
      </c>
      <c r="KP9" s="207" t="str">
        <f t="shared" si="59"/>
        <v>C</v>
      </c>
      <c r="KQ9" s="130" t="s">
        <v>31</v>
      </c>
      <c r="KR9" s="131"/>
      <c r="KS9" s="132"/>
      <c r="KT9" s="184">
        <f>IFERROR((((COUNTIF('Elève (4ème5)'!KQ9:KS9,"A"))*4)+((COUNTIF('Elève (4ème5)'!KQ9:KS9,"B"))*3)+((COUNTIF('Elève (4ème5)'!KQ9:KS9,"C"))*2)+((COUNTIF('Elève (4ème5)'!KQ9:KS9,"D"))*1))/(COUNTA(KQ9:KS9)),"")</f>
        <v>2</v>
      </c>
      <c r="KU9" s="185" t="str">
        <f t="shared" si="60"/>
        <v>C</v>
      </c>
      <c r="KV9" s="130"/>
      <c r="KW9" s="131" t="s">
        <v>31</v>
      </c>
      <c r="KX9" s="132"/>
      <c r="KY9" s="132"/>
      <c r="KZ9" s="184">
        <f>IFERROR((((COUNTIF('Elève (4ème5)'!KV9:KY9,"A"))*4)+((COUNTIF('Elève (4ème5)'!KV9:KY9,"B"))*3)+((COUNTIF('Elève (4ème5)'!KV9:KY9,"C"))*2)+((COUNTIF('Elève (4ème5)'!KV9:KY9,"D"))*1))/(COUNTA(KV9:KY9)),"")</f>
        <v>2</v>
      </c>
      <c r="LA9" s="185" t="str">
        <f t="shared" si="61"/>
        <v>C</v>
      </c>
      <c r="LB9" s="130" t="s">
        <v>30</v>
      </c>
      <c r="LC9" s="131"/>
      <c r="LD9" s="132" t="s">
        <v>31</v>
      </c>
      <c r="LE9" s="132"/>
      <c r="LF9" s="132"/>
      <c r="LG9" s="184">
        <f>IFERROR((((COUNTIF('Elève (4ème5)'!LB9:LF9,"A"))*4)+((COUNTIF('Elève (4ème5)'!LB9:LF9,"B"))*3)+((COUNTIF('Elève (4ème5)'!LB9:LF9,"C"))*2)+((COUNTIF('Elève (4ème5)'!LB9:LF9,"D"))*1))/(COUNTA(LB9:LF9)),"")</f>
        <v>2.5</v>
      </c>
      <c r="LH9" s="185" t="str">
        <f t="shared" si="62"/>
        <v>C</v>
      </c>
      <c r="LI9" s="184">
        <f>IF(COUNT(KT9,KZ9,LG9)=0,"",SUM(KT9,KZ9,LG9)/COUNT(KT9,KZ9,LG9))</f>
        <v>2.1666666666666665</v>
      </c>
      <c r="LJ9" s="207" t="str">
        <f t="shared" si="63"/>
        <v>C</v>
      </c>
      <c r="LK9" s="130"/>
      <c r="LL9" s="131"/>
      <c r="LM9" s="132"/>
      <c r="LN9" s="184" t="str">
        <f>IFERROR((((COUNTIF('Elève (4ème5)'!LK9:LM9,"A"))*4)+((COUNTIF('Elève (4ème5)'!LK9:LM9,"B"))*3)+((COUNTIF('Elève (4ème5)'!LK9:LM9,"C"))*2)+((COUNTIF('Elève (4ème5)'!LK9:LM9,"D"))*1))/(COUNTA(LK9:LM9)),"")</f>
        <v/>
      </c>
      <c r="LO9" s="185" t="str">
        <f t="shared" si="64"/>
        <v/>
      </c>
      <c r="LP9" s="130"/>
      <c r="LQ9" s="131"/>
      <c r="LR9" s="132"/>
      <c r="LS9" s="132"/>
      <c r="LT9" s="184" t="str">
        <f>IFERROR((((COUNTIF('Elève (4ème5)'!LP9:LS9,"A"))*4)+((COUNTIF('Elève (4ème5)'!LP9:LS9,"B"))*3)+((COUNTIF('Elève (4ème5)'!LP9:LS9,"C"))*2)+((COUNTIF('Elève (4ème5)'!LP9:LS9,"D"))*1))/(COUNTA(LP9:LS9)),"")</f>
        <v/>
      </c>
      <c r="LU9" s="185" t="str">
        <f t="shared" si="65"/>
        <v/>
      </c>
      <c r="LV9" s="130"/>
      <c r="LW9" s="131"/>
      <c r="LX9" s="132"/>
      <c r="LY9" s="132"/>
      <c r="LZ9" s="132"/>
      <c r="MA9" s="184" t="str">
        <f>IFERROR((((COUNTIF('Elève (4ème5)'!LV9:LZ9,"A"))*4)+((COUNTIF('Elève (4ème5)'!LV9:LZ9,"B"))*3)+((COUNTIF('Elève (4ème5)'!LV9:LZ9,"C"))*2)+((COUNTIF('Elève (4ème5)'!LV9:LZ9,"D"))*1))/(COUNTA(LV9:LZ9)),"")</f>
        <v/>
      </c>
      <c r="MB9" s="185" t="str">
        <f t="shared" si="66"/>
        <v/>
      </c>
      <c r="MC9" s="184" t="str">
        <f>IF(COUNT(LN9,LT9,MA9)=0,"",SUM(LN9,LT9,MA9)/COUNT(LN9,LT9,MA9))</f>
        <v/>
      </c>
      <c r="MD9" s="207" t="str">
        <f t="shared" si="67"/>
        <v/>
      </c>
      <c r="ME9" s="130" t="s">
        <v>31</v>
      </c>
      <c r="MF9" s="131"/>
      <c r="MG9" s="132"/>
      <c r="MH9" s="184">
        <f>IFERROR((((COUNTIF('Elève (4ème5)'!ME9:MG9,"A"))*4)+((COUNTIF('Elève (4ème5)'!ME9:MG9,"B"))*3)+((COUNTIF('Elève (4ème5)'!ME9:MG9,"C"))*2)+((COUNTIF('Elève (4ème5)'!ME9:MG9,"D"))*1))/(COUNTA(ME9:MG9)),"")</f>
        <v>2</v>
      </c>
      <c r="MI9" s="185" t="str">
        <f t="shared" si="68"/>
        <v>C</v>
      </c>
      <c r="MJ9" s="130"/>
      <c r="MK9" s="131" t="s">
        <v>31</v>
      </c>
      <c r="ML9" s="132"/>
      <c r="MM9" s="132"/>
      <c r="MN9" s="184">
        <f>IFERROR((((COUNTIF('Elève (4ème5)'!MJ9:MM9,"A"))*4)+((COUNTIF('Elève (4ème5)'!MJ9:MM9,"B"))*3)+((COUNTIF('Elève (4ème5)'!MJ9:MM9,"C"))*2)+((COUNTIF('Elève (4ème5)'!MJ9:MM9,"D"))*1))/(COUNTA(MJ9:MM9)),"")</f>
        <v>2</v>
      </c>
      <c r="MO9" s="185" t="str">
        <f t="shared" si="69"/>
        <v>C</v>
      </c>
      <c r="MP9" s="130" t="s">
        <v>31</v>
      </c>
      <c r="MQ9" s="131"/>
      <c r="MR9" s="132" t="s">
        <v>31</v>
      </c>
      <c r="MS9" s="132"/>
      <c r="MT9" s="132"/>
      <c r="MU9" s="184">
        <f>IFERROR((((COUNTIF('Elève (4ème5)'!MP9:MT9,"A"))*4)+((COUNTIF('Elève (4ème5)'!MP9:MT9,"B"))*3)+((COUNTIF('Elève (4ème5)'!MP9:MT9,"C"))*2)+((COUNTIF('Elève (4ème5)'!MP9:MT9,"D"))*1))/(COUNTA(MP9:MT9)),"")</f>
        <v>2</v>
      </c>
      <c r="MV9" s="185" t="str">
        <f t="shared" si="70"/>
        <v>C</v>
      </c>
      <c r="MW9" s="184">
        <f>IF(COUNT(MH9,MN9,MU9)=0,"",SUM(MH9,MN9,MU9)/COUNT(MH9,MN9,MU9))</f>
        <v>2</v>
      </c>
      <c r="MX9" s="207" t="str">
        <f t="shared" si="71"/>
        <v>C</v>
      </c>
      <c r="MY9" s="130" t="s">
        <v>32</v>
      </c>
      <c r="MZ9" s="131"/>
      <c r="NA9" s="132"/>
      <c r="NB9" s="184">
        <f>IFERROR((((COUNTIF('Elève (4ème5)'!MY9:NA9,"A"))*4)+((COUNTIF('Elève (4ème5)'!MY9:NA9,"B"))*3)+((COUNTIF('Elève (4ème5)'!MY9:NA9,"C"))*2)+((COUNTIF('Elève (4ème5)'!MY9:NA9,"D"))*1))/(COUNTA(MY9:NA9)),"")</f>
        <v>1</v>
      </c>
      <c r="NC9" s="185" t="str">
        <f t="shared" si="72"/>
        <v>D</v>
      </c>
      <c r="ND9" s="130"/>
      <c r="NE9" s="131" t="s">
        <v>31</v>
      </c>
      <c r="NF9" s="132"/>
      <c r="NG9" s="132"/>
      <c r="NH9" s="184">
        <f>IFERROR((((COUNTIF('Elève (4ème5)'!ND9:NG9,"A"))*4)+((COUNTIF('Elève (4ème5)'!ND9:NG9,"B"))*3)+((COUNTIF('Elève (4ème5)'!ND9:NG9,"C"))*2)+((COUNTIF('Elève (4ème5)'!ND9:NG9,"D"))*1))/(COUNTA(ND9:NG9)),"")</f>
        <v>2</v>
      </c>
      <c r="NI9" s="185" t="str">
        <f t="shared" si="73"/>
        <v>C</v>
      </c>
      <c r="NJ9" s="130" t="s">
        <v>30</v>
      </c>
      <c r="NK9" s="131"/>
      <c r="NL9" s="132" t="s">
        <v>30</v>
      </c>
      <c r="NM9" s="132"/>
      <c r="NN9" s="132"/>
      <c r="NO9" s="184">
        <f>IFERROR((((COUNTIF('Elève (4ème5)'!NJ9:NN9,"A"))*4)+((COUNTIF('Elève (4ème5)'!NJ9:NN9,"B"))*3)+((COUNTIF('Elève (4ème5)'!NJ9:NN9,"C"))*2)+((COUNTIF('Elève (4ème5)'!NJ9:NN9,"D"))*1))/(COUNTA(NJ9:NN9)),"")</f>
        <v>3</v>
      </c>
      <c r="NP9" s="185" t="str">
        <f t="shared" si="74"/>
        <v>B</v>
      </c>
      <c r="NQ9" s="184">
        <f>IF(COUNT(NB9,NH9,NO9)=0,"",SUM(NB9,NH9,NO9)/COUNT(NB9,NH9,NO9))</f>
        <v>2</v>
      </c>
      <c r="NR9" s="207" t="str">
        <f t="shared" si="75"/>
        <v>C</v>
      </c>
      <c r="NS9" s="130" t="s">
        <v>32</v>
      </c>
      <c r="NT9" s="131"/>
      <c r="NU9" s="132"/>
      <c r="NV9" s="184">
        <f>IFERROR((((COUNTIF('Elève (4ème5)'!NS9:NU9,"A"))*4)+((COUNTIF('Elève (4ème5)'!NS9:NU9,"B"))*3)+((COUNTIF('Elève (4ème5)'!NS9:NU9,"C"))*2)+((COUNTIF('Elève (4ème5)'!NS9:NU9,"D"))*1))/(COUNTA(NS9:NU9)),"")</f>
        <v>1</v>
      </c>
      <c r="NW9" s="185" t="str">
        <f t="shared" si="76"/>
        <v>D</v>
      </c>
      <c r="NX9" s="130"/>
      <c r="NY9" s="131" t="s">
        <v>30</v>
      </c>
      <c r="NZ9" s="132"/>
      <c r="OA9" s="132"/>
      <c r="OB9" s="184">
        <f>IFERROR((((COUNTIF('Elève (4ème5)'!NX9:OA9,"A"))*4)+((COUNTIF('Elève (4ème5)'!NX9:OA9,"B"))*3)+((COUNTIF('Elève (4ème5)'!NX9:OA9,"C"))*2)+((COUNTIF('Elève (4ème5)'!NX9:OA9,"D"))*1))/(COUNTA(NX9:OA9)),"")</f>
        <v>3</v>
      </c>
      <c r="OC9" s="185" t="str">
        <f t="shared" si="77"/>
        <v>B</v>
      </c>
      <c r="OD9" s="130" t="s">
        <v>30</v>
      </c>
      <c r="OE9" s="131"/>
      <c r="OF9" s="132" t="s">
        <v>32</v>
      </c>
      <c r="OG9" s="132"/>
      <c r="OH9" s="132"/>
      <c r="OI9" s="184">
        <f>IFERROR((((COUNTIF('Elève (4ème5)'!OD9:OH9,"A"))*4)+((COUNTIF('Elève (4ème5)'!OD9:OH9,"B"))*3)+((COUNTIF('Elève (4ème5)'!OD9:OH9,"C"))*2)+((COUNTIF('Elève (4ème5)'!OD9:OH9,"D"))*1))/(COUNTA(OD9:OH9)),"")</f>
        <v>2</v>
      </c>
      <c r="OJ9" s="185" t="str">
        <f t="shared" si="78"/>
        <v>C</v>
      </c>
      <c r="OK9" s="184">
        <f>IF(COUNT(NV9,OB9,OI9)=0,"",SUM(NV9,OB9,OI9)/COUNT(NV9,OB9,OI9))</f>
        <v>2</v>
      </c>
      <c r="OL9" s="207" t="str">
        <f t="shared" si="79"/>
        <v>C</v>
      </c>
      <c r="OM9" s="130" t="s">
        <v>30</v>
      </c>
      <c r="ON9" s="131"/>
      <c r="OO9" s="132"/>
      <c r="OP9" s="184">
        <f>IFERROR((((COUNTIF('Elève (4ème5)'!OM9:OO9,"A"))*4)+((COUNTIF('Elève (4ème5)'!OM9:OO9,"B"))*3)+((COUNTIF('Elève (4ème5)'!OM9:OO9,"C"))*2)+((COUNTIF('Elève (4ème5)'!OM9:OO9,"D"))*1))/(COUNTA(OM9:OO9)),"")</f>
        <v>3</v>
      </c>
      <c r="OQ9" s="185" t="str">
        <f t="shared" si="80"/>
        <v>B</v>
      </c>
      <c r="OR9" s="130"/>
      <c r="OS9" s="131" t="s">
        <v>30</v>
      </c>
      <c r="OT9" s="132"/>
      <c r="OU9" s="132"/>
      <c r="OV9" s="184">
        <f>IFERROR((((COUNTIF('Elève (4ème5)'!OR9:OU9,"A"))*4)+((COUNTIF('Elève (4ème5)'!OR9:OU9,"B"))*3)+((COUNTIF('Elève (4ème5)'!OR9:OU9,"C"))*2)+((COUNTIF('Elève (4ème5)'!OR9:OU9,"D"))*1))/(COUNTA(OR9:OU9)),"")</f>
        <v>3</v>
      </c>
      <c r="OW9" s="185" t="str">
        <f t="shared" si="81"/>
        <v>B</v>
      </c>
      <c r="OX9" s="130" t="s">
        <v>29</v>
      </c>
      <c r="OY9" s="131"/>
      <c r="OZ9" s="132" t="s">
        <v>29</v>
      </c>
      <c r="PA9" s="132"/>
      <c r="PB9" s="132"/>
      <c r="PC9" s="184">
        <f>IFERROR((((COUNTIF('Elève (4ème5)'!OX9:PB9,"A"))*4)+((COUNTIF('Elève (4ème5)'!OX9:PB9,"B"))*3)+((COUNTIF('Elève (4ème5)'!OX9:PB9,"C"))*2)+((COUNTIF('Elève (4ème5)'!OX9:PB9,"D"))*1))/(COUNTA(OX9:PB9)),"")</f>
        <v>4</v>
      </c>
      <c r="PD9" s="185" t="str">
        <f t="shared" si="82"/>
        <v>A</v>
      </c>
      <c r="PE9" s="184">
        <f>IF(COUNT(OP9,OV9,PC9)=0,"",SUM(OP9,OV9,PC9)/COUNT(OP9,OV9,PC9))</f>
        <v>3.3333333333333335</v>
      </c>
      <c r="PF9" s="207" t="str">
        <f t="shared" si="83"/>
        <v>B</v>
      </c>
      <c r="PG9" s="130" t="s">
        <v>29</v>
      </c>
      <c r="PH9" s="131"/>
      <c r="PI9" s="132"/>
      <c r="PJ9" s="184">
        <f>IFERROR((((COUNTIF('Elève (4ème5)'!PG9:PI9,"A"))*4)+((COUNTIF('Elève (4ème5)'!PG9:PI9,"B"))*3)+((COUNTIF('Elève (4ème5)'!PG9:PI9,"C"))*2)+((COUNTIF('Elève (4ème5)'!PG9:PI9,"D"))*1))/(COUNTA(PG9:PI9)),"")</f>
        <v>4</v>
      </c>
      <c r="PK9" s="185" t="str">
        <f t="shared" si="84"/>
        <v>A</v>
      </c>
      <c r="PL9" s="130"/>
      <c r="PM9" s="131" t="s">
        <v>30</v>
      </c>
      <c r="PN9" s="132"/>
      <c r="PO9" s="132"/>
      <c r="PP9" s="184">
        <f>IFERROR((((COUNTIF('Elève (4ème5)'!PL9:PO9,"A"))*4)+((COUNTIF('Elève (4ème5)'!PL9:PO9,"B"))*3)+((COUNTIF('Elève (4ème5)'!PL9:PO9,"C"))*2)+((COUNTIF('Elève (4ème5)'!PL9:PO9,"D"))*1))/(COUNTA(PL9:PO9)),"")</f>
        <v>3</v>
      </c>
      <c r="PQ9" s="185" t="str">
        <f t="shared" si="85"/>
        <v>B</v>
      </c>
      <c r="PR9" s="130" t="s">
        <v>29</v>
      </c>
      <c r="PS9" s="131"/>
      <c r="PT9" s="132" t="s">
        <v>29</v>
      </c>
      <c r="PU9" s="132"/>
      <c r="PV9" s="132"/>
      <c r="PW9" s="184">
        <f>IFERROR((((COUNTIF('Elève (4ème5)'!PR9:PV9,"A"))*4)+((COUNTIF('Elève (4ème5)'!PR9:PV9,"B"))*3)+((COUNTIF('Elève (4ème5)'!PR9:PV9,"C"))*2)+((COUNTIF('Elève (4ème5)'!PR9:PV9,"D"))*1))/(COUNTA(PR9:PV9)),"")</f>
        <v>4</v>
      </c>
      <c r="PX9" s="185" t="str">
        <f t="shared" si="86"/>
        <v>A</v>
      </c>
      <c r="PY9" s="184">
        <f>IF(COUNT(PJ9,PP9,PW9)=0,"",SUM(PJ9,PP9,PW9)/COUNT(PJ9,PP9,PW9))</f>
        <v>3.6666666666666665</v>
      </c>
      <c r="PZ9" s="207" t="str">
        <f t="shared" si="87"/>
        <v>B</v>
      </c>
      <c r="QA9" s="130" t="s">
        <v>30</v>
      </c>
      <c r="QB9" s="131"/>
      <c r="QC9" s="132"/>
      <c r="QD9" s="184">
        <f>IFERROR((((COUNTIF('Elève (4ème5)'!QA9:QC9,"A"))*4)+((COUNTIF('Elève (4ème5)'!QA9:QC9,"B"))*3)+((COUNTIF('Elève (4ème5)'!QA9:QC9,"C"))*2)+((COUNTIF('Elève (4ème5)'!QA9:QC9,"D"))*1))/(COUNTA(QA9:QC9)),"")</f>
        <v>3</v>
      </c>
      <c r="QE9" s="185" t="str">
        <f t="shared" si="88"/>
        <v>B</v>
      </c>
      <c r="QF9" s="130"/>
      <c r="QG9" s="131" t="s">
        <v>30</v>
      </c>
      <c r="QH9" s="132"/>
      <c r="QI9" s="132"/>
      <c r="QJ9" s="184">
        <f>IFERROR((((COUNTIF('Elève (4ème5)'!QF9:QI9,"A"))*4)+((COUNTIF('Elève (4ème5)'!QF9:QI9,"B"))*3)+((COUNTIF('Elève (4ème5)'!QF9:QI9,"C"))*2)+((COUNTIF('Elève (4ème5)'!QF9:QI9,"D"))*1))/(COUNTA(QF9:QI9)),"")</f>
        <v>3</v>
      </c>
      <c r="QK9" s="185" t="str">
        <f t="shared" si="89"/>
        <v>B</v>
      </c>
      <c r="QL9" s="130" t="s">
        <v>29</v>
      </c>
      <c r="QM9" s="131"/>
      <c r="QN9" s="132" t="s">
        <v>30</v>
      </c>
      <c r="QO9" s="132"/>
      <c r="QP9" s="132"/>
      <c r="QQ9" s="184">
        <f>IFERROR((((COUNTIF('Elève (4ème5)'!QL9:QP9,"A"))*4)+((COUNTIF('Elève (4ème5)'!QL9:QP9,"B"))*3)+((COUNTIF('Elève (4ème5)'!QL9:QP9,"C"))*2)+((COUNTIF('Elève (4ème5)'!QL9:QP9,"D"))*1))/(COUNTA(QL9:QP9)),"")</f>
        <v>3.5</v>
      </c>
      <c r="QR9" s="185" t="str">
        <f t="shared" si="90"/>
        <v>B</v>
      </c>
      <c r="QS9" s="184">
        <f>IF(COUNT(QD9,QJ9,QQ9)=0,"",SUM(QD9,QJ9,QQ9)/COUNT(QD9,QJ9,QQ9))</f>
        <v>3.1666666666666665</v>
      </c>
      <c r="QT9" s="207" t="str">
        <f t="shared" si="91"/>
        <v>B</v>
      </c>
      <c r="QU9" s="130" t="s">
        <v>31</v>
      </c>
      <c r="QV9" s="131"/>
      <c r="QW9" s="132"/>
      <c r="QX9" s="184">
        <f>IFERROR((((COUNTIF('Elève (4ème5)'!QU9:QW9,"A"))*4)+((COUNTIF('Elève (4ème5)'!QU9:QW9,"B"))*3)+((COUNTIF('Elève (4ème5)'!QU9:QW9,"C"))*2)+((COUNTIF('Elève (4ème5)'!QU9:QW9,"D"))*1))/(COUNTA(QU9:QW9)),"")</f>
        <v>2</v>
      </c>
      <c r="QY9" s="185" t="str">
        <f t="shared" si="92"/>
        <v>C</v>
      </c>
      <c r="QZ9" s="130"/>
      <c r="RA9" s="131" t="s">
        <v>31</v>
      </c>
      <c r="RB9" s="132"/>
      <c r="RC9" s="132"/>
      <c r="RD9" s="184">
        <f>IFERROR((((COUNTIF('Elève (4ème5)'!QZ9:RC9,"A"))*4)+((COUNTIF('Elève (4ème5)'!QZ9:RC9,"B"))*3)+((COUNTIF('Elève (4ème5)'!QZ9:RC9,"C"))*2)+((COUNTIF('Elève (4ème5)'!QZ9:RC9,"D"))*1))/(COUNTA(QZ9:RC9)),"")</f>
        <v>2</v>
      </c>
      <c r="RE9" s="185" t="str">
        <f t="shared" si="93"/>
        <v>C</v>
      </c>
      <c r="RF9" s="130" t="s">
        <v>30</v>
      </c>
      <c r="RG9" s="131"/>
      <c r="RH9" s="132" t="s">
        <v>30</v>
      </c>
      <c r="RI9" s="132"/>
      <c r="RJ9" s="132"/>
      <c r="RK9" s="184">
        <f>IFERROR((((COUNTIF('Elève (4ème5)'!RF9:RJ9,"A"))*4)+((COUNTIF('Elève (4ème5)'!RF9:RJ9,"B"))*3)+((COUNTIF('Elève (4ème5)'!RF9:RJ9,"C"))*2)+((COUNTIF('Elève (4ème5)'!RF9:RJ9,"D"))*1))/(COUNTA(RF9:RJ9)),"")</f>
        <v>3</v>
      </c>
      <c r="RL9" s="185" t="str">
        <f t="shared" si="94"/>
        <v>B</v>
      </c>
      <c r="RM9" s="184">
        <f>IF(COUNT(QX9,RD9,RK9)=0,"",SUM(QX9,RD9,RK9)/COUNT(QX9,RD9,RK9))</f>
        <v>2.3333333333333335</v>
      </c>
      <c r="RN9" s="207" t="str">
        <f t="shared" si="95"/>
        <v>C</v>
      </c>
      <c r="RO9" s="130" t="s">
        <v>30</v>
      </c>
      <c r="RP9" s="131"/>
      <c r="RQ9" s="132"/>
      <c r="RR9" s="184">
        <f>IFERROR((((COUNTIF('Elève (4ème5)'!RO9:RQ9,"A"))*4)+((COUNTIF('Elève (4ème5)'!RO9:RQ9,"B"))*3)+((COUNTIF('Elève (4ème5)'!RO9:RQ9,"C"))*2)+((COUNTIF('Elève (4ème5)'!RO9:RQ9,"D"))*1))/(COUNTA(RO9:RQ9)),"")</f>
        <v>3</v>
      </c>
      <c r="RS9" s="185" t="str">
        <f t="shared" si="96"/>
        <v>B</v>
      </c>
      <c r="RT9" s="130"/>
      <c r="RU9" s="131" t="s">
        <v>31</v>
      </c>
      <c r="RV9" s="132"/>
      <c r="RW9" s="132"/>
      <c r="RX9" s="184">
        <f>IFERROR((((COUNTIF('Elève (4ème5)'!RT9:RW9,"A"))*4)+((COUNTIF('Elève (4ème5)'!RT9:RW9,"B"))*3)+((COUNTIF('Elève (4ème5)'!RT9:RW9,"C"))*2)+((COUNTIF('Elève (4ème5)'!RT9:RW9,"D"))*1))/(COUNTA(RT9:RW9)),"")</f>
        <v>2</v>
      </c>
      <c r="RY9" s="185" t="str">
        <f t="shared" si="97"/>
        <v>C</v>
      </c>
      <c r="RZ9" s="130" t="s">
        <v>32</v>
      </c>
      <c r="SA9" s="131"/>
      <c r="SB9" s="132" t="s">
        <v>31</v>
      </c>
      <c r="SC9" s="132"/>
      <c r="SD9" s="132"/>
      <c r="SE9" s="184">
        <f>IFERROR((((COUNTIF('Elève (4ème5)'!RZ9:SD9,"A"))*4)+((COUNTIF('Elève (4ème5)'!RZ9:SD9,"B"))*3)+((COUNTIF('Elève (4ème5)'!RZ9:SD9,"C"))*2)+((COUNTIF('Elève (4ème5)'!RZ9:SD9,"D"))*1))/(COUNTA(RZ9:SD9)),"")</f>
        <v>1.5</v>
      </c>
      <c r="SF9" s="185" t="str">
        <f t="shared" si="98"/>
        <v>D</v>
      </c>
      <c r="SG9" s="184">
        <f>IF(COUNT(RR9,RX9,SE9)=0,"",SUM(RR9,RX9,SE9)/COUNT(RR9,RX9,SE9))</f>
        <v>2.1666666666666665</v>
      </c>
      <c r="SH9" s="207" t="str">
        <f t="shared" si="99"/>
        <v>C</v>
      </c>
      <c r="SI9" s="130" t="s">
        <v>32</v>
      </c>
      <c r="SJ9" s="131"/>
      <c r="SK9" s="132"/>
      <c r="SL9" s="184">
        <f>IFERROR((((COUNTIF('Elève (4ème5)'!SI9:SK9,"A"))*4)+((COUNTIF('Elève (4ème5)'!SI9:SK9,"B"))*3)+((COUNTIF('Elève (4ème5)'!SI9:SK9,"C"))*2)+((COUNTIF('Elève (4ème5)'!SI9:SK9,"D"))*1))/(COUNTA(SI9:SK9)),"")</f>
        <v>1</v>
      </c>
      <c r="SM9" s="185" t="str">
        <f t="shared" si="100"/>
        <v>D</v>
      </c>
      <c r="SN9" s="130"/>
      <c r="SO9" s="131" t="s">
        <v>31</v>
      </c>
      <c r="SP9" s="132"/>
      <c r="SQ9" s="132"/>
      <c r="SR9" s="184">
        <f>IFERROR((((COUNTIF('Elève (4ème5)'!SN9:SQ9,"A"))*4)+((COUNTIF('Elève (4ème5)'!SN9:SQ9,"B"))*3)+((COUNTIF('Elève (4ème5)'!SN9:SQ9,"C"))*2)+((COUNTIF('Elève (4ème5)'!SN9:SQ9,"D"))*1))/(COUNTA(SN9:SQ9)),"")</f>
        <v>2</v>
      </c>
      <c r="SS9" s="185" t="str">
        <f t="shared" si="101"/>
        <v>C</v>
      </c>
      <c r="ST9" s="130" t="s">
        <v>30</v>
      </c>
      <c r="SU9" s="131"/>
      <c r="SV9" s="132" t="s">
        <v>29</v>
      </c>
      <c r="SW9" s="132"/>
      <c r="SX9" s="132"/>
      <c r="SY9" s="184">
        <f>IFERROR((((COUNTIF('Elève (4ème5)'!ST9:SX9,"A"))*4)+((COUNTIF('Elève (4ème5)'!ST9:SX9,"B"))*3)+((COUNTIF('Elève (4ème5)'!ST9:SX9,"C"))*2)+((COUNTIF('Elève (4ème5)'!ST9:SX9,"D"))*1))/(COUNTA(ST9:SX9)),"")</f>
        <v>3.5</v>
      </c>
      <c r="SZ9" s="185" t="str">
        <f t="shared" si="102"/>
        <v>B</v>
      </c>
      <c r="TA9" s="184">
        <f>IF(COUNT(SL9,SR9,SY9)=0,"",SUM(SL9,SR9,SY9)/COUNT(SL9,SR9,SY9))</f>
        <v>2.1666666666666665</v>
      </c>
      <c r="TB9" s="207" t="str">
        <f t="shared" si="103"/>
        <v>C</v>
      </c>
      <c r="TC9" s="130" t="s">
        <v>30</v>
      </c>
      <c r="TD9" s="131"/>
      <c r="TE9" s="132"/>
      <c r="TF9" s="184">
        <f>IFERROR((((COUNTIF('Elève (4ème5)'!TC9:TE9,"A"))*4)+((COUNTIF('Elève (4ème5)'!TC9:TE9,"B"))*3)+((COUNTIF('Elève (4ème5)'!TC9:TE9,"C"))*2)+((COUNTIF('Elève (4ème5)'!TC9:TE9,"D"))*1))/(COUNTA(TC9:TE9)),"")</f>
        <v>3</v>
      </c>
      <c r="TG9" s="185" t="str">
        <f t="shared" si="104"/>
        <v>B</v>
      </c>
      <c r="TH9" s="130"/>
      <c r="TI9" s="131"/>
      <c r="TJ9" s="132"/>
      <c r="TK9" s="132"/>
      <c r="TL9" s="184" t="str">
        <f>IFERROR((((COUNTIF('Elève (4ème5)'!TH9:TK9,"A"))*4)+((COUNTIF('Elève (4ème5)'!TH9:TK9,"B"))*3)+((COUNTIF('Elève (4ème5)'!TH9:TK9,"C"))*2)+((COUNTIF('Elève (4ème5)'!TH9:TK9,"D"))*1))/(COUNTA(TH9:TK9)),"")</f>
        <v/>
      </c>
      <c r="TM9" s="185" t="str">
        <f t="shared" si="105"/>
        <v/>
      </c>
      <c r="TN9" s="130" t="s">
        <v>31</v>
      </c>
      <c r="TO9" s="131"/>
      <c r="TP9" s="132"/>
      <c r="TQ9" s="132"/>
      <c r="TR9" s="132"/>
      <c r="TS9" s="184">
        <f>IFERROR((((COUNTIF('Elève (4ème5)'!TN9:TR9,"A"))*4)+((COUNTIF('Elève (4ème5)'!TN9:TR9,"B"))*3)+((COUNTIF('Elève (4ème5)'!TN9:TR9,"C"))*2)+((COUNTIF('Elève (4ème5)'!TN9:TR9,"D"))*1))/(COUNTA(TN9:TR9)),"")</f>
        <v>2</v>
      </c>
      <c r="TT9" s="185" t="str">
        <f t="shared" si="106"/>
        <v>C</v>
      </c>
      <c r="TU9" s="184">
        <f>IF(COUNT(TF9,TL9,TS9)=0,"",SUM(TF9,TL9,TS9)/COUNT(TF9,TL9,TS9))</f>
        <v>2.5</v>
      </c>
      <c r="TV9" s="207" t="str">
        <f t="shared" si="107"/>
        <v>C</v>
      </c>
      <c r="TW9" s="130" t="s">
        <v>30</v>
      </c>
      <c r="TX9" s="131"/>
      <c r="TY9" s="132"/>
      <c r="TZ9" s="184">
        <f>IFERROR((((COUNTIF('Elève (4ème5)'!TW9:TY9,"A"))*4)+((COUNTIF('Elève (4ème5)'!TW9:TY9,"B"))*3)+((COUNTIF('Elève (4ème5)'!TW9:TY9,"C"))*2)+((COUNTIF('Elève (4ème5)'!TW9:TY9,"D"))*1))/(COUNTA(TW9:TY9)),"")</f>
        <v>3</v>
      </c>
      <c r="UA9" s="185" t="str">
        <f t="shared" si="108"/>
        <v>B</v>
      </c>
      <c r="UB9" s="130"/>
      <c r="UC9" s="131" t="s">
        <v>31</v>
      </c>
      <c r="UD9" s="132"/>
      <c r="UE9" s="132"/>
      <c r="UF9" s="184">
        <f>IFERROR((((COUNTIF('Elève (4ème5)'!UB9:UE9,"A"))*4)+((COUNTIF('Elève (4ème5)'!UB9:UE9,"B"))*3)+((COUNTIF('Elève (4ème5)'!UB9:UE9,"C"))*2)+((COUNTIF('Elève (4ème5)'!UB9:UE9,"D"))*1))/(COUNTA(UB9:UE9)),"")</f>
        <v>2</v>
      </c>
      <c r="UG9" s="185" t="str">
        <f t="shared" si="109"/>
        <v>C</v>
      </c>
      <c r="UH9" s="130" t="s">
        <v>31</v>
      </c>
      <c r="UI9" s="131"/>
      <c r="UJ9" s="132" t="s">
        <v>30</v>
      </c>
      <c r="UK9" s="132"/>
      <c r="UL9" s="132"/>
      <c r="UM9" s="184">
        <f>IFERROR((((COUNTIF('Elève (4ème5)'!UH9:UL9,"A"))*4)+((COUNTIF('Elève (4ème5)'!UH9:UL9,"B"))*3)+((COUNTIF('Elève (4ème5)'!UH9:UL9,"C"))*2)+((COUNTIF('Elève (4ème5)'!UH9:UL9,"D"))*1))/(COUNTA(UH9:UL9)),"")</f>
        <v>2.5</v>
      </c>
      <c r="UN9" s="185" t="str">
        <f t="shared" si="110"/>
        <v>C</v>
      </c>
      <c r="UO9" s="184">
        <f>IF(COUNT(TZ9,UF9,UM9)=0,"",SUM(TZ9,UF9,UM9)/COUNT(TZ9,UF9,UM9))</f>
        <v>2.5</v>
      </c>
      <c r="UP9" s="207" t="str">
        <f t="shared" si="111"/>
        <v>C</v>
      </c>
      <c r="UQ9" s="130"/>
      <c r="UR9" s="131"/>
      <c r="US9" s="132"/>
      <c r="UT9" s="133" t="str">
        <f>IFERROR((((COUNTIF('Elève (4ème5)'!UQ9:US9,"A"))*4)+((COUNTIF('Elève (4ème5)'!UQ9:US9,"B"))*3)+((COUNTIF('Elève (4ème5)'!UQ9:US9,"C"))*2)+((COUNTIF('Elève (4ème5)'!UQ9:US9,"D"))*1))/(COUNTA(UQ9:US9)),"")</f>
        <v/>
      </c>
      <c r="UU9" s="134" t="str">
        <f t="shared" si="112"/>
        <v/>
      </c>
      <c r="UV9" s="130"/>
      <c r="UW9" s="131"/>
      <c r="UX9" s="132"/>
      <c r="UY9" s="133" t="str">
        <f>IFERROR((((COUNTIF('Elève (4ème5)'!UV9:UX9,"A"))*4)+((COUNTIF('Elève (4ème5)'!UV9:UX9,"B"))*3)+((COUNTIF('Elève (4ème5)'!UV9:UX9,"C"))*2)+((COUNTIF('Elève (4ème5)'!UV9:UX9,"D"))*1))/(COUNTA(UV9:UX9)),"")</f>
        <v/>
      </c>
      <c r="UZ9" s="134" t="str">
        <f t="shared" si="113"/>
        <v/>
      </c>
      <c r="VA9" s="130"/>
      <c r="VB9" s="131"/>
      <c r="VC9" s="136"/>
      <c r="VD9" s="133" t="str">
        <f>IFERROR((((COUNTIF('Elève (4ème5)'!VA9:VC9,"A"))*4)+((COUNTIF('Elève (4ème5)'!VA9:VC9,"B"))*3)+((COUNTIF('Elève (4ème5)'!VA9:VC9,"C"))*2)+((COUNTIF('Elève (4ème5)'!VA9:VC9,"D"))*1))/(COUNTA(VA9:VC9)),"")</f>
        <v/>
      </c>
      <c r="VE9" s="134" t="str">
        <f t="shared" si="114"/>
        <v/>
      </c>
      <c r="VF9" s="133" t="str">
        <f>IF(COUNT(UT9,UY9,VD9)=0,"",SUM(UT9,UY9,VD9)/COUNT(UT9,UY9,VD9))</f>
        <v/>
      </c>
      <c r="VG9" s="135" t="str">
        <f t="shared" si="115"/>
        <v/>
      </c>
      <c r="VH9" s="130"/>
      <c r="VI9" s="131"/>
      <c r="VJ9" s="132"/>
      <c r="VK9" s="133" t="str">
        <f>IFERROR((((COUNTIF('Elève (4ème5)'!VH9:VJ9,"A"))*4)+((COUNTIF('Elève (4ème5)'!VH9:VJ9,"B"))*3)+((COUNTIF('Elève (4ème5)'!VH9:VJ9,"C"))*2)+((COUNTIF('Elève (4ème5)'!VH9:VJ9,"D"))*1))/(COUNTA(VH9:VJ9)),"")</f>
        <v/>
      </c>
      <c r="VL9" s="134" t="str">
        <f t="shared" si="116"/>
        <v/>
      </c>
      <c r="VM9" s="130"/>
      <c r="VN9" s="131"/>
      <c r="VO9" s="132"/>
      <c r="VP9" s="133" t="str">
        <f>IFERROR((((COUNTIF('Elève (4ème5)'!VM9:VO9,"A"))*4)+((COUNTIF('Elève (4ème5)'!VM9:VO9,"B"))*3)+((COUNTIF('Elève (4ème5)'!VM9:VO9,"C"))*2)+((COUNTIF('Elève (4ème5)'!VM9:VO9,"D"))*1))/(COUNTA(VM9:VO9)),"")</f>
        <v/>
      </c>
      <c r="VQ9" s="134" t="str">
        <f t="shared" si="117"/>
        <v/>
      </c>
      <c r="VR9" s="130"/>
      <c r="VS9" s="131"/>
      <c r="VT9" s="136"/>
      <c r="VU9" s="133" t="str">
        <f>IFERROR((((COUNTIF('Elève (4ème5)'!VR9:VT9,"A"))*4)+((COUNTIF('Elève (4ème5)'!VR9:VT9,"B"))*3)+((COUNTIF('Elève (4ème5)'!VR9:VT9,"C"))*2)+((COUNTIF('Elève (4ème5)'!VR9:VT9,"D"))*1))/(COUNTA(VR9:VT9)),"")</f>
        <v/>
      </c>
      <c r="VV9" s="134" t="str">
        <f t="shared" si="118"/>
        <v/>
      </c>
      <c r="VW9" s="133" t="str">
        <f>IF(COUNT(VK9,VP9,VU9)=0,"",SUM(VK9,VP9,VU9)/COUNT(VK9,VP9,VU9))</f>
        <v/>
      </c>
      <c r="VX9" s="135" t="str">
        <f t="shared" si="119"/>
        <v/>
      </c>
    </row>
    <row r="10" spans="1:596" s="138" customFormat="1" ht="17.25" customHeight="1" thickBot="1" x14ac:dyDescent="0.6">
      <c r="A10" s="164" t="s">
        <v>17</v>
      </c>
      <c r="B10" s="103">
        <v>1</v>
      </c>
      <c r="C10" s="172"/>
      <c r="D10" s="110"/>
      <c r="E10" s="111"/>
      <c r="F10" s="178">
        <f>IF(COUNT(F11:F12)=0,"",SUM(F11:F12)/COUNT(F11:F12))</f>
        <v>4</v>
      </c>
      <c r="G10" s="179" t="str">
        <f t="shared" si="0"/>
        <v>A</v>
      </c>
      <c r="H10" s="172"/>
      <c r="I10" s="110"/>
      <c r="J10" s="110"/>
      <c r="K10" s="111"/>
      <c r="L10" s="178">
        <f>IF(COUNT(L11,L12)=0,"",SUM(L11:L12)/COUNT(L11,L12))</f>
        <v>3.5</v>
      </c>
      <c r="M10" s="194" t="str">
        <f t="shared" si="1"/>
        <v>B</v>
      </c>
      <c r="N10" s="172"/>
      <c r="O10" s="110"/>
      <c r="P10" s="110"/>
      <c r="Q10" s="110"/>
      <c r="R10" s="110"/>
      <c r="S10" s="178">
        <f>IF(COUNT(S11,S12)=0,"",SUM(S11:S12)/COUNT(S11,S12))</f>
        <v>4</v>
      </c>
      <c r="T10" s="202" t="str">
        <f t="shared" si="2"/>
        <v>A</v>
      </c>
      <c r="U10" s="203">
        <f>IF(COUNT(U11:U12)=0,"",SUM(U11:U12)/COUNT(U11:U12))</f>
        <v>3.916666666666667</v>
      </c>
      <c r="V10" s="204" t="str">
        <f t="shared" si="3"/>
        <v>A</v>
      </c>
      <c r="W10" s="214"/>
      <c r="X10" s="110"/>
      <c r="Y10" s="111"/>
      <c r="Z10" s="178">
        <f>IF(COUNT(Z11:Z12)=0,"",SUM(Z11:Z12)/COUNT(Z11:Z12))</f>
        <v>2</v>
      </c>
      <c r="AA10" s="179" t="str">
        <f t="shared" si="4"/>
        <v>C</v>
      </c>
      <c r="AB10" s="172"/>
      <c r="AC10" s="110"/>
      <c r="AD10" s="110"/>
      <c r="AE10" s="111"/>
      <c r="AF10" s="178">
        <f>IF(COUNT(AF11,AF12)=0,"",SUM(AF11:AF12)/COUNT(AF11,AF12))</f>
        <v>3</v>
      </c>
      <c r="AG10" s="194" t="str">
        <f t="shared" si="5"/>
        <v>B</v>
      </c>
      <c r="AH10" s="172"/>
      <c r="AI10" s="110"/>
      <c r="AJ10" s="110"/>
      <c r="AK10" s="110"/>
      <c r="AL10" s="110"/>
      <c r="AM10" s="178">
        <f>IF(COUNT(AM11,AM12)=0,"",SUM(AM11:AM12)/COUNT(AM11,AM12))</f>
        <v>4</v>
      </c>
      <c r="AN10" s="202" t="str">
        <f t="shared" si="6"/>
        <v>A</v>
      </c>
      <c r="AO10" s="203">
        <f>IF(COUNT(AO11:AO12)=0,"",SUM(AO11:AO12)/COUNT(AO11:AO12))</f>
        <v>3.5</v>
      </c>
      <c r="AP10" s="204" t="str">
        <f t="shared" si="7"/>
        <v>B</v>
      </c>
      <c r="AQ10" s="214"/>
      <c r="AR10" s="110"/>
      <c r="AS10" s="111"/>
      <c r="AT10" s="178">
        <f>IF(COUNT(AT11:AT12)=0,"",SUM(AT11:AT12)/COUNT(AT11:AT12))</f>
        <v>3</v>
      </c>
      <c r="AU10" s="179" t="str">
        <f t="shared" si="8"/>
        <v>B</v>
      </c>
      <c r="AV10" s="172"/>
      <c r="AW10" s="110"/>
      <c r="AX10" s="110"/>
      <c r="AY10" s="111"/>
      <c r="AZ10" s="178">
        <f>IF(COUNT(AZ11,AZ12)=0,"",SUM(AZ11:AZ12)/COUNT(AZ11,AZ12))</f>
        <v>3</v>
      </c>
      <c r="BA10" s="194" t="str">
        <f t="shared" si="9"/>
        <v>B</v>
      </c>
      <c r="BB10" s="172"/>
      <c r="BC10" s="110"/>
      <c r="BD10" s="110"/>
      <c r="BE10" s="110"/>
      <c r="BF10" s="110"/>
      <c r="BG10" s="178">
        <f>IF(COUNT(BG11,BG12)=0,"",SUM(BG11:BG12)/COUNT(BG11,BG12))</f>
        <v>3.833333333333333</v>
      </c>
      <c r="BH10" s="202" t="str">
        <f t="shared" si="10"/>
        <v>A</v>
      </c>
      <c r="BI10" s="203">
        <f>IF(COUNT(BI11:BI12)=0,"",SUM(BI11:BI12)/COUNT(BI11:BI12))</f>
        <v>3.6111111111111107</v>
      </c>
      <c r="BJ10" s="204" t="str">
        <f t="shared" si="11"/>
        <v>B</v>
      </c>
      <c r="BK10" s="214"/>
      <c r="BL10" s="110"/>
      <c r="BM10" s="111"/>
      <c r="BN10" s="178">
        <f>IF(COUNT(BN11:BN12)=0,"",SUM(BN11:BN12)/COUNT(BN11:BN12))</f>
        <v>4</v>
      </c>
      <c r="BO10" s="179" t="str">
        <f t="shared" si="12"/>
        <v>A</v>
      </c>
      <c r="BP10" s="172"/>
      <c r="BQ10" s="110"/>
      <c r="BR10" s="110"/>
      <c r="BS10" s="111"/>
      <c r="BT10" s="178">
        <f>IF(COUNT(BT11,BT12)=0,"",SUM(BT11:BT12)/COUNT(BT11,BT12))</f>
        <v>3.5</v>
      </c>
      <c r="BU10" s="194" t="str">
        <f t="shared" si="13"/>
        <v>B</v>
      </c>
      <c r="BV10" s="172"/>
      <c r="BW10" s="110"/>
      <c r="BX10" s="110"/>
      <c r="BY10" s="110"/>
      <c r="BZ10" s="110"/>
      <c r="CA10" s="178">
        <f>IF(COUNT(CA11,CA12)=0,"",SUM(CA11:CA12)/COUNT(CA11,CA12))</f>
        <v>4</v>
      </c>
      <c r="CB10" s="202" t="str">
        <f t="shared" si="14"/>
        <v>A</v>
      </c>
      <c r="CC10" s="203">
        <f>IF(COUNT(CC11:CC12)=0,"",SUM(CC11:CC12)/COUNT(CC11:CC12))</f>
        <v>3.916666666666667</v>
      </c>
      <c r="CD10" s="204" t="str">
        <f t="shared" si="15"/>
        <v>A</v>
      </c>
      <c r="CE10" s="214"/>
      <c r="CF10" s="110"/>
      <c r="CG10" s="111"/>
      <c r="CH10" s="178">
        <f>IF(COUNT(CH11:CH12)=0,"",SUM(CH11:CH12)/COUNT(CH11:CH12))</f>
        <v>3</v>
      </c>
      <c r="CI10" s="179" t="str">
        <f t="shared" si="16"/>
        <v>B</v>
      </c>
      <c r="CJ10" s="172"/>
      <c r="CK10" s="110"/>
      <c r="CL10" s="110"/>
      <c r="CM10" s="111"/>
      <c r="CN10" s="178">
        <f>IF(COUNT(CN11,CN12)=0,"",SUM(CN11:CN12)/COUNT(CN11,CN12))</f>
        <v>2.5</v>
      </c>
      <c r="CO10" s="194" t="str">
        <f t="shared" si="17"/>
        <v>C</v>
      </c>
      <c r="CP10" s="172"/>
      <c r="CQ10" s="110"/>
      <c r="CR10" s="110"/>
      <c r="CS10" s="110"/>
      <c r="CT10" s="110"/>
      <c r="CU10" s="178">
        <f>IF(COUNT(CU11,CU12)=0,"",SUM(CU11:CU12)/COUNT(CU11,CU12))</f>
        <v>3.166666666666667</v>
      </c>
      <c r="CV10" s="202" t="str">
        <f t="shared" si="18"/>
        <v>B</v>
      </c>
      <c r="CW10" s="203">
        <f>IF(COUNT(CW11:CW12)=0,"",SUM(CW11:CW12)/COUNT(CW11:CW12))</f>
        <v>2.9722222222222223</v>
      </c>
      <c r="CX10" s="204" t="str">
        <f t="shared" si="19"/>
        <v>B</v>
      </c>
      <c r="CY10" s="214"/>
      <c r="CZ10" s="110"/>
      <c r="DA10" s="111"/>
      <c r="DB10" s="178">
        <f>IF(COUNT(DB11:DB12)=0,"",SUM(DB11:DB12)/COUNT(DB11:DB12))</f>
        <v>4</v>
      </c>
      <c r="DC10" s="179" t="str">
        <f t="shared" si="20"/>
        <v>A</v>
      </c>
      <c r="DD10" s="172"/>
      <c r="DE10" s="110"/>
      <c r="DF10" s="110"/>
      <c r="DG10" s="111"/>
      <c r="DH10" s="178">
        <f>IF(COUNT(DH11,DH12)=0,"",SUM(DH11:DH12)/COUNT(DH11,DH12))</f>
        <v>3</v>
      </c>
      <c r="DI10" s="194" t="str">
        <f t="shared" si="21"/>
        <v>B</v>
      </c>
      <c r="DJ10" s="172"/>
      <c r="DK10" s="110"/>
      <c r="DL10" s="110"/>
      <c r="DM10" s="110"/>
      <c r="DN10" s="110"/>
      <c r="DO10" s="178">
        <f>IF(COUNT(DO11,DO12)=0,"",SUM(DO11:DO12)/COUNT(DO11,DO12))</f>
        <v>4</v>
      </c>
      <c r="DP10" s="202" t="str">
        <f t="shared" si="22"/>
        <v>A</v>
      </c>
      <c r="DQ10" s="203">
        <f>IF(COUNT(DQ11:DQ12)=0,"",SUM(DQ11:DQ12)/COUNT(DQ11:DQ12))</f>
        <v>3.833333333333333</v>
      </c>
      <c r="DR10" s="204" t="str">
        <f t="shared" si="23"/>
        <v>A</v>
      </c>
      <c r="DS10" s="214"/>
      <c r="DT10" s="110"/>
      <c r="DU10" s="111"/>
      <c r="DV10" s="178">
        <f>IF(COUNT(DV11:DV12)=0,"",SUM(DV11:DV12)/COUNT(DV11:DV12))</f>
        <v>2</v>
      </c>
      <c r="DW10" s="179" t="str">
        <f t="shared" si="24"/>
        <v>C</v>
      </c>
      <c r="DX10" s="172"/>
      <c r="DY10" s="110"/>
      <c r="DZ10" s="110"/>
      <c r="EA10" s="111"/>
      <c r="EB10" s="178">
        <f>IF(COUNT(EB11,EB12)=0,"",SUM(EB11:EB12)/COUNT(EB11,EB12))</f>
        <v>3</v>
      </c>
      <c r="EC10" s="194" t="str">
        <f t="shared" si="25"/>
        <v>B</v>
      </c>
      <c r="ED10" s="172"/>
      <c r="EE10" s="110"/>
      <c r="EF10" s="110"/>
      <c r="EG10" s="110"/>
      <c r="EH10" s="110"/>
      <c r="EI10" s="178">
        <f>IF(COUNT(EI11,EI12)=0,"",SUM(EI11:EI12)/COUNT(EI11,EI12))</f>
        <v>3.833333333333333</v>
      </c>
      <c r="EJ10" s="202" t="str">
        <f t="shared" si="26"/>
        <v>A</v>
      </c>
      <c r="EK10" s="203">
        <f>IF(COUNT(EK11:EK12)=0,"",SUM(EK11:EK12)/COUNT(EK11:EK12))</f>
        <v>3.4444444444444446</v>
      </c>
      <c r="EL10" s="204" t="str">
        <f t="shared" si="27"/>
        <v>B</v>
      </c>
      <c r="EM10" s="214"/>
      <c r="EN10" s="110"/>
      <c r="EO10" s="111"/>
      <c r="EP10" s="178">
        <f>IF(COUNT(EP11:EP12)=0,"",SUM(EP11:EP12)/COUNT(EP11:EP12))</f>
        <v>4</v>
      </c>
      <c r="EQ10" s="179" t="str">
        <f t="shared" si="28"/>
        <v>A</v>
      </c>
      <c r="ER10" s="172"/>
      <c r="ES10" s="110"/>
      <c r="ET10" s="110"/>
      <c r="EU10" s="111"/>
      <c r="EV10" s="178">
        <f>IF(COUNT(EV11,EV12)=0,"",SUM(EV11:EV12)/COUNT(EV11,EV12))</f>
        <v>3</v>
      </c>
      <c r="EW10" s="194" t="str">
        <f t="shared" si="29"/>
        <v>B</v>
      </c>
      <c r="EX10" s="172"/>
      <c r="EY10" s="110"/>
      <c r="EZ10" s="110"/>
      <c r="FA10" s="110"/>
      <c r="FB10" s="110"/>
      <c r="FC10" s="178">
        <f>IF(COUNT(FC11,FC12)=0,"",SUM(FC11:FC12)/COUNT(FC11,FC12))</f>
        <v>3.833333333333333</v>
      </c>
      <c r="FD10" s="202" t="str">
        <f t="shared" si="30"/>
        <v>A</v>
      </c>
      <c r="FE10" s="203">
        <f>IF(COUNT(FE11:FE12)=0,"",SUM(FE11:FE12)/COUNT(FE11:FE12))</f>
        <v>3.7777777777777777</v>
      </c>
      <c r="FF10" s="204" t="str">
        <f t="shared" si="31"/>
        <v>A</v>
      </c>
      <c r="FG10" s="214"/>
      <c r="FH10" s="110"/>
      <c r="FI10" s="111"/>
      <c r="FJ10" s="178">
        <f>IF(COUNT(FJ11:FJ12)=0,"",SUM(FJ11:FJ12)/COUNT(FJ11:FJ12))</f>
        <v>2</v>
      </c>
      <c r="FK10" s="179" t="str">
        <f t="shared" si="32"/>
        <v>C</v>
      </c>
      <c r="FL10" s="172"/>
      <c r="FM10" s="110"/>
      <c r="FN10" s="110"/>
      <c r="FO10" s="111"/>
      <c r="FP10" s="178">
        <f>IF(COUNT(FP11,FP12)=0,"",SUM(FP11:FP12)/COUNT(FP11,FP12))</f>
        <v>3</v>
      </c>
      <c r="FQ10" s="194" t="str">
        <f t="shared" si="33"/>
        <v>B</v>
      </c>
      <c r="FR10" s="172"/>
      <c r="FS10" s="110"/>
      <c r="FT10" s="110"/>
      <c r="FU10" s="110"/>
      <c r="FV10" s="110"/>
      <c r="FW10" s="178">
        <f>IF(COUNT(FW11,FW12)=0,"",SUM(FW11:FW12)/COUNT(FW11,FW12))</f>
        <v>3.166666666666667</v>
      </c>
      <c r="FX10" s="202" t="str">
        <f t="shared" si="34"/>
        <v>B</v>
      </c>
      <c r="FY10" s="203">
        <f>IF(COUNT(FY11:FY12)=0,"",SUM(FY11:FY12)/COUNT(FY11:FY12))</f>
        <v>2.8888888888888893</v>
      </c>
      <c r="FZ10" s="204" t="str">
        <f t="shared" si="35"/>
        <v>B</v>
      </c>
      <c r="GA10" s="214"/>
      <c r="GB10" s="110"/>
      <c r="GC10" s="111"/>
      <c r="GD10" s="178">
        <f>IF(COUNT(GD11:GD12)=0,"",SUM(GD11:GD12)/COUNT(GD11:GD12))</f>
        <v>4</v>
      </c>
      <c r="GE10" s="179" t="str">
        <f t="shared" si="36"/>
        <v>A</v>
      </c>
      <c r="GF10" s="172"/>
      <c r="GG10" s="110"/>
      <c r="GH10" s="110"/>
      <c r="GI10" s="111"/>
      <c r="GJ10" s="178">
        <f>IF(COUNT(GJ11,GJ12)=0,"",SUM(GJ11:GJ12)/COUNT(GJ11,GJ12))</f>
        <v>3.5</v>
      </c>
      <c r="GK10" s="194" t="str">
        <f t="shared" si="37"/>
        <v>B</v>
      </c>
      <c r="GL10" s="172"/>
      <c r="GM10" s="110"/>
      <c r="GN10" s="110"/>
      <c r="GO10" s="110"/>
      <c r="GP10" s="110"/>
      <c r="GQ10" s="178">
        <f>IF(COUNT(GQ11,GQ12)=0,"",SUM(GQ11:GQ12)/COUNT(GQ11,GQ12))</f>
        <v>4</v>
      </c>
      <c r="GR10" s="202" t="str">
        <f t="shared" si="38"/>
        <v>A</v>
      </c>
      <c r="GS10" s="203">
        <f>IF(COUNT(GS11:GS12)=0,"",SUM(GS11:GS12)/COUNT(GS11:GS12))</f>
        <v>3.916666666666667</v>
      </c>
      <c r="GT10" s="204" t="str">
        <f t="shared" si="39"/>
        <v>A</v>
      </c>
      <c r="GU10" s="214"/>
      <c r="GV10" s="110"/>
      <c r="GW10" s="111"/>
      <c r="GX10" s="178">
        <f>IF(COUNT(GX11:GX12)=0,"",SUM(GX11:GX12)/COUNT(GX11:GX12))</f>
        <v>3</v>
      </c>
      <c r="GY10" s="179" t="str">
        <f t="shared" si="40"/>
        <v>B</v>
      </c>
      <c r="GZ10" s="172"/>
      <c r="HA10" s="110"/>
      <c r="HB10" s="110"/>
      <c r="HC10" s="111"/>
      <c r="HD10" s="178">
        <f>IF(COUNT(HD11,HD12)=0,"",SUM(HD11:HD12)/COUNT(HD11,HD12))</f>
        <v>3</v>
      </c>
      <c r="HE10" s="194" t="str">
        <f t="shared" si="41"/>
        <v>B</v>
      </c>
      <c r="HF10" s="172"/>
      <c r="HG10" s="110"/>
      <c r="HH10" s="110"/>
      <c r="HI10" s="110"/>
      <c r="HJ10" s="110"/>
      <c r="HK10" s="178">
        <f>IF(COUNT(HK11,HK12)=0,"",SUM(HK11:HK12)/COUNT(HK11,HK12))</f>
        <v>3.5</v>
      </c>
      <c r="HL10" s="202" t="str">
        <f t="shared" si="42"/>
        <v>B</v>
      </c>
      <c r="HM10" s="203">
        <f>IF(COUNT(HM11:HM12)=0,"",SUM(HM11:HM12)/COUNT(HM11:HM12))</f>
        <v>3.5</v>
      </c>
      <c r="HN10" s="204" t="str">
        <f t="shared" si="43"/>
        <v>B</v>
      </c>
      <c r="HO10" s="214"/>
      <c r="HP10" s="110"/>
      <c r="HQ10" s="111"/>
      <c r="HR10" s="178">
        <f>IF(COUNT(HR11:HR12)=0,"",SUM(HR11:HR12)/COUNT(HR11:HR12))</f>
        <v>4</v>
      </c>
      <c r="HS10" s="179" t="str">
        <f t="shared" si="44"/>
        <v>A</v>
      </c>
      <c r="HT10" s="172"/>
      <c r="HU10" s="110"/>
      <c r="HV10" s="110"/>
      <c r="HW10" s="111"/>
      <c r="HX10" s="178">
        <f>IF(COUNT(HX11,HX12)=0,"",SUM(HX11:HX12)/COUNT(HX11,HX12))</f>
        <v>3</v>
      </c>
      <c r="HY10" s="194" t="str">
        <f t="shared" si="45"/>
        <v>B</v>
      </c>
      <c r="HZ10" s="172"/>
      <c r="IA10" s="110"/>
      <c r="IB10" s="110"/>
      <c r="IC10" s="110"/>
      <c r="ID10" s="110"/>
      <c r="IE10" s="178">
        <f>IF(COUNT(IE11,IE12)=0,"",SUM(IE11:IE12)/COUNT(IE11,IE12))</f>
        <v>3.833333333333333</v>
      </c>
      <c r="IF10" s="202" t="str">
        <f t="shared" si="46"/>
        <v>A</v>
      </c>
      <c r="IG10" s="203">
        <f>IF(COUNT(IG11:IG12)=0,"",SUM(IG11:IG12)/COUNT(IG11:IG12))</f>
        <v>3.7777777777777777</v>
      </c>
      <c r="IH10" s="204" t="str">
        <f t="shared" si="47"/>
        <v>A</v>
      </c>
      <c r="II10" s="214"/>
      <c r="IJ10" s="110"/>
      <c r="IK10" s="111"/>
      <c r="IL10" s="178">
        <f>IF(COUNT(IL11:IL12)=0,"",SUM(IL11:IL12)/COUNT(IL11:IL12))</f>
        <v>4</v>
      </c>
      <c r="IM10" s="179" t="str">
        <f t="shared" si="48"/>
        <v>A</v>
      </c>
      <c r="IN10" s="172"/>
      <c r="IO10" s="110"/>
      <c r="IP10" s="110"/>
      <c r="IQ10" s="111"/>
      <c r="IR10" s="178">
        <f>IF(COUNT(IR11,IR12)=0,"",SUM(IR11:IR12)/COUNT(IR11,IR12))</f>
        <v>3.5</v>
      </c>
      <c r="IS10" s="194" t="str">
        <f t="shared" si="49"/>
        <v>B</v>
      </c>
      <c r="IT10" s="172"/>
      <c r="IU10" s="110"/>
      <c r="IV10" s="110"/>
      <c r="IW10" s="110"/>
      <c r="IX10" s="110"/>
      <c r="IY10" s="178">
        <f>IF(COUNT(IY11,IY12)=0,"",SUM(IY11:IY12)/COUNT(IY11,IY12))</f>
        <v>2</v>
      </c>
      <c r="IZ10" s="202" t="str">
        <f t="shared" si="50"/>
        <v>C</v>
      </c>
      <c r="JA10" s="203">
        <f>IF(COUNT(JA11:JA12)=0,"",SUM(JA11:JA12)/COUNT(JA11:JA12))</f>
        <v>2.25</v>
      </c>
      <c r="JB10" s="204" t="str">
        <f t="shared" si="51"/>
        <v>C</v>
      </c>
      <c r="JC10" s="214"/>
      <c r="JD10" s="110"/>
      <c r="JE10" s="111"/>
      <c r="JF10" s="178">
        <f>IF(COUNT(JF11:JF12)=0,"",SUM(JF11:JF12)/COUNT(JF11:JF12))</f>
        <v>3</v>
      </c>
      <c r="JG10" s="179" t="str">
        <f t="shared" si="52"/>
        <v>B</v>
      </c>
      <c r="JH10" s="172"/>
      <c r="JI10" s="110"/>
      <c r="JJ10" s="110"/>
      <c r="JK10" s="111"/>
      <c r="JL10" s="178">
        <f>IF(COUNT(JL11,JL12)=0,"",SUM(JL11:JL12)/COUNT(JL11,JL12))</f>
        <v>3</v>
      </c>
      <c r="JM10" s="194" t="str">
        <f t="shared" si="53"/>
        <v>B</v>
      </c>
      <c r="JN10" s="172"/>
      <c r="JO10" s="110"/>
      <c r="JP10" s="110"/>
      <c r="JQ10" s="110"/>
      <c r="JR10" s="110"/>
      <c r="JS10" s="178">
        <f>IF(COUNT(JS11,JS12)=0,"",SUM(JS11:JS12)/COUNT(JS11,JS12))</f>
        <v>4</v>
      </c>
      <c r="JT10" s="202" t="str">
        <f t="shared" si="54"/>
        <v>A</v>
      </c>
      <c r="JU10" s="203">
        <f>IF(COUNT(JU11:JU12)=0,"",SUM(JU11:JU12)/COUNT(JU11:JU12))</f>
        <v>3.666666666666667</v>
      </c>
      <c r="JV10" s="204" t="str">
        <f t="shared" si="55"/>
        <v>B</v>
      </c>
      <c r="JW10" s="214"/>
      <c r="JX10" s="110"/>
      <c r="JY10" s="111"/>
      <c r="JZ10" s="178">
        <f>IF(COUNT(JZ11:JZ12)=0,"",SUM(JZ11:JZ12)/COUNT(JZ11:JZ12))</f>
        <v>2</v>
      </c>
      <c r="KA10" s="179" t="str">
        <f t="shared" si="56"/>
        <v>C</v>
      </c>
      <c r="KB10" s="172"/>
      <c r="KC10" s="110"/>
      <c r="KD10" s="110"/>
      <c r="KE10" s="111"/>
      <c r="KF10" s="178">
        <f>IF(COUNT(KF11,KF12)=0,"",SUM(KF11:KF12)/COUNT(KF11,KF12))</f>
        <v>3.5</v>
      </c>
      <c r="KG10" s="194" t="str">
        <f t="shared" si="57"/>
        <v>B</v>
      </c>
      <c r="KH10" s="172"/>
      <c r="KI10" s="110"/>
      <c r="KJ10" s="110"/>
      <c r="KK10" s="110"/>
      <c r="KL10" s="110"/>
      <c r="KM10" s="178">
        <f>IF(COUNT(KM11,KM12)=0,"",SUM(KM11:KM12)/COUNT(KM11,KM12))</f>
        <v>3.833333333333333</v>
      </c>
      <c r="KN10" s="202" t="str">
        <f t="shared" si="58"/>
        <v>A</v>
      </c>
      <c r="KO10" s="203">
        <f>IF(COUNT(KO11:KO12)=0,"",SUM(KO11:KO12)/COUNT(KO11:KO12))</f>
        <v>3.5277777777777777</v>
      </c>
      <c r="KP10" s="204" t="str">
        <f t="shared" si="59"/>
        <v>B</v>
      </c>
      <c r="KQ10" s="214"/>
      <c r="KR10" s="110"/>
      <c r="KS10" s="111"/>
      <c r="KT10" s="178">
        <f>IF(COUNT(KT11:KT12)=0,"",SUM(KT11:KT12)/COUNT(KT11:KT12))</f>
        <v>3</v>
      </c>
      <c r="KU10" s="179" t="str">
        <f t="shared" si="60"/>
        <v>B</v>
      </c>
      <c r="KV10" s="172"/>
      <c r="KW10" s="110"/>
      <c r="KX10" s="110"/>
      <c r="KY10" s="111"/>
      <c r="KZ10" s="178">
        <f>IF(COUNT(KZ11,KZ12)=0,"",SUM(KZ11:KZ12)/COUNT(KZ11,KZ12))</f>
        <v>3</v>
      </c>
      <c r="LA10" s="194" t="str">
        <f t="shared" si="61"/>
        <v>B</v>
      </c>
      <c r="LB10" s="172"/>
      <c r="LC10" s="110"/>
      <c r="LD10" s="110"/>
      <c r="LE10" s="110"/>
      <c r="LF10" s="110"/>
      <c r="LG10" s="178">
        <f>IF(COUNT(LG11,LG12)=0,"",SUM(LG11:LG12)/COUNT(LG11,LG12))</f>
        <v>3.5</v>
      </c>
      <c r="LH10" s="202" t="str">
        <f t="shared" si="62"/>
        <v>B</v>
      </c>
      <c r="LI10" s="203">
        <f>IF(COUNT(LI11:LI12)=0,"",SUM(LI11:LI12)/COUNT(LI11:LI12))</f>
        <v>3.166666666666667</v>
      </c>
      <c r="LJ10" s="204" t="str">
        <f t="shared" si="63"/>
        <v>B</v>
      </c>
      <c r="LK10" s="214"/>
      <c r="LL10" s="110"/>
      <c r="LM10" s="111"/>
      <c r="LN10" s="178" t="str">
        <f>IF(COUNT(LN11:LN12)=0,"",SUM(LN11:LN12)/COUNT(LN11:LN12))</f>
        <v/>
      </c>
      <c r="LO10" s="179" t="str">
        <f t="shared" si="64"/>
        <v/>
      </c>
      <c r="LP10" s="172"/>
      <c r="LQ10" s="110"/>
      <c r="LR10" s="110"/>
      <c r="LS10" s="111"/>
      <c r="LT10" s="178" t="str">
        <f>IF(COUNT(LT11,LT12)=0,"",SUM(LT11:LT12)/COUNT(LT11,LT12))</f>
        <v/>
      </c>
      <c r="LU10" s="194" t="str">
        <f t="shared" si="65"/>
        <v/>
      </c>
      <c r="LV10" s="172"/>
      <c r="LW10" s="110"/>
      <c r="LX10" s="110"/>
      <c r="LY10" s="110"/>
      <c r="LZ10" s="110"/>
      <c r="MA10" s="178" t="str">
        <f>IF(COUNT(MA11,MA12)=0,"",SUM(MA11:MA12)/COUNT(MA11,MA12))</f>
        <v/>
      </c>
      <c r="MB10" s="202" t="str">
        <f t="shared" si="66"/>
        <v/>
      </c>
      <c r="MC10" s="203" t="str">
        <f>IF(COUNT(MC11:MC12)=0,"",SUM(MC11:MC12)/COUNT(MC11:MC12))</f>
        <v/>
      </c>
      <c r="MD10" s="204" t="str">
        <f t="shared" si="67"/>
        <v/>
      </c>
      <c r="ME10" s="214"/>
      <c r="MF10" s="110"/>
      <c r="MG10" s="111"/>
      <c r="MH10" s="178">
        <f>IF(COUNT(MH11:MH12)=0,"",SUM(MH11:MH12)/COUNT(MH11:MH12))</f>
        <v>2</v>
      </c>
      <c r="MI10" s="179" t="str">
        <f t="shared" si="68"/>
        <v>C</v>
      </c>
      <c r="MJ10" s="172"/>
      <c r="MK10" s="110"/>
      <c r="ML10" s="110"/>
      <c r="MM10" s="111"/>
      <c r="MN10" s="178">
        <f>IF(COUNT(MN11,MN12)=0,"",SUM(MN11:MN12)/COUNT(MN11,MN12))</f>
        <v>3.5</v>
      </c>
      <c r="MO10" s="194" t="str">
        <f t="shared" si="69"/>
        <v>B</v>
      </c>
      <c r="MP10" s="172"/>
      <c r="MQ10" s="110"/>
      <c r="MR10" s="110"/>
      <c r="MS10" s="110"/>
      <c r="MT10" s="110"/>
      <c r="MU10" s="178">
        <f>IF(COUNT(MU11,MU12)=0,"",SUM(MU11:MU12)/COUNT(MU11,MU12))</f>
        <v>4</v>
      </c>
      <c r="MV10" s="202" t="str">
        <f t="shared" si="70"/>
        <v>A</v>
      </c>
      <c r="MW10" s="203">
        <f>IF(COUNT(MW11:MW12)=0,"",SUM(MW11:MW12)/COUNT(MW11:MW12))</f>
        <v>3.583333333333333</v>
      </c>
      <c r="MX10" s="204" t="str">
        <f t="shared" si="71"/>
        <v>B</v>
      </c>
      <c r="MY10" s="214"/>
      <c r="MZ10" s="110"/>
      <c r="NA10" s="111"/>
      <c r="NB10" s="178">
        <f>IF(COUNT(NB11:NB12)=0,"",SUM(NB11:NB12)/COUNT(NB11:NB12))</f>
        <v>1</v>
      </c>
      <c r="NC10" s="179" t="str">
        <f t="shared" si="72"/>
        <v>D</v>
      </c>
      <c r="ND10" s="172"/>
      <c r="NE10" s="110"/>
      <c r="NF10" s="110"/>
      <c r="NG10" s="111"/>
      <c r="NH10" s="178">
        <f>IF(COUNT(NH11,NH12)=0,"",SUM(NH11:NH12)/COUNT(NH11,NH12))</f>
        <v>3.5</v>
      </c>
      <c r="NI10" s="194" t="str">
        <f t="shared" si="73"/>
        <v>B</v>
      </c>
      <c r="NJ10" s="172"/>
      <c r="NK10" s="110"/>
      <c r="NL10" s="110"/>
      <c r="NM10" s="110"/>
      <c r="NN10" s="110"/>
      <c r="NO10" s="178">
        <f>IF(COUNT(NO11,NO12)=0,"",SUM(NO11:NO12)/COUNT(NO11,NO12))</f>
        <v>3.833333333333333</v>
      </c>
      <c r="NP10" s="202" t="str">
        <f t="shared" si="74"/>
        <v>A</v>
      </c>
      <c r="NQ10" s="203">
        <f>IF(COUNT(NQ11:NQ12)=0,"",SUM(NQ11:NQ12)/COUNT(NQ11:NQ12))</f>
        <v>3.3611111111111107</v>
      </c>
      <c r="NR10" s="204" t="str">
        <f t="shared" si="75"/>
        <v>B</v>
      </c>
      <c r="NS10" s="214"/>
      <c r="NT10" s="110"/>
      <c r="NU10" s="111"/>
      <c r="NV10" s="178">
        <f>IF(COUNT(NV11:NV12)=0,"",SUM(NV11:NV12)/COUNT(NV11:NV12))</f>
        <v>3</v>
      </c>
      <c r="NW10" s="179" t="str">
        <f t="shared" si="76"/>
        <v>B</v>
      </c>
      <c r="NX10" s="172"/>
      <c r="NY10" s="110"/>
      <c r="NZ10" s="110"/>
      <c r="OA10" s="111"/>
      <c r="OB10" s="178">
        <f>IF(COUNT(OB11,OB12)=0,"",SUM(OB11:OB12)/COUNT(OB11,OB12))</f>
        <v>2.5</v>
      </c>
      <c r="OC10" s="194" t="str">
        <f t="shared" si="77"/>
        <v>C</v>
      </c>
      <c r="OD10" s="172"/>
      <c r="OE10" s="110"/>
      <c r="OF10" s="110"/>
      <c r="OG10" s="110"/>
      <c r="OH10" s="110"/>
      <c r="OI10" s="178">
        <f>IF(COUNT(OI11,OI12)=0,"",SUM(OI11:OI12)/COUNT(OI11,OI12))</f>
        <v>4</v>
      </c>
      <c r="OJ10" s="202" t="str">
        <f t="shared" si="78"/>
        <v>A</v>
      </c>
      <c r="OK10" s="203">
        <f>IF(COUNT(OK11:OK12)=0,"",SUM(OK11:OK12)/COUNT(OK11:OK12))</f>
        <v>3.583333333333333</v>
      </c>
      <c r="OL10" s="204" t="str">
        <f t="shared" si="79"/>
        <v>B</v>
      </c>
      <c r="OM10" s="214"/>
      <c r="ON10" s="110"/>
      <c r="OO10" s="111"/>
      <c r="OP10" s="178">
        <f>IF(COUNT(OP11:OP12)=0,"",SUM(OP11:OP12)/COUNT(OP11:OP12))</f>
        <v>3</v>
      </c>
      <c r="OQ10" s="179" t="str">
        <f t="shared" si="80"/>
        <v>B</v>
      </c>
      <c r="OR10" s="172"/>
      <c r="OS10" s="110"/>
      <c r="OT10" s="110"/>
      <c r="OU10" s="111"/>
      <c r="OV10" s="178">
        <f>IF(COUNT(OV11,OV12)=0,"",SUM(OV11:OV12)/COUNT(OV11,OV12))</f>
        <v>3.5</v>
      </c>
      <c r="OW10" s="194" t="str">
        <f t="shared" si="81"/>
        <v>B</v>
      </c>
      <c r="OX10" s="172"/>
      <c r="OY10" s="110"/>
      <c r="OZ10" s="110"/>
      <c r="PA10" s="110"/>
      <c r="PB10" s="110"/>
      <c r="PC10" s="178">
        <f>IF(COUNT(PC11,PC12)=0,"",SUM(PC11:PC12)/COUNT(PC11,PC12))</f>
        <v>4</v>
      </c>
      <c r="PD10" s="202" t="str">
        <f t="shared" si="82"/>
        <v>A</v>
      </c>
      <c r="PE10" s="203">
        <f>IF(COUNT(PE11:PE12)=0,"",SUM(PE11:PE12)/COUNT(PE11:PE12))</f>
        <v>3.75</v>
      </c>
      <c r="PF10" s="204" t="str">
        <f t="shared" si="83"/>
        <v>A</v>
      </c>
      <c r="PG10" s="214"/>
      <c r="PH10" s="110"/>
      <c r="PI10" s="111"/>
      <c r="PJ10" s="178" t="str">
        <f>IF(COUNT(PJ11:PJ12)=0,"",SUM(PJ11:PJ12)/COUNT(PJ11:PJ12))</f>
        <v/>
      </c>
      <c r="PK10" s="179" t="str">
        <f t="shared" si="84"/>
        <v/>
      </c>
      <c r="PL10" s="172"/>
      <c r="PM10" s="110"/>
      <c r="PN10" s="110"/>
      <c r="PO10" s="111"/>
      <c r="PP10" s="178">
        <f>IF(COUNT(PP11,PP12)=0,"",SUM(PP11:PP12)/COUNT(PP11,PP12))</f>
        <v>4</v>
      </c>
      <c r="PQ10" s="194" t="str">
        <f t="shared" si="85"/>
        <v>A</v>
      </c>
      <c r="PR10" s="172"/>
      <c r="PS10" s="110"/>
      <c r="PT10" s="110"/>
      <c r="PU10" s="110"/>
      <c r="PV10" s="110"/>
      <c r="PW10" s="178">
        <f>IF(COUNT(PW11,PW12)=0,"",SUM(PW11:PW12)/COUNT(PW11,PW12))</f>
        <v>4</v>
      </c>
      <c r="PX10" s="202" t="str">
        <f t="shared" si="86"/>
        <v>A</v>
      </c>
      <c r="PY10" s="203">
        <f>IF(COUNT(PY11:PY12)=0,"",SUM(PY11:PY12)/COUNT(PY11:PY12))</f>
        <v>4</v>
      </c>
      <c r="PZ10" s="204" t="str">
        <f t="shared" si="87"/>
        <v>A</v>
      </c>
      <c r="QA10" s="214"/>
      <c r="QB10" s="110"/>
      <c r="QC10" s="111"/>
      <c r="QD10" s="178">
        <f>IF(COUNT(QD11:QD12)=0,"",SUM(QD11:QD12)/COUNT(QD11:QD12))</f>
        <v>3</v>
      </c>
      <c r="QE10" s="179" t="str">
        <f t="shared" si="88"/>
        <v>B</v>
      </c>
      <c r="QF10" s="172"/>
      <c r="QG10" s="110"/>
      <c r="QH10" s="110"/>
      <c r="QI10" s="111"/>
      <c r="QJ10" s="178">
        <f>IF(COUNT(QJ11,QJ12)=0,"",SUM(QJ11:QJ12)/COUNT(QJ11,QJ12))</f>
        <v>3</v>
      </c>
      <c r="QK10" s="194" t="str">
        <f t="shared" si="89"/>
        <v>B</v>
      </c>
      <c r="QL10" s="172"/>
      <c r="QM10" s="110"/>
      <c r="QN10" s="110"/>
      <c r="QO10" s="110"/>
      <c r="QP10" s="110"/>
      <c r="QQ10" s="178">
        <f>IF(COUNT(QQ11,QQ12)=0,"",SUM(QQ11:QQ12)/COUNT(QQ11,QQ12))</f>
        <v>4</v>
      </c>
      <c r="QR10" s="202" t="str">
        <f t="shared" si="90"/>
        <v>A</v>
      </c>
      <c r="QS10" s="203">
        <f>IF(COUNT(QS11:QS12)=0,"",SUM(QS11:QS12)/COUNT(QS11:QS12))</f>
        <v>3.3333333333333335</v>
      </c>
      <c r="QT10" s="204" t="str">
        <f t="shared" si="91"/>
        <v>B</v>
      </c>
      <c r="QU10" s="214"/>
      <c r="QV10" s="110"/>
      <c r="QW10" s="111"/>
      <c r="QX10" s="178">
        <f>IF(COUNT(QX11:QX12)=0,"",SUM(QX11:QX12)/COUNT(QX11:QX12))</f>
        <v>3</v>
      </c>
      <c r="QY10" s="179" t="str">
        <f t="shared" si="92"/>
        <v>B</v>
      </c>
      <c r="QZ10" s="172"/>
      <c r="RA10" s="110"/>
      <c r="RB10" s="110"/>
      <c r="RC10" s="111"/>
      <c r="RD10" s="178">
        <f>IF(COUNT(RD11,RD12)=0,"",SUM(RD11:RD12)/COUNT(RD11,RD12))</f>
        <v>3</v>
      </c>
      <c r="RE10" s="194" t="str">
        <f t="shared" si="93"/>
        <v>B</v>
      </c>
      <c r="RF10" s="172"/>
      <c r="RG10" s="110"/>
      <c r="RH10" s="110"/>
      <c r="RI10" s="110"/>
      <c r="RJ10" s="110"/>
      <c r="RK10" s="178">
        <f>IF(COUNT(RK11,RK12)=0,"",SUM(RK11:RK12)/COUNT(RK11,RK12))</f>
        <v>2.166666666666667</v>
      </c>
      <c r="RL10" s="202" t="str">
        <f t="shared" si="94"/>
        <v>C</v>
      </c>
      <c r="RM10" s="203">
        <f>IF(COUNT(RM11:RM12)=0,"",SUM(RM11:RM12)/COUNT(RM11:RM12))</f>
        <v>2.0555555555555554</v>
      </c>
      <c r="RN10" s="204" t="str">
        <f t="shared" si="95"/>
        <v>C</v>
      </c>
      <c r="RO10" s="214"/>
      <c r="RP10" s="110"/>
      <c r="RQ10" s="111"/>
      <c r="RR10" s="178">
        <f>IF(COUNT(RR11:RR12)=0,"",SUM(RR11:RR12)/COUNT(RR11:RR12))</f>
        <v>4</v>
      </c>
      <c r="RS10" s="179" t="str">
        <f t="shared" si="96"/>
        <v>A</v>
      </c>
      <c r="RT10" s="172"/>
      <c r="RU10" s="110"/>
      <c r="RV10" s="110"/>
      <c r="RW10" s="111"/>
      <c r="RX10" s="178">
        <f>IF(COUNT(RX11,RX12)=0,"",SUM(RX11:RX12)/COUNT(RX11,RX12))</f>
        <v>3</v>
      </c>
      <c r="RY10" s="194" t="str">
        <f t="shared" si="97"/>
        <v>B</v>
      </c>
      <c r="RZ10" s="172"/>
      <c r="SA10" s="110"/>
      <c r="SB10" s="110"/>
      <c r="SC10" s="110"/>
      <c r="SD10" s="110"/>
      <c r="SE10" s="178">
        <f>IF(COUNT(SE11,SE12)=0,"",SUM(SE11:SE12)/COUNT(SE11,SE12))</f>
        <v>3.833333333333333</v>
      </c>
      <c r="SF10" s="202" t="str">
        <f t="shared" si="98"/>
        <v>A</v>
      </c>
      <c r="SG10" s="203">
        <f>IF(COUNT(SG11:SG12)=0,"",SUM(SG11:SG12)/COUNT(SG11:SG12))</f>
        <v>3.7777777777777777</v>
      </c>
      <c r="SH10" s="204" t="str">
        <f t="shared" si="99"/>
        <v>A</v>
      </c>
      <c r="SI10" s="214"/>
      <c r="SJ10" s="110"/>
      <c r="SK10" s="111"/>
      <c r="SL10" s="178">
        <f>IF(COUNT(SL11:SL12)=0,"",SUM(SL11:SL12)/COUNT(SL11:SL12))</f>
        <v>2</v>
      </c>
      <c r="SM10" s="179" t="str">
        <f t="shared" si="100"/>
        <v>C</v>
      </c>
      <c r="SN10" s="172"/>
      <c r="SO10" s="110"/>
      <c r="SP10" s="110"/>
      <c r="SQ10" s="111"/>
      <c r="SR10" s="178">
        <f>IF(COUNT(SR11,SR12)=0,"",SUM(SR11:SR12)/COUNT(SR11,SR12))</f>
        <v>3.5</v>
      </c>
      <c r="SS10" s="194" t="str">
        <f t="shared" si="101"/>
        <v>B</v>
      </c>
      <c r="ST10" s="172"/>
      <c r="SU10" s="110"/>
      <c r="SV10" s="110"/>
      <c r="SW10" s="110"/>
      <c r="SX10" s="110"/>
      <c r="SY10" s="178">
        <f>IF(COUNT(SY11,SY12)=0,"",SUM(SY11:SY12)/COUNT(SY11,SY12))</f>
        <v>2.166666666666667</v>
      </c>
      <c r="SZ10" s="202" t="str">
        <f t="shared" si="102"/>
        <v>C</v>
      </c>
      <c r="TA10" s="203">
        <f>IF(COUNT(TA11:TA12)=0,"",SUM(TA11:TA12)/COUNT(TA11:TA12))</f>
        <v>1.9722222222222223</v>
      </c>
      <c r="TB10" s="204" t="str">
        <f t="shared" si="103"/>
        <v>C</v>
      </c>
      <c r="TC10" s="214"/>
      <c r="TD10" s="110"/>
      <c r="TE10" s="111"/>
      <c r="TF10" s="178">
        <f>IF(COUNT(TF11:TF12)=0,"",SUM(TF11:TF12)/COUNT(TF11:TF12))</f>
        <v>4</v>
      </c>
      <c r="TG10" s="179" t="str">
        <f t="shared" si="104"/>
        <v>A</v>
      </c>
      <c r="TH10" s="172"/>
      <c r="TI10" s="110"/>
      <c r="TJ10" s="110"/>
      <c r="TK10" s="111"/>
      <c r="TL10" s="178">
        <f>IF(COUNT(TL11,TL12)=0,"",SUM(TL11:TL12)/COUNT(TL11,TL12))</f>
        <v>3</v>
      </c>
      <c r="TM10" s="194" t="str">
        <f t="shared" si="105"/>
        <v>B</v>
      </c>
      <c r="TN10" s="172"/>
      <c r="TO10" s="110"/>
      <c r="TP10" s="110"/>
      <c r="TQ10" s="110"/>
      <c r="TR10" s="110"/>
      <c r="TS10" s="178">
        <f>IF(COUNT(TS11,TS12)=0,"",SUM(TS11:TS12)/COUNT(TS11,TS12))</f>
        <v>3.5</v>
      </c>
      <c r="TT10" s="202" t="str">
        <f t="shared" si="106"/>
        <v>B</v>
      </c>
      <c r="TU10" s="203">
        <f>IF(COUNT(TU11:TU12)=0,"",SUM(TU11:TU12)/COUNT(TU11:TU12))</f>
        <v>3.666666666666667</v>
      </c>
      <c r="TV10" s="204" t="str">
        <f t="shared" si="107"/>
        <v>B</v>
      </c>
      <c r="TW10" s="214"/>
      <c r="TX10" s="110"/>
      <c r="TY10" s="111"/>
      <c r="TZ10" s="178">
        <f>IF(COUNT(TZ11:TZ12)=0,"",SUM(TZ11:TZ12)/COUNT(TZ11:TZ12))</f>
        <v>4</v>
      </c>
      <c r="UA10" s="179" t="str">
        <f t="shared" si="108"/>
        <v>A</v>
      </c>
      <c r="UB10" s="172"/>
      <c r="UC10" s="110"/>
      <c r="UD10" s="110"/>
      <c r="UE10" s="111"/>
      <c r="UF10" s="178">
        <f>IF(COUNT(UF11,UF12)=0,"",SUM(UF11:UF12)/COUNT(UF11,UF12))</f>
        <v>3</v>
      </c>
      <c r="UG10" s="194" t="str">
        <f t="shared" si="109"/>
        <v>B</v>
      </c>
      <c r="UH10" s="172"/>
      <c r="UI10" s="110"/>
      <c r="UJ10" s="110"/>
      <c r="UK10" s="110"/>
      <c r="UL10" s="110"/>
      <c r="UM10" s="178">
        <f>IF(COUNT(UM11,UM12)=0,"",SUM(UM11:UM12)/COUNT(UM11,UM12))</f>
        <v>4</v>
      </c>
      <c r="UN10" s="202" t="str">
        <f t="shared" si="110"/>
        <v>A</v>
      </c>
      <c r="UO10" s="203">
        <f>IF(COUNT(UO11:UO12)=0,"",SUM(UO11:UO12)/COUNT(UO11:UO12))</f>
        <v>3.833333333333333</v>
      </c>
      <c r="UP10" s="204" t="str">
        <f t="shared" si="111"/>
        <v>A</v>
      </c>
      <c r="UQ10" s="137"/>
      <c r="UR10" s="110"/>
      <c r="US10" s="111"/>
      <c r="UT10" s="106" t="str">
        <f>IF(COUNT(UT11:UT12)=0,"",SUM(UT11:UT12)/COUNT(UT11:UT12))</f>
        <v/>
      </c>
      <c r="UU10" s="107" t="str">
        <f t="shared" si="112"/>
        <v/>
      </c>
      <c r="UV10" s="109"/>
      <c r="UW10" s="110"/>
      <c r="UX10" s="111"/>
      <c r="UY10" s="106" t="str">
        <f>IF(COUNT(UY11,UY12)=0,"",SUM(UY11:UY12)/COUNT(UY11,UY12))</f>
        <v/>
      </c>
      <c r="UZ10" s="108" t="str">
        <f t="shared" si="113"/>
        <v/>
      </c>
      <c r="VA10" s="109"/>
      <c r="VB10" s="110"/>
      <c r="VC10" s="111"/>
      <c r="VD10" s="106" t="str">
        <f>IF(COUNT(VD11,VD12)=0,"",SUM(VD11:VD12)/COUNT(VD11,VD12))</f>
        <v/>
      </c>
      <c r="VE10" s="112" t="str">
        <f t="shared" si="114"/>
        <v/>
      </c>
      <c r="VF10" s="113" t="str">
        <f>IF(COUNT(VF11:VF12)=0,"",SUM(VF11:VF12)/COUNT(VF11:VF12))</f>
        <v/>
      </c>
      <c r="VG10" s="114" t="str">
        <f t="shared" si="115"/>
        <v/>
      </c>
      <c r="VH10" s="137"/>
      <c r="VI10" s="110"/>
      <c r="VJ10" s="111"/>
      <c r="VK10" s="106" t="str">
        <f>IF(COUNT(VK11:VK12)=0,"",SUM(VK11:VK12)/COUNT(VK11:VK12))</f>
        <v/>
      </c>
      <c r="VL10" s="107" t="str">
        <f t="shared" si="116"/>
        <v/>
      </c>
      <c r="VM10" s="109"/>
      <c r="VN10" s="110"/>
      <c r="VO10" s="111"/>
      <c r="VP10" s="106" t="str">
        <f>IF(COUNT(VP11,VP12)=0,"",SUM(VP11:VP12)/COUNT(VP11,VP12))</f>
        <v/>
      </c>
      <c r="VQ10" s="108" t="str">
        <f t="shared" si="117"/>
        <v/>
      </c>
      <c r="VR10" s="109"/>
      <c r="VS10" s="110"/>
      <c r="VT10" s="111"/>
      <c r="VU10" s="106" t="str">
        <f>IF(COUNT(VU11,VU12)=0,"",SUM(VU11:VU12)/COUNT(VU11,VU12))</f>
        <v/>
      </c>
      <c r="VV10" s="112" t="str">
        <f t="shared" si="118"/>
        <v/>
      </c>
      <c r="VW10" s="113" t="str">
        <f>IF(COUNT(VW11:VW12)=0,"",SUM(VW11:VW12)/COUNT(VW11:VW12))</f>
        <v/>
      </c>
      <c r="VX10" s="114" t="str">
        <f t="shared" si="119"/>
        <v/>
      </c>
    </row>
    <row r="11" spans="1:596" ht="18" customHeight="1" x14ac:dyDescent="0.55000000000000004">
      <c r="A11" s="246" t="s">
        <v>18</v>
      </c>
      <c r="B11" s="247"/>
      <c r="C11" s="123"/>
      <c r="D11" s="124" t="s">
        <v>29</v>
      </c>
      <c r="E11" s="125"/>
      <c r="F11" s="180">
        <f>IFERROR((((COUNTIF('Elève (4ème5)'!C11:E11,"A"))*4)+((COUNTIF('Elève (4ème5)'!C11:E11,"B"))*3)+((COUNTIF('Elève (4ème5)'!C11:E11,"C"))*2)+((COUNTIF('Elève (4ème5)'!C11:E11,"D"))*1))/(COUNTA(C11:E11)),"")</f>
        <v>4</v>
      </c>
      <c r="G11" s="181" t="str">
        <f t="shared" si="0"/>
        <v>A</v>
      </c>
      <c r="H11" s="123" t="s">
        <v>30</v>
      </c>
      <c r="I11" s="124" t="s">
        <v>29</v>
      </c>
      <c r="J11" s="125"/>
      <c r="K11" s="125"/>
      <c r="L11" s="180">
        <f>IFERROR((((COUNTIF('Elève (4ème5)'!H11:K11,"A"))*4)+((COUNTIF('Elève (4ème5)'!H11:K11,"B"))*3)+((COUNTIF('Elève (4ème5)'!H11:K11,"C"))*2)+((COUNTIF('Elève (4ème5)'!H11:K11,"D"))*1))/(COUNTA(H11:K11)),"")</f>
        <v>3.5</v>
      </c>
      <c r="M11" s="181" t="str">
        <f t="shared" si="1"/>
        <v>B</v>
      </c>
      <c r="N11" s="123" t="s">
        <v>29</v>
      </c>
      <c r="O11" s="124" t="s">
        <v>29</v>
      </c>
      <c r="P11" s="125" t="s">
        <v>29</v>
      </c>
      <c r="Q11" s="125"/>
      <c r="R11" s="125"/>
      <c r="S11" s="180">
        <f>IFERROR((((COUNTIF('Elève (4ème5)'!N11:R11,"A"))*4)+((COUNTIF('Elève (4ème5)'!N11:R11,"B"))*3)+((COUNTIF('Elève (4ème5)'!N11:R11,"C"))*2)+((COUNTIF('Elève (4ème5)'!N11:R11,"D"))*1))/(COUNTA(N11:R11)),"")</f>
        <v>4</v>
      </c>
      <c r="T11" s="181" t="str">
        <f t="shared" si="2"/>
        <v>A</v>
      </c>
      <c r="U11" s="208">
        <f>IF(COUNT(F11,L11,S11)=0,"",SUM(F11,L11,S11)/COUNT(F11,L11,S11))</f>
        <v>3.8333333333333335</v>
      </c>
      <c r="V11" s="205" t="str">
        <f t="shared" si="3"/>
        <v>A</v>
      </c>
      <c r="W11" s="123"/>
      <c r="X11" s="124" t="s">
        <v>31</v>
      </c>
      <c r="Y11" s="125"/>
      <c r="Z11" s="180">
        <f>IFERROR((((COUNTIF('Elève (4ème5)'!W11:Y11,"A"))*4)+((COUNTIF('Elève (4ème5)'!W11:Y11,"B"))*3)+((COUNTIF('Elève (4ème5)'!W11:Y11,"C"))*2)+((COUNTIF('Elève (4ème5)'!W11:Y11,"D"))*1))/(COUNTA(W11:Y11)),"")</f>
        <v>2</v>
      </c>
      <c r="AA11" s="181" t="str">
        <f t="shared" si="4"/>
        <v>C</v>
      </c>
      <c r="AB11" s="123" t="s">
        <v>30</v>
      </c>
      <c r="AC11" s="124" t="s">
        <v>30</v>
      </c>
      <c r="AD11" s="125"/>
      <c r="AE11" s="125"/>
      <c r="AF11" s="180">
        <f>IFERROR((((COUNTIF('Elève (4ème5)'!AB11:AE11,"A"))*4)+((COUNTIF('Elève (4ème5)'!AB11:AE11,"B"))*3)+((COUNTIF('Elève (4ème5)'!AB11:AE11,"C"))*2)+((COUNTIF('Elève (4ème5)'!AB11:AE11,"D"))*1))/(COUNTA(AB11:AE11)),"")</f>
        <v>3</v>
      </c>
      <c r="AG11" s="181" t="str">
        <f t="shared" si="5"/>
        <v>B</v>
      </c>
      <c r="AH11" s="123" t="s">
        <v>29</v>
      </c>
      <c r="AI11" s="124" t="s">
        <v>29</v>
      </c>
      <c r="AJ11" s="125" t="s">
        <v>29</v>
      </c>
      <c r="AK11" s="125"/>
      <c r="AL11" s="125"/>
      <c r="AM11" s="180">
        <f>IFERROR((((COUNTIF('Elève (4ème5)'!AH11:AL11,"A"))*4)+((COUNTIF('Elève (4ème5)'!AH11:AL11,"B"))*3)+((COUNTIF('Elève (4ème5)'!AH11:AL11,"C"))*2)+((COUNTIF('Elève (4ème5)'!AH11:AL11,"D"))*1))/(COUNTA(AH11:AL11)),"")</f>
        <v>4</v>
      </c>
      <c r="AN11" s="181" t="str">
        <f t="shared" si="6"/>
        <v>A</v>
      </c>
      <c r="AO11" s="208">
        <f>IF(COUNT(Z11,AF11,AM11)=0,"",SUM(Z11,AF11,AM11)/COUNT(Z11,AF11,AM11))</f>
        <v>3</v>
      </c>
      <c r="AP11" s="205" t="str">
        <f t="shared" si="7"/>
        <v>B</v>
      </c>
      <c r="AQ11" s="123"/>
      <c r="AR11" s="124" t="s">
        <v>30</v>
      </c>
      <c r="AS11" s="125"/>
      <c r="AT11" s="180">
        <f>IFERROR((((COUNTIF('Elève (4ème5)'!AQ11:AS11,"A"))*4)+((COUNTIF('Elève (4ème5)'!AQ11:AS11,"B"))*3)+((COUNTIF('Elève (4ème5)'!AQ11:AS11,"C"))*2)+((COUNTIF('Elève (4ème5)'!AQ11:AS11,"D"))*1))/(COUNTA(AQ11:AS11)),"")</f>
        <v>3</v>
      </c>
      <c r="AU11" s="181" t="str">
        <f t="shared" si="8"/>
        <v>B</v>
      </c>
      <c r="AV11" s="123" t="s">
        <v>31</v>
      </c>
      <c r="AW11" s="124" t="s">
        <v>29</v>
      </c>
      <c r="AX11" s="125"/>
      <c r="AY11" s="125"/>
      <c r="AZ11" s="180">
        <f>IFERROR((((COUNTIF('Elève (4ème5)'!AV11:AY11,"A"))*4)+((COUNTIF('Elève (4ème5)'!AV11:AY11,"B"))*3)+((COUNTIF('Elève (4ème5)'!AV11:AY11,"C"))*2)+((COUNTIF('Elève (4ème5)'!AV11:AY11,"D"))*1))/(COUNTA(AV11:AY11)),"")</f>
        <v>3</v>
      </c>
      <c r="BA11" s="181" t="str">
        <f t="shared" si="9"/>
        <v>B</v>
      </c>
      <c r="BB11" s="123" t="s">
        <v>29</v>
      </c>
      <c r="BC11" s="124" t="s">
        <v>29</v>
      </c>
      <c r="BD11" s="125" t="s">
        <v>30</v>
      </c>
      <c r="BE11" s="125"/>
      <c r="BF11" s="125"/>
      <c r="BG11" s="180">
        <f>IFERROR((((COUNTIF('Elève (4ème5)'!BB11:BF11,"A"))*4)+((COUNTIF('Elève (4ème5)'!BB11:BF11,"B"))*3)+((COUNTIF('Elève (4ème5)'!BB11:BF11,"C"))*2)+((COUNTIF('Elève (4ème5)'!BB11:BF11,"D"))*1))/(COUNTA(BB11:BF11)),"")</f>
        <v>3.6666666666666665</v>
      </c>
      <c r="BH11" s="181" t="str">
        <f t="shared" si="10"/>
        <v>B</v>
      </c>
      <c r="BI11" s="208">
        <f>IF(COUNT(AT11,AZ11,BG11)=0,"",SUM(AT11,AZ11,BG11)/COUNT(AT11,AZ11,BG11))</f>
        <v>3.2222222222222219</v>
      </c>
      <c r="BJ11" s="205" t="str">
        <f t="shared" si="11"/>
        <v>B</v>
      </c>
      <c r="BK11" s="123"/>
      <c r="BL11" s="124" t="s">
        <v>29</v>
      </c>
      <c r="BM11" s="125"/>
      <c r="BN11" s="180">
        <f>IFERROR((((COUNTIF('Elève (4ème5)'!BK11:BM11,"A"))*4)+((COUNTIF('Elève (4ème5)'!BK11:BM11,"B"))*3)+((COUNTIF('Elève (4ème5)'!BK11:BM11,"C"))*2)+((COUNTIF('Elève (4ème5)'!BK11:BM11,"D"))*1))/(COUNTA(BK11:BM11)),"")</f>
        <v>4</v>
      </c>
      <c r="BO11" s="181" t="str">
        <f t="shared" si="12"/>
        <v>A</v>
      </c>
      <c r="BP11" s="123" t="s">
        <v>30</v>
      </c>
      <c r="BQ11" s="124" t="s">
        <v>29</v>
      </c>
      <c r="BR11" s="125"/>
      <c r="BS11" s="125"/>
      <c r="BT11" s="180">
        <f>IFERROR((((COUNTIF('Elève (4ème5)'!BP11:BS11,"A"))*4)+((COUNTIF('Elève (4ème5)'!BP11:BS11,"B"))*3)+((COUNTIF('Elève (4ème5)'!BP11:BS11,"C"))*2)+((COUNTIF('Elève (4ème5)'!BP11:BS11,"D"))*1))/(COUNTA(BP11:BS11)),"")</f>
        <v>3.5</v>
      </c>
      <c r="BU11" s="181" t="str">
        <f t="shared" si="13"/>
        <v>B</v>
      </c>
      <c r="BV11" s="123" t="s">
        <v>29</v>
      </c>
      <c r="BW11" s="124" t="s">
        <v>29</v>
      </c>
      <c r="BX11" s="125" t="s">
        <v>29</v>
      </c>
      <c r="BY11" s="125"/>
      <c r="BZ11" s="125"/>
      <c r="CA11" s="180">
        <f>IFERROR((((COUNTIF('Elève (4ème5)'!BV11:BZ11,"A"))*4)+((COUNTIF('Elève (4ème5)'!BV11:BZ11,"B"))*3)+((COUNTIF('Elève (4ème5)'!BV11:BZ11,"C"))*2)+((COUNTIF('Elève (4ème5)'!BV11:BZ11,"D"))*1))/(COUNTA(BV11:BZ11)),"")</f>
        <v>4</v>
      </c>
      <c r="CB11" s="181" t="str">
        <f t="shared" si="14"/>
        <v>A</v>
      </c>
      <c r="CC11" s="208">
        <f>IF(COUNT(BN11,BT11,CA11)=0,"",SUM(BN11,BT11,CA11)/COUNT(BN11,BT11,CA11))</f>
        <v>3.8333333333333335</v>
      </c>
      <c r="CD11" s="205" t="str">
        <f t="shared" si="15"/>
        <v>A</v>
      </c>
      <c r="CE11" s="123"/>
      <c r="CF11" s="124" t="s">
        <v>30</v>
      </c>
      <c r="CG11" s="125"/>
      <c r="CH11" s="180">
        <f>IFERROR((((COUNTIF('Elève (4ème5)'!CE11:CG11,"A"))*4)+((COUNTIF('Elève (4ème5)'!CE11:CG11,"B"))*3)+((COUNTIF('Elève (4ème5)'!CE11:CG11,"C"))*2)+((COUNTIF('Elève (4ème5)'!CE11:CG11,"D"))*1))/(COUNTA(CE11:CG11)),"")</f>
        <v>3</v>
      </c>
      <c r="CI11" s="181" t="str">
        <f t="shared" si="16"/>
        <v>B</v>
      </c>
      <c r="CJ11" s="123" t="s">
        <v>31</v>
      </c>
      <c r="CK11" s="124" t="s">
        <v>30</v>
      </c>
      <c r="CL11" s="125"/>
      <c r="CM11" s="125"/>
      <c r="CN11" s="180">
        <f>IFERROR((((COUNTIF('Elève (4ème5)'!CJ11:CM11,"A"))*4)+((COUNTIF('Elève (4ème5)'!CJ11:CM11,"B"))*3)+((COUNTIF('Elève (4ème5)'!CJ11:CM11,"C"))*2)+((COUNTIF('Elève (4ème5)'!CJ11:CM11,"D"))*1))/(COUNTA(CJ11:CM11)),"")</f>
        <v>2.5</v>
      </c>
      <c r="CO11" s="181" t="str">
        <f t="shared" si="17"/>
        <v>C</v>
      </c>
      <c r="CP11" s="123" t="s">
        <v>29</v>
      </c>
      <c r="CQ11" s="124" t="s">
        <v>31</v>
      </c>
      <c r="CR11" s="125" t="s">
        <v>29</v>
      </c>
      <c r="CS11" s="125"/>
      <c r="CT11" s="125"/>
      <c r="CU11" s="180">
        <f>IFERROR((((COUNTIF('Elève (4ème5)'!CP11:CT11,"A"))*4)+((COUNTIF('Elève (4ème5)'!CP11:CT11,"B"))*3)+((COUNTIF('Elève (4ème5)'!CP11:CT11,"C"))*2)+((COUNTIF('Elève (4ème5)'!CP11:CT11,"D"))*1))/(COUNTA(CP11:CT11)),"")</f>
        <v>3.3333333333333335</v>
      </c>
      <c r="CV11" s="181" t="str">
        <f t="shared" si="18"/>
        <v>B</v>
      </c>
      <c r="CW11" s="208">
        <f>IF(COUNT(CH11,CN11,CU11)=0,"",SUM(CH11,CN11,CU11)/COUNT(CH11,CN11,CU11))</f>
        <v>2.9444444444444446</v>
      </c>
      <c r="CX11" s="205" t="str">
        <f t="shared" si="19"/>
        <v>B</v>
      </c>
      <c r="CY11" s="123"/>
      <c r="CZ11" s="124" t="s">
        <v>29</v>
      </c>
      <c r="DA11" s="125"/>
      <c r="DB11" s="180">
        <f>IFERROR((((COUNTIF('Elève (4ème5)'!CY11:DA11,"A"))*4)+((COUNTIF('Elève (4ème5)'!CY11:DA11,"B"))*3)+((COUNTIF('Elève (4ème5)'!CY11:DA11,"C"))*2)+((COUNTIF('Elève (4ème5)'!CY11:DA11,"D"))*1))/(COUNTA(CY11:DA11)),"")</f>
        <v>4</v>
      </c>
      <c r="DC11" s="181" t="str">
        <f t="shared" si="20"/>
        <v>A</v>
      </c>
      <c r="DD11" s="123" t="s">
        <v>30</v>
      </c>
      <c r="DE11" s="124" t="s">
        <v>30</v>
      </c>
      <c r="DF11" s="125"/>
      <c r="DG11" s="125"/>
      <c r="DH11" s="180">
        <f>IFERROR((((COUNTIF('Elève (4ème5)'!DD11:DG11,"A"))*4)+((COUNTIF('Elève (4ème5)'!DD11:DG11,"B"))*3)+((COUNTIF('Elève (4ème5)'!DD11:DG11,"C"))*2)+((COUNTIF('Elève (4ème5)'!DD11:DG11,"D"))*1))/(COUNTA(DD11:DG11)),"")</f>
        <v>3</v>
      </c>
      <c r="DI11" s="181" t="str">
        <f t="shared" si="21"/>
        <v>B</v>
      </c>
      <c r="DJ11" s="123" t="s">
        <v>29</v>
      </c>
      <c r="DK11" s="124" t="s">
        <v>29</v>
      </c>
      <c r="DL11" s="125" t="s">
        <v>29</v>
      </c>
      <c r="DM11" s="125"/>
      <c r="DN11" s="125"/>
      <c r="DO11" s="180">
        <f>IFERROR((((COUNTIF('Elève (4ème5)'!DJ11:DN11,"A"))*4)+((COUNTIF('Elève (4ème5)'!DJ11:DN11,"B"))*3)+((COUNTIF('Elève (4ème5)'!DJ11:DN11,"C"))*2)+((COUNTIF('Elève (4ème5)'!DJ11:DN11,"D"))*1))/(COUNTA(DJ11:DN11)),"")</f>
        <v>4</v>
      </c>
      <c r="DP11" s="181" t="str">
        <f t="shared" si="22"/>
        <v>A</v>
      </c>
      <c r="DQ11" s="208">
        <f>IF(COUNT(DB11,DH11,DO11)=0,"",SUM(DB11,DH11,DO11)/COUNT(DB11,DH11,DO11))</f>
        <v>3.6666666666666665</v>
      </c>
      <c r="DR11" s="205" t="str">
        <f t="shared" si="23"/>
        <v>B</v>
      </c>
      <c r="DS11" s="123"/>
      <c r="DT11" s="124" t="s">
        <v>31</v>
      </c>
      <c r="DU11" s="125"/>
      <c r="DV11" s="180">
        <f>IFERROR((((COUNTIF('Elève (4ème5)'!DS11:DU11,"A"))*4)+((COUNTIF('Elève (4ème5)'!DS11:DU11,"B"))*3)+((COUNTIF('Elève (4ème5)'!DS11:DU11,"C"))*2)+((COUNTIF('Elève (4ème5)'!DS11:DU11,"D"))*1))/(COUNTA(DS11:DU11)),"")</f>
        <v>2</v>
      </c>
      <c r="DW11" s="181" t="str">
        <f t="shared" si="24"/>
        <v>C</v>
      </c>
      <c r="DX11" s="123" t="s">
        <v>30</v>
      </c>
      <c r="DY11" s="124" t="s">
        <v>30</v>
      </c>
      <c r="DZ11" s="125"/>
      <c r="EA11" s="125"/>
      <c r="EB11" s="180">
        <f>IFERROR((((COUNTIF('Elève (4ème5)'!DX11:EA11,"A"))*4)+((COUNTIF('Elève (4ème5)'!DX11:EA11,"B"))*3)+((COUNTIF('Elève (4ème5)'!DX11:EA11,"C"))*2)+((COUNTIF('Elève (4ème5)'!DX11:EA11,"D"))*1))/(COUNTA(DX11:EA11)),"")</f>
        <v>3</v>
      </c>
      <c r="EC11" s="181" t="str">
        <f t="shared" si="25"/>
        <v>B</v>
      </c>
      <c r="ED11" s="123" t="s">
        <v>29</v>
      </c>
      <c r="EE11" s="124" t="s">
        <v>29</v>
      </c>
      <c r="EF11" s="125" t="s">
        <v>30</v>
      </c>
      <c r="EG11" s="125"/>
      <c r="EH11" s="125"/>
      <c r="EI11" s="180">
        <f>IFERROR((((COUNTIF('Elève (4ème5)'!ED11:EH11,"A"))*4)+((COUNTIF('Elève (4ème5)'!ED11:EH11,"B"))*3)+((COUNTIF('Elève (4ème5)'!ED11:EH11,"C"))*2)+((COUNTIF('Elève (4ème5)'!ED11:EH11,"D"))*1))/(COUNTA(ED11:EH11)),"")</f>
        <v>3.6666666666666665</v>
      </c>
      <c r="EJ11" s="181" t="str">
        <f t="shared" si="26"/>
        <v>B</v>
      </c>
      <c r="EK11" s="208">
        <f>IF(COUNT(DV11,EB11,EI11)=0,"",SUM(DV11,EB11,EI11)/COUNT(DV11,EB11,EI11))</f>
        <v>2.8888888888888888</v>
      </c>
      <c r="EL11" s="205" t="str">
        <f t="shared" si="27"/>
        <v>B</v>
      </c>
      <c r="EM11" s="123"/>
      <c r="EN11" s="124" t="s">
        <v>29</v>
      </c>
      <c r="EO11" s="125"/>
      <c r="EP11" s="180">
        <f>IFERROR((((COUNTIF('Elève (4ème5)'!EM11:EO11,"A"))*4)+((COUNTIF('Elève (4ème5)'!EM11:EO11,"B"))*3)+((COUNTIF('Elève (4ème5)'!EM11:EO11,"C"))*2)+((COUNTIF('Elève (4ème5)'!EM11:EO11,"D"))*1))/(COUNTA(EM11:EO11)),"")</f>
        <v>4</v>
      </c>
      <c r="EQ11" s="181" t="str">
        <f t="shared" si="28"/>
        <v>A</v>
      </c>
      <c r="ER11" s="123" t="s">
        <v>30</v>
      </c>
      <c r="ES11" s="124"/>
      <c r="ET11" s="125"/>
      <c r="EU11" s="125"/>
      <c r="EV11" s="180">
        <f>IFERROR((((COUNTIF('Elève (4ème5)'!ER11:EU11,"A"))*4)+((COUNTIF('Elève (4ème5)'!ER11:EU11,"B"))*3)+((COUNTIF('Elève (4ème5)'!ER11:EU11,"C"))*2)+((COUNTIF('Elève (4ème5)'!ER11:EU11,"D"))*1))/(COUNTA(ER11:EU11)),"")</f>
        <v>3</v>
      </c>
      <c r="EW11" s="181" t="str">
        <f t="shared" si="29"/>
        <v>B</v>
      </c>
      <c r="EX11" s="123" t="s">
        <v>29</v>
      </c>
      <c r="EY11" s="124" t="s">
        <v>30</v>
      </c>
      <c r="EZ11" s="125" t="s">
        <v>29</v>
      </c>
      <c r="FA11" s="125"/>
      <c r="FB11" s="125"/>
      <c r="FC11" s="180">
        <f>IFERROR((((COUNTIF('Elève (4ème5)'!EX11:FB11,"A"))*4)+((COUNTIF('Elève (4ème5)'!EX11:FB11,"B"))*3)+((COUNTIF('Elève (4ème5)'!EX11:FB11,"C"))*2)+((COUNTIF('Elève (4ème5)'!EX11:FB11,"D"))*1))/(COUNTA(EX11:FB11)),"")</f>
        <v>3.6666666666666665</v>
      </c>
      <c r="FD11" s="181" t="str">
        <f t="shared" si="30"/>
        <v>B</v>
      </c>
      <c r="FE11" s="208">
        <f>IF(COUNT(EP11,EV11,FC11)=0,"",SUM(EP11,EV11,FC11)/COUNT(EP11,EV11,FC11))</f>
        <v>3.5555555555555554</v>
      </c>
      <c r="FF11" s="205" t="str">
        <f t="shared" si="31"/>
        <v>B</v>
      </c>
      <c r="FG11" s="123"/>
      <c r="FH11" s="124" t="s">
        <v>31</v>
      </c>
      <c r="FI11" s="125"/>
      <c r="FJ11" s="180">
        <f>IFERROR((((COUNTIF('Elève (4ème5)'!FG11:FI11,"A"))*4)+((COUNTIF('Elève (4ème5)'!FG11:FI11,"B"))*3)+((COUNTIF('Elève (4ème5)'!FG11:FI11,"C"))*2)+((COUNTIF('Elève (4ème5)'!FG11:FI11,"D"))*1))/(COUNTA(FG11:FI11)),"")</f>
        <v>2</v>
      </c>
      <c r="FK11" s="181" t="str">
        <f t="shared" si="32"/>
        <v>C</v>
      </c>
      <c r="FL11" s="123" t="s">
        <v>30</v>
      </c>
      <c r="FM11" s="124" t="s">
        <v>30</v>
      </c>
      <c r="FN11" s="125"/>
      <c r="FO11" s="125"/>
      <c r="FP11" s="180">
        <f>IFERROR((((COUNTIF('Elève (4ème5)'!FL11:FO11,"A"))*4)+((COUNTIF('Elève (4ème5)'!FL11:FO11,"B"))*3)+((COUNTIF('Elève (4ème5)'!FL11:FO11,"C"))*2)+((COUNTIF('Elève (4ème5)'!FL11:FO11,"D"))*1))/(COUNTA(FL11:FO11)),"")</f>
        <v>3</v>
      </c>
      <c r="FQ11" s="181" t="str">
        <f t="shared" si="33"/>
        <v>B</v>
      </c>
      <c r="FR11" s="123" t="s">
        <v>29</v>
      </c>
      <c r="FS11" s="124" t="s">
        <v>30</v>
      </c>
      <c r="FT11" s="125" t="s">
        <v>30</v>
      </c>
      <c r="FU11" s="125"/>
      <c r="FV11" s="125"/>
      <c r="FW11" s="180">
        <f>IFERROR((((COUNTIF('Elève (4ème5)'!FR11:FV11,"A"))*4)+((COUNTIF('Elève (4ème5)'!FR11:FV11,"B"))*3)+((COUNTIF('Elève (4ème5)'!FR11:FV11,"C"))*2)+((COUNTIF('Elève (4ème5)'!FR11:FV11,"D"))*1))/(COUNTA(FR11:FV11)),"")</f>
        <v>3.3333333333333335</v>
      </c>
      <c r="FX11" s="181" t="str">
        <f t="shared" si="34"/>
        <v>B</v>
      </c>
      <c r="FY11" s="208">
        <f>IF(COUNT(FJ11,FP11,FW11)=0,"",SUM(FJ11,FP11,FW11)/COUNT(FJ11,FP11,FW11))</f>
        <v>2.7777777777777781</v>
      </c>
      <c r="FZ11" s="205" t="str">
        <f t="shared" si="35"/>
        <v>C</v>
      </c>
      <c r="GA11" s="123"/>
      <c r="GB11" s="124" t="s">
        <v>29</v>
      </c>
      <c r="GC11" s="125"/>
      <c r="GD11" s="180">
        <f>IFERROR((((COUNTIF('Elève (4ème5)'!GA11:GC11,"A"))*4)+((COUNTIF('Elève (4ème5)'!GA11:GC11,"B"))*3)+((COUNTIF('Elève (4ème5)'!GA11:GC11,"C"))*2)+((COUNTIF('Elève (4ème5)'!GA11:GC11,"D"))*1))/(COUNTA(GA11:GC11)),"")</f>
        <v>4</v>
      </c>
      <c r="GE11" s="181" t="str">
        <f t="shared" si="36"/>
        <v>A</v>
      </c>
      <c r="GF11" s="123" t="s">
        <v>30</v>
      </c>
      <c r="GG11" s="124" t="s">
        <v>29</v>
      </c>
      <c r="GH11" s="125"/>
      <c r="GI11" s="125"/>
      <c r="GJ11" s="180">
        <f>IFERROR((((COUNTIF('Elève (4ème5)'!GF11:GI11,"A"))*4)+((COUNTIF('Elève (4ème5)'!GF11:GI11,"B"))*3)+((COUNTIF('Elève (4ème5)'!GF11:GI11,"C"))*2)+((COUNTIF('Elève (4ème5)'!GF11:GI11,"D"))*1))/(COUNTA(GF11:GI11)),"")</f>
        <v>3.5</v>
      </c>
      <c r="GK11" s="181" t="str">
        <f t="shared" si="37"/>
        <v>B</v>
      </c>
      <c r="GL11" s="123" t="s">
        <v>29</v>
      </c>
      <c r="GM11" s="124" t="s">
        <v>29</v>
      </c>
      <c r="GN11" s="125" t="s">
        <v>29</v>
      </c>
      <c r="GO11" s="125"/>
      <c r="GP11" s="125"/>
      <c r="GQ11" s="180">
        <f>IFERROR((((COUNTIF('Elève (4ème5)'!GL11:GP11,"A"))*4)+((COUNTIF('Elève (4ème5)'!GL11:GP11,"B"))*3)+((COUNTIF('Elève (4ème5)'!GL11:GP11,"C"))*2)+((COUNTIF('Elève (4ème5)'!GL11:GP11,"D"))*1))/(COUNTA(GL11:GP11)),"")</f>
        <v>4</v>
      </c>
      <c r="GR11" s="181" t="str">
        <f t="shared" si="38"/>
        <v>A</v>
      </c>
      <c r="GS11" s="208">
        <f>IF(COUNT(GD11,GJ11,GQ11)=0,"",SUM(GD11,GJ11,GQ11)/COUNT(GD11,GJ11,GQ11))</f>
        <v>3.8333333333333335</v>
      </c>
      <c r="GT11" s="205" t="str">
        <f t="shared" si="39"/>
        <v>A</v>
      </c>
      <c r="GU11" s="123"/>
      <c r="GV11" s="124" t="s">
        <v>30</v>
      </c>
      <c r="GW11" s="125"/>
      <c r="GX11" s="180">
        <f>IFERROR((((COUNTIF('Elève (4ème5)'!GU11:GW11,"A"))*4)+((COUNTIF('Elève (4ème5)'!GU11:GW11,"B"))*3)+((COUNTIF('Elève (4ème5)'!GU11:GW11,"C"))*2)+((COUNTIF('Elève (4ème5)'!GU11:GW11,"D"))*1))/(COUNTA(GU11:GW11)),"")</f>
        <v>3</v>
      </c>
      <c r="GY11" s="181" t="str">
        <f t="shared" si="40"/>
        <v>B</v>
      </c>
      <c r="GZ11" s="123" t="s">
        <v>30</v>
      </c>
      <c r="HA11" s="124"/>
      <c r="HB11" s="125"/>
      <c r="HC11" s="125"/>
      <c r="HD11" s="180">
        <f>IFERROR((((COUNTIF('Elève (4ème5)'!GZ11:HC11,"A"))*4)+((COUNTIF('Elève (4ème5)'!GZ11:HC11,"B"))*3)+((COUNTIF('Elève (4ème5)'!GZ11:HC11,"C"))*2)+((COUNTIF('Elève (4ème5)'!GZ11:HC11,"D"))*1))/(COUNTA(GZ11:HC11)),"")</f>
        <v>3</v>
      </c>
      <c r="HE11" s="181" t="str">
        <f t="shared" si="41"/>
        <v>B</v>
      </c>
      <c r="HF11" s="123" t="s">
        <v>29</v>
      </c>
      <c r="HG11" s="124" t="s">
        <v>31</v>
      </c>
      <c r="HH11" s="125" t="s">
        <v>30</v>
      </c>
      <c r="HI11" s="125"/>
      <c r="HJ11" s="125"/>
      <c r="HK11" s="180">
        <f>IFERROR((((COUNTIF('Elève (4ème5)'!HF11:HJ11,"A"))*4)+((COUNTIF('Elève (4ème5)'!HF11:HJ11,"B"))*3)+((COUNTIF('Elève (4ème5)'!HF11:HJ11,"C"))*2)+((COUNTIF('Elève (4ème5)'!HF11:HJ11,"D"))*1))/(COUNTA(HF11:HJ11)),"")</f>
        <v>3</v>
      </c>
      <c r="HL11" s="181" t="str">
        <f t="shared" si="42"/>
        <v>B</v>
      </c>
      <c r="HM11" s="208">
        <f>IF(COUNT(GX11,HD11,HK11)=0,"",SUM(GX11,HD11,HK11)/COUNT(GX11,HD11,HK11))</f>
        <v>3</v>
      </c>
      <c r="HN11" s="205" t="str">
        <f t="shared" si="43"/>
        <v>B</v>
      </c>
      <c r="HO11" s="123"/>
      <c r="HP11" s="124" t="s">
        <v>29</v>
      </c>
      <c r="HQ11" s="125"/>
      <c r="HR11" s="180">
        <f>IFERROR((((COUNTIF('Elève (4ème5)'!HO11:HQ11,"A"))*4)+((COUNTIF('Elève (4ème5)'!HO11:HQ11,"B"))*3)+((COUNTIF('Elève (4ème5)'!HO11:HQ11,"C"))*2)+((COUNTIF('Elève (4ème5)'!HO11:HQ11,"D"))*1))/(COUNTA(HO11:HQ11)),"")</f>
        <v>4</v>
      </c>
      <c r="HS11" s="181" t="str">
        <f t="shared" si="44"/>
        <v>A</v>
      </c>
      <c r="HT11" s="123" t="s">
        <v>30</v>
      </c>
      <c r="HU11" s="124" t="s">
        <v>30</v>
      </c>
      <c r="HV11" s="125"/>
      <c r="HW11" s="125"/>
      <c r="HX11" s="180">
        <f>IFERROR((((COUNTIF('Elève (4ème5)'!HT11:HW11,"A"))*4)+((COUNTIF('Elève (4ème5)'!HT11:HW11,"B"))*3)+((COUNTIF('Elève (4ème5)'!HT11:HW11,"C"))*2)+((COUNTIF('Elève (4ème5)'!HT11:HW11,"D"))*1))/(COUNTA(HT11:HW11)),"")</f>
        <v>3</v>
      </c>
      <c r="HY11" s="181" t="str">
        <f t="shared" si="45"/>
        <v>B</v>
      </c>
      <c r="HZ11" s="123" t="s">
        <v>29</v>
      </c>
      <c r="IA11" s="124" t="s">
        <v>29</v>
      </c>
      <c r="IB11" s="125" t="s">
        <v>30</v>
      </c>
      <c r="IC11" s="125"/>
      <c r="ID11" s="125"/>
      <c r="IE11" s="180">
        <f>IFERROR((((COUNTIF('Elève (4ème5)'!HZ11:ID11,"A"))*4)+((COUNTIF('Elève (4ème5)'!HZ11:ID11,"B"))*3)+((COUNTIF('Elève (4ème5)'!HZ11:ID11,"C"))*2)+((COUNTIF('Elève (4ème5)'!HZ11:ID11,"D"))*1))/(COUNTA(HZ11:ID11)),"")</f>
        <v>3.6666666666666665</v>
      </c>
      <c r="IF11" s="181" t="str">
        <f t="shared" si="46"/>
        <v>B</v>
      </c>
      <c r="IG11" s="208">
        <f>IF(COUNT(HR11,HX11,IE11)=0,"",SUM(HR11,HX11,IE11)/COUNT(HR11,HX11,IE11))</f>
        <v>3.5555555555555554</v>
      </c>
      <c r="IH11" s="205" t="str">
        <f t="shared" si="47"/>
        <v>B</v>
      </c>
      <c r="II11" s="123"/>
      <c r="IJ11" s="124" t="s">
        <v>29</v>
      </c>
      <c r="IK11" s="125"/>
      <c r="IL11" s="180">
        <f>IFERROR((((COUNTIF('Elève (4ème5)'!II11:IK11,"A"))*4)+((COUNTIF('Elève (4ème5)'!II11:IK11,"B"))*3)+((COUNTIF('Elève (4ème5)'!II11:IK11,"C"))*2)+((COUNTIF('Elève (4ème5)'!II11:IK11,"D"))*1))/(COUNTA(II11:IK11)),"")</f>
        <v>4</v>
      </c>
      <c r="IM11" s="181" t="str">
        <f t="shared" si="48"/>
        <v>A</v>
      </c>
      <c r="IN11" s="123" t="s">
        <v>30</v>
      </c>
      <c r="IO11" s="124" t="s">
        <v>29</v>
      </c>
      <c r="IP11" s="125"/>
      <c r="IQ11" s="125"/>
      <c r="IR11" s="180">
        <f>IFERROR((((COUNTIF('Elève (4ème5)'!IN11:IQ11,"A"))*4)+((COUNTIF('Elève (4ème5)'!IN11:IQ11,"B"))*3)+((COUNTIF('Elève (4ème5)'!IN11:IQ11,"C"))*2)+((COUNTIF('Elève (4ème5)'!IN11:IQ11,"D"))*1))/(COUNTA(IN11:IQ11)),"")</f>
        <v>3.5</v>
      </c>
      <c r="IS11" s="181" t="str">
        <f t="shared" si="49"/>
        <v>B</v>
      </c>
      <c r="IT11" s="123" t="s">
        <v>29</v>
      </c>
      <c r="IU11" s="124" t="s">
        <v>32</v>
      </c>
      <c r="IV11" s="125" t="s">
        <v>29</v>
      </c>
      <c r="IW11" s="125"/>
      <c r="IX11" s="125"/>
      <c r="IY11" s="180">
        <f>IFERROR((((COUNTIF('Elève (4ème5)'!IT11:IX11,"A"))*4)+((COUNTIF('Elève (4ème5)'!IT11:IX11,"B"))*3)+((COUNTIF('Elève (4ème5)'!IT11:IX11,"C"))*2)+((COUNTIF('Elève (4ème5)'!IT11:IX11,"D"))*1))/(COUNTA(IT11:IX11)),"")</f>
        <v>3</v>
      </c>
      <c r="IZ11" s="181" t="str">
        <f t="shared" si="50"/>
        <v>B</v>
      </c>
      <c r="JA11" s="208">
        <f>IF(COUNT(IL11,IR11,IY11)=0,"",SUM(IL11,IR11,IY11)/COUNT(IL11,IR11,IY11))</f>
        <v>3.5</v>
      </c>
      <c r="JB11" s="205" t="str">
        <f t="shared" si="51"/>
        <v>B</v>
      </c>
      <c r="JC11" s="123"/>
      <c r="JD11" s="124" t="s">
        <v>30</v>
      </c>
      <c r="JE11" s="125"/>
      <c r="JF11" s="180">
        <f>IFERROR((((COUNTIF('Elève (4ème5)'!JC11:JE11,"A"))*4)+((COUNTIF('Elève (4ème5)'!JC11:JE11,"B"))*3)+((COUNTIF('Elève (4ème5)'!JC11:JE11,"C"))*2)+((COUNTIF('Elève (4ème5)'!JC11:JE11,"D"))*1))/(COUNTA(JC11:JE11)),"")</f>
        <v>3</v>
      </c>
      <c r="JG11" s="181" t="str">
        <f t="shared" si="52"/>
        <v>B</v>
      </c>
      <c r="JH11" s="123" t="s">
        <v>30</v>
      </c>
      <c r="JI11" s="124" t="s">
        <v>30</v>
      </c>
      <c r="JJ11" s="125"/>
      <c r="JK11" s="125"/>
      <c r="JL11" s="180">
        <f>IFERROR((((COUNTIF('Elève (4ème5)'!JH11:JK11,"A"))*4)+((COUNTIF('Elève (4ème5)'!JH11:JK11,"B"))*3)+((COUNTIF('Elève (4ème5)'!JH11:JK11,"C"))*2)+((COUNTIF('Elève (4ème5)'!JH11:JK11,"D"))*1))/(COUNTA(JH11:JK11)),"")</f>
        <v>3</v>
      </c>
      <c r="JM11" s="181" t="str">
        <f t="shared" si="53"/>
        <v>B</v>
      </c>
      <c r="JN11" s="123" t="s">
        <v>29</v>
      </c>
      <c r="JO11" s="124" t="s">
        <v>29</v>
      </c>
      <c r="JP11" s="125" t="s">
        <v>29</v>
      </c>
      <c r="JQ11" s="125"/>
      <c r="JR11" s="125"/>
      <c r="JS11" s="180">
        <f>IFERROR((((COUNTIF('Elève (4ème5)'!JN11:JR11,"A"))*4)+((COUNTIF('Elève (4ème5)'!JN11:JR11,"B"))*3)+((COUNTIF('Elève (4ème5)'!JN11:JR11,"C"))*2)+((COUNTIF('Elève (4ème5)'!JN11:JR11,"D"))*1))/(COUNTA(JN11:JR11)),"")</f>
        <v>4</v>
      </c>
      <c r="JT11" s="181" t="str">
        <f t="shared" si="54"/>
        <v>A</v>
      </c>
      <c r="JU11" s="208">
        <f>IF(COUNT(JF11,JL11,JS11)=0,"",SUM(JF11,JL11,JS11)/COUNT(JF11,JL11,JS11))</f>
        <v>3.3333333333333335</v>
      </c>
      <c r="JV11" s="205" t="str">
        <f t="shared" si="55"/>
        <v>B</v>
      </c>
      <c r="JW11" s="123"/>
      <c r="JX11" s="124" t="s">
        <v>31</v>
      </c>
      <c r="JY11" s="125"/>
      <c r="JZ11" s="180">
        <f>IFERROR((((COUNTIF('Elève (4ème5)'!JW11:JY11,"A"))*4)+((COUNTIF('Elève (4ème5)'!JW11:JY11,"B"))*3)+((COUNTIF('Elève (4ème5)'!JW11:JY11,"C"))*2)+((COUNTIF('Elève (4ème5)'!JW11:JY11,"D"))*1))/(COUNTA(JW11:JY11)),"")</f>
        <v>2</v>
      </c>
      <c r="KA11" s="181" t="str">
        <f t="shared" si="56"/>
        <v>C</v>
      </c>
      <c r="KB11" s="123" t="s">
        <v>30</v>
      </c>
      <c r="KC11" s="124" t="s">
        <v>29</v>
      </c>
      <c r="KD11" s="125"/>
      <c r="KE11" s="125"/>
      <c r="KF11" s="180">
        <f>IFERROR((((COUNTIF('Elève (4ème5)'!KB11:KE11,"A"))*4)+((COUNTIF('Elève (4ème5)'!KB11:KE11,"B"))*3)+((COUNTIF('Elève (4ème5)'!KB11:KE11,"C"))*2)+((COUNTIF('Elève (4ème5)'!KB11:KE11,"D"))*1))/(COUNTA(KB11:KE11)),"")</f>
        <v>3.5</v>
      </c>
      <c r="KG11" s="181" t="str">
        <f t="shared" si="57"/>
        <v>B</v>
      </c>
      <c r="KH11" s="123" t="s">
        <v>29</v>
      </c>
      <c r="KI11" s="124" t="s">
        <v>29</v>
      </c>
      <c r="KJ11" s="125" t="s">
        <v>30</v>
      </c>
      <c r="KK11" s="125"/>
      <c r="KL11" s="125"/>
      <c r="KM11" s="180">
        <f>IFERROR((((COUNTIF('Elève (4ème5)'!KH11:KL11,"A"))*4)+((COUNTIF('Elève (4ème5)'!KH11:KL11,"B"))*3)+((COUNTIF('Elève (4ème5)'!KH11:KL11,"C"))*2)+((COUNTIF('Elève (4ème5)'!KH11:KL11,"D"))*1))/(COUNTA(KH11:KL11)),"")</f>
        <v>3.6666666666666665</v>
      </c>
      <c r="KN11" s="181" t="str">
        <f t="shared" si="58"/>
        <v>B</v>
      </c>
      <c r="KO11" s="208">
        <f>IF(COUNT(JZ11,KF11,KM11)=0,"",SUM(JZ11,KF11,KM11)/COUNT(JZ11,KF11,KM11))</f>
        <v>3.0555555555555554</v>
      </c>
      <c r="KP11" s="205" t="str">
        <f t="shared" si="59"/>
        <v>B</v>
      </c>
      <c r="KQ11" s="123"/>
      <c r="KR11" s="124" t="s">
        <v>30</v>
      </c>
      <c r="KS11" s="125"/>
      <c r="KT11" s="180">
        <f>IFERROR((((COUNTIF('Elève (4ème5)'!KQ11:KS11,"A"))*4)+((COUNTIF('Elève (4ème5)'!KQ11:KS11,"B"))*3)+((COUNTIF('Elève (4ème5)'!KQ11:KS11,"C"))*2)+((COUNTIF('Elève (4ème5)'!KQ11:KS11,"D"))*1))/(COUNTA(KQ11:KS11)),"")</f>
        <v>3</v>
      </c>
      <c r="KU11" s="181" t="str">
        <f t="shared" si="60"/>
        <v>B</v>
      </c>
      <c r="KV11" s="123" t="s">
        <v>30</v>
      </c>
      <c r="KW11" s="124" t="s">
        <v>30</v>
      </c>
      <c r="KX11" s="125"/>
      <c r="KY11" s="125"/>
      <c r="KZ11" s="180">
        <f>IFERROR((((COUNTIF('Elève (4ème5)'!KV11:KY11,"A"))*4)+((COUNTIF('Elève (4ème5)'!KV11:KY11,"B"))*3)+((COUNTIF('Elève (4ème5)'!KV11:KY11,"C"))*2)+((COUNTIF('Elève (4ème5)'!KV11:KY11,"D"))*1))/(COUNTA(KV11:KY11)),"")</f>
        <v>3</v>
      </c>
      <c r="LA11" s="181" t="str">
        <f t="shared" si="61"/>
        <v>B</v>
      </c>
      <c r="LB11" s="123" t="s">
        <v>29</v>
      </c>
      <c r="LC11" s="124" t="s">
        <v>29</v>
      </c>
      <c r="LD11" s="125" t="s">
        <v>29</v>
      </c>
      <c r="LE11" s="125"/>
      <c r="LF11" s="125"/>
      <c r="LG11" s="180">
        <f>IFERROR((((COUNTIF('Elève (4ème5)'!LB11:LF11,"A"))*4)+((COUNTIF('Elève (4ème5)'!LB11:LF11,"B"))*3)+((COUNTIF('Elève (4ème5)'!LB11:LF11,"C"))*2)+((COUNTIF('Elève (4ème5)'!LB11:LF11,"D"))*1))/(COUNTA(LB11:LF11)),"")</f>
        <v>4</v>
      </c>
      <c r="LH11" s="181" t="str">
        <f t="shared" si="62"/>
        <v>A</v>
      </c>
      <c r="LI11" s="208">
        <f>IF(COUNT(KT11,KZ11,LG11)=0,"",SUM(KT11,KZ11,LG11)/COUNT(KT11,KZ11,LG11))</f>
        <v>3.3333333333333335</v>
      </c>
      <c r="LJ11" s="205" t="str">
        <f t="shared" si="63"/>
        <v>B</v>
      </c>
      <c r="LK11" s="123"/>
      <c r="LL11" s="124"/>
      <c r="LM11" s="125"/>
      <c r="LN11" s="180" t="str">
        <f>IFERROR((((COUNTIF('Elève (4ème5)'!LK11:LM11,"A"))*4)+((COUNTIF('Elève (4ème5)'!LK11:LM11,"B"))*3)+((COUNTIF('Elève (4ème5)'!LK11:LM11,"C"))*2)+((COUNTIF('Elève (4ème5)'!LK11:LM11,"D"))*1))/(COUNTA(LK11:LM11)),"")</f>
        <v/>
      </c>
      <c r="LO11" s="181" t="str">
        <f t="shared" si="64"/>
        <v/>
      </c>
      <c r="LP11" s="123"/>
      <c r="LQ11" s="124"/>
      <c r="LR11" s="125"/>
      <c r="LS11" s="125"/>
      <c r="LT11" s="180" t="str">
        <f>IFERROR((((COUNTIF('Elève (4ème5)'!LP11:LS11,"A"))*4)+((COUNTIF('Elève (4ème5)'!LP11:LS11,"B"))*3)+((COUNTIF('Elève (4ème5)'!LP11:LS11,"C"))*2)+((COUNTIF('Elève (4ème5)'!LP11:LS11,"D"))*1))/(COUNTA(LP11:LS11)),"")</f>
        <v/>
      </c>
      <c r="LU11" s="181" t="str">
        <f t="shared" si="65"/>
        <v/>
      </c>
      <c r="LV11" s="123"/>
      <c r="LW11" s="124"/>
      <c r="LX11" s="125"/>
      <c r="LY11" s="125"/>
      <c r="LZ11" s="125"/>
      <c r="MA11" s="180" t="str">
        <f>IFERROR((((COUNTIF('Elève (4ème5)'!LV11:LZ11,"A"))*4)+((COUNTIF('Elève (4ème5)'!LV11:LZ11,"B"))*3)+((COUNTIF('Elève (4ème5)'!LV11:LZ11,"C"))*2)+((COUNTIF('Elève (4ème5)'!LV11:LZ11,"D"))*1))/(COUNTA(LV11:LZ11)),"")</f>
        <v/>
      </c>
      <c r="MB11" s="181" t="str">
        <f t="shared" si="66"/>
        <v/>
      </c>
      <c r="MC11" s="208" t="str">
        <f>IF(COUNT(LN11,LT11,MA11)=0,"",SUM(LN11,LT11,MA11)/COUNT(LN11,LT11,MA11))</f>
        <v/>
      </c>
      <c r="MD11" s="205" t="str">
        <f t="shared" si="67"/>
        <v/>
      </c>
      <c r="ME11" s="123"/>
      <c r="MF11" s="124" t="s">
        <v>31</v>
      </c>
      <c r="MG11" s="125"/>
      <c r="MH11" s="180">
        <f>IFERROR((((COUNTIF('Elève (4ème5)'!ME11:MG11,"A"))*4)+((COUNTIF('Elève (4ème5)'!ME11:MG11,"B"))*3)+((COUNTIF('Elève (4ème5)'!ME11:MG11,"C"))*2)+((COUNTIF('Elève (4ème5)'!ME11:MG11,"D"))*1))/(COUNTA(ME11:MG11)),"")</f>
        <v>2</v>
      </c>
      <c r="MI11" s="181" t="str">
        <f t="shared" si="68"/>
        <v>C</v>
      </c>
      <c r="MJ11" s="123" t="s">
        <v>29</v>
      </c>
      <c r="MK11" s="124" t="s">
        <v>30</v>
      </c>
      <c r="ML11" s="125"/>
      <c r="MM11" s="125"/>
      <c r="MN11" s="180">
        <f>IFERROR((((COUNTIF('Elève (4ème5)'!MJ11:MM11,"A"))*4)+((COUNTIF('Elève (4ème5)'!MJ11:MM11,"B"))*3)+((COUNTIF('Elève (4ème5)'!MJ11:MM11,"C"))*2)+((COUNTIF('Elève (4ème5)'!MJ11:MM11,"D"))*1))/(COUNTA(MJ11:MM11)),"")</f>
        <v>3.5</v>
      </c>
      <c r="MO11" s="181" t="str">
        <f t="shared" si="69"/>
        <v>B</v>
      </c>
      <c r="MP11" s="123" t="s">
        <v>29</v>
      </c>
      <c r="MQ11" s="124" t="s">
        <v>29</v>
      </c>
      <c r="MR11" s="125" t="s">
        <v>29</v>
      </c>
      <c r="MS11" s="125"/>
      <c r="MT11" s="125"/>
      <c r="MU11" s="180">
        <f>IFERROR((((COUNTIF('Elève (4ème5)'!MP11:MT11,"A"))*4)+((COUNTIF('Elève (4ème5)'!MP11:MT11,"B"))*3)+((COUNTIF('Elève (4ème5)'!MP11:MT11,"C"))*2)+((COUNTIF('Elève (4ème5)'!MP11:MT11,"D"))*1))/(COUNTA(MP11:MT11)),"")</f>
        <v>4</v>
      </c>
      <c r="MV11" s="181" t="str">
        <f t="shared" si="70"/>
        <v>A</v>
      </c>
      <c r="MW11" s="208">
        <f>IF(COUNT(MH11,MN11,MU11)=0,"",SUM(MH11,MN11,MU11)/COUNT(MH11,MN11,MU11))</f>
        <v>3.1666666666666665</v>
      </c>
      <c r="MX11" s="205" t="str">
        <f t="shared" si="71"/>
        <v>B</v>
      </c>
      <c r="MY11" s="123"/>
      <c r="MZ11" s="124" t="s">
        <v>32</v>
      </c>
      <c r="NA11" s="125"/>
      <c r="NB11" s="180">
        <f>IFERROR((((COUNTIF('Elève (4ème5)'!MY11:NA11,"A"))*4)+((COUNTIF('Elève (4ème5)'!MY11:NA11,"B"))*3)+((COUNTIF('Elève (4ème5)'!MY11:NA11,"C"))*2)+((COUNTIF('Elève (4ème5)'!MY11:NA11,"D"))*1))/(COUNTA(MY11:NA11)),"")</f>
        <v>1</v>
      </c>
      <c r="NC11" s="181" t="str">
        <f t="shared" si="72"/>
        <v>D</v>
      </c>
      <c r="ND11" s="123" t="s">
        <v>30</v>
      </c>
      <c r="NE11" s="124" t="s">
        <v>29</v>
      </c>
      <c r="NF11" s="125"/>
      <c r="NG11" s="125"/>
      <c r="NH11" s="180">
        <f>IFERROR((((COUNTIF('Elève (4ème5)'!ND11:NG11,"A"))*4)+((COUNTIF('Elève (4ème5)'!ND11:NG11,"B"))*3)+((COUNTIF('Elève (4ème5)'!ND11:NG11,"C"))*2)+((COUNTIF('Elève (4ème5)'!ND11:NG11,"D"))*1))/(COUNTA(ND11:NG11)),"")</f>
        <v>3.5</v>
      </c>
      <c r="NI11" s="181" t="str">
        <f t="shared" si="73"/>
        <v>B</v>
      </c>
      <c r="NJ11" s="123" t="s">
        <v>29</v>
      </c>
      <c r="NK11" s="124" t="s">
        <v>29</v>
      </c>
      <c r="NL11" s="125" t="s">
        <v>30</v>
      </c>
      <c r="NM11" s="125"/>
      <c r="NN11" s="125"/>
      <c r="NO11" s="180">
        <f>IFERROR((((COUNTIF('Elève (4ème5)'!NJ11:NN11,"A"))*4)+((COUNTIF('Elève (4ème5)'!NJ11:NN11,"B"))*3)+((COUNTIF('Elève (4ème5)'!NJ11:NN11,"C"))*2)+((COUNTIF('Elève (4ème5)'!NJ11:NN11,"D"))*1))/(COUNTA(NJ11:NN11)),"")</f>
        <v>3.6666666666666665</v>
      </c>
      <c r="NP11" s="181" t="str">
        <f t="shared" si="74"/>
        <v>B</v>
      </c>
      <c r="NQ11" s="208">
        <f>IF(COUNT(NB11,NH11,NO11)=0,"",SUM(NB11,NH11,NO11)/COUNT(NB11,NH11,NO11))</f>
        <v>2.7222222222222219</v>
      </c>
      <c r="NR11" s="205" t="str">
        <f t="shared" si="75"/>
        <v>C</v>
      </c>
      <c r="NS11" s="123"/>
      <c r="NT11" s="124" t="s">
        <v>30</v>
      </c>
      <c r="NU11" s="125"/>
      <c r="NV11" s="180">
        <f>IFERROR((((COUNTIF('Elève (4ème5)'!NS11:NU11,"A"))*4)+((COUNTIF('Elève (4ème5)'!NS11:NU11,"B"))*3)+((COUNTIF('Elève (4ème5)'!NS11:NU11,"C"))*2)+((COUNTIF('Elève (4ème5)'!NS11:NU11,"D"))*1))/(COUNTA(NS11:NU11)),"")</f>
        <v>3</v>
      </c>
      <c r="NW11" s="181" t="str">
        <f t="shared" si="76"/>
        <v>B</v>
      </c>
      <c r="NX11" s="123" t="s">
        <v>31</v>
      </c>
      <c r="NY11" s="124" t="s">
        <v>30</v>
      </c>
      <c r="NZ11" s="125"/>
      <c r="OA11" s="125"/>
      <c r="OB11" s="180">
        <f>IFERROR((((COUNTIF('Elève (4ème5)'!NX11:OA11,"A"))*4)+((COUNTIF('Elève (4ème5)'!NX11:OA11,"B"))*3)+((COUNTIF('Elève (4ème5)'!NX11:OA11,"C"))*2)+((COUNTIF('Elève (4ème5)'!NX11:OA11,"D"))*1))/(COUNTA(NX11:OA11)),"")</f>
        <v>2.5</v>
      </c>
      <c r="OC11" s="181" t="str">
        <f t="shared" si="77"/>
        <v>C</v>
      </c>
      <c r="OD11" s="123" t="s">
        <v>29</v>
      </c>
      <c r="OE11" s="124" t="s">
        <v>29</v>
      </c>
      <c r="OF11" s="125" t="s">
        <v>29</v>
      </c>
      <c r="OG11" s="125"/>
      <c r="OH11" s="125"/>
      <c r="OI11" s="180">
        <f>IFERROR((((COUNTIF('Elève (4ème5)'!OD11:OH11,"A"))*4)+((COUNTIF('Elève (4ème5)'!OD11:OH11,"B"))*3)+((COUNTIF('Elève (4ème5)'!OD11:OH11,"C"))*2)+((COUNTIF('Elève (4ème5)'!OD11:OH11,"D"))*1))/(COUNTA(OD11:OH11)),"")</f>
        <v>4</v>
      </c>
      <c r="OJ11" s="181" t="str">
        <f t="shared" si="78"/>
        <v>A</v>
      </c>
      <c r="OK11" s="208">
        <f>IF(COUNT(NV11,OB11,OI11)=0,"",SUM(NV11,OB11,OI11)/COUNT(NV11,OB11,OI11))</f>
        <v>3.1666666666666665</v>
      </c>
      <c r="OL11" s="205" t="str">
        <f t="shared" si="79"/>
        <v>B</v>
      </c>
      <c r="OM11" s="123"/>
      <c r="ON11" s="124" t="s">
        <v>30</v>
      </c>
      <c r="OO11" s="125"/>
      <c r="OP11" s="180">
        <f>IFERROR((((COUNTIF('Elève (4ème5)'!OM11:OO11,"A"))*4)+((COUNTIF('Elève (4ème5)'!OM11:OO11,"B"))*3)+((COUNTIF('Elève (4ème5)'!OM11:OO11,"C"))*2)+((COUNTIF('Elève (4ème5)'!OM11:OO11,"D"))*1))/(COUNTA(OM11:OO11)),"")</f>
        <v>3</v>
      </c>
      <c r="OQ11" s="181" t="str">
        <f t="shared" si="80"/>
        <v>B</v>
      </c>
      <c r="OR11" s="123" t="s">
        <v>30</v>
      </c>
      <c r="OS11" s="124" t="s">
        <v>29</v>
      </c>
      <c r="OT11" s="125"/>
      <c r="OU11" s="125"/>
      <c r="OV11" s="180">
        <f>IFERROR((((COUNTIF('Elève (4ème5)'!OR11:OU11,"A"))*4)+((COUNTIF('Elève (4ème5)'!OR11:OU11,"B"))*3)+((COUNTIF('Elève (4ème5)'!OR11:OU11,"C"))*2)+((COUNTIF('Elève (4ème5)'!OR11:OU11,"D"))*1))/(COUNTA(OR11:OU11)),"")</f>
        <v>3.5</v>
      </c>
      <c r="OW11" s="181" t="str">
        <f t="shared" si="81"/>
        <v>B</v>
      </c>
      <c r="OX11" s="123" t="s">
        <v>29</v>
      </c>
      <c r="OY11" s="124" t="s">
        <v>29</v>
      </c>
      <c r="OZ11" s="125" t="s">
        <v>29</v>
      </c>
      <c r="PA11" s="125"/>
      <c r="PB11" s="125"/>
      <c r="PC11" s="180">
        <f>IFERROR((((COUNTIF('Elève (4ème5)'!OX11:PB11,"A"))*4)+((COUNTIF('Elève (4ème5)'!OX11:PB11,"B"))*3)+((COUNTIF('Elève (4ème5)'!OX11:PB11,"C"))*2)+((COUNTIF('Elève (4ème5)'!OX11:PB11,"D"))*1))/(COUNTA(OX11:PB11)),"")</f>
        <v>4</v>
      </c>
      <c r="PD11" s="181" t="str">
        <f t="shared" si="82"/>
        <v>A</v>
      </c>
      <c r="PE11" s="208">
        <f>IF(COUNT(OP11,OV11,PC11)=0,"",SUM(OP11,OV11,PC11)/COUNT(OP11,OV11,PC11))</f>
        <v>3.5</v>
      </c>
      <c r="PF11" s="205" t="str">
        <f t="shared" si="83"/>
        <v>B</v>
      </c>
      <c r="PG11" s="123"/>
      <c r="PH11" s="124"/>
      <c r="PI11" s="125"/>
      <c r="PJ11" s="180" t="str">
        <f>IFERROR((((COUNTIF('Elève (4ème5)'!PG11:PI11,"A"))*4)+((COUNTIF('Elève (4ème5)'!PG11:PI11,"B"))*3)+((COUNTIF('Elève (4ème5)'!PG11:PI11,"C"))*2)+((COUNTIF('Elève (4ème5)'!PG11:PI11,"D"))*1))/(COUNTA(PG11:PI11)),"")</f>
        <v/>
      </c>
      <c r="PK11" s="181" t="str">
        <f t="shared" si="84"/>
        <v/>
      </c>
      <c r="PL11" s="123" t="s">
        <v>29</v>
      </c>
      <c r="PM11" s="124" t="s">
        <v>29</v>
      </c>
      <c r="PN11" s="125"/>
      <c r="PO11" s="125"/>
      <c r="PP11" s="180">
        <f>IFERROR((((COUNTIF('Elève (4ème5)'!PL11:PO11,"A"))*4)+((COUNTIF('Elève (4ème5)'!PL11:PO11,"B"))*3)+((COUNTIF('Elève (4ème5)'!PL11:PO11,"C"))*2)+((COUNTIF('Elève (4ème5)'!PL11:PO11,"D"))*1))/(COUNTA(PL11:PO11)),"")</f>
        <v>4</v>
      </c>
      <c r="PQ11" s="181" t="str">
        <f t="shared" si="85"/>
        <v>A</v>
      </c>
      <c r="PR11" s="123" t="s">
        <v>29</v>
      </c>
      <c r="PS11" s="124" t="s">
        <v>29</v>
      </c>
      <c r="PT11" s="125" t="s">
        <v>29</v>
      </c>
      <c r="PU11" s="125"/>
      <c r="PV11" s="125"/>
      <c r="PW11" s="180">
        <f>IFERROR((((COUNTIF('Elève (4ème5)'!PR11:PV11,"A"))*4)+((COUNTIF('Elève (4ème5)'!PR11:PV11,"B"))*3)+((COUNTIF('Elève (4ème5)'!PR11:PV11,"C"))*2)+((COUNTIF('Elève (4ème5)'!PR11:PV11,"D"))*1))/(COUNTA(PR11:PV11)),"")</f>
        <v>4</v>
      </c>
      <c r="PX11" s="181" t="str">
        <f t="shared" si="86"/>
        <v>A</v>
      </c>
      <c r="PY11" s="208">
        <f>IF(COUNT(PJ11,PP11,PW11)=0,"",SUM(PJ11,PP11,PW11)/COUNT(PJ11,PP11,PW11))</f>
        <v>4</v>
      </c>
      <c r="PZ11" s="205" t="str">
        <f t="shared" si="87"/>
        <v>A</v>
      </c>
      <c r="QA11" s="123"/>
      <c r="QB11" s="124" t="s">
        <v>30</v>
      </c>
      <c r="QC11" s="125"/>
      <c r="QD11" s="180">
        <f>IFERROR((((COUNTIF('Elève (4ème5)'!QA11:QC11,"A"))*4)+((COUNTIF('Elève (4ème5)'!QA11:QC11,"B"))*3)+((COUNTIF('Elève (4ème5)'!QA11:QC11,"C"))*2)+((COUNTIF('Elève (4ème5)'!QA11:QC11,"D"))*1))/(COUNTA(QA11:QC11)),"")</f>
        <v>3</v>
      </c>
      <c r="QE11" s="181" t="str">
        <f t="shared" si="88"/>
        <v>B</v>
      </c>
      <c r="QF11" s="123" t="s">
        <v>30</v>
      </c>
      <c r="QG11" s="124" t="s">
        <v>30</v>
      </c>
      <c r="QH11" s="125"/>
      <c r="QI11" s="125"/>
      <c r="QJ11" s="180">
        <f>IFERROR((((COUNTIF('Elève (4ème5)'!QF11:QI11,"A"))*4)+((COUNTIF('Elève (4ème5)'!QF11:QI11,"B"))*3)+((COUNTIF('Elève (4ème5)'!QF11:QI11,"C"))*2)+((COUNTIF('Elève (4ème5)'!QF11:QI11,"D"))*1))/(COUNTA(QF11:QI11)),"")</f>
        <v>3</v>
      </c>
      <c r="QK11" s="181" t="str">
        <f t="shared" si="89"/>
        <v>B</v>
      </c>
      <c r="QL11" s="123" t="s">
        <v>29</v>
      </c>
      <c r="QM11" s="124"/>
      <c r="QN11" s="125" t="s">
        <v>29</v>
      </c>
      <c r="QO11" s="125"/>
      <c r="QP11" s="125"/>
      <c r="QQ11" s="180">
        <f>IFERROR((((COUNTIF('Elève (4ème5)'!QL11:QP11,"A"))*4)+((COUNTIF('Elève (4ème5)'!QL11:QP11,"B"))*3)+((COUNTIF('Elève (4ème5)'!QL11:QP11,"C"))*2)+((COUNTIF('Elève (4ème5)'!QL11:QP11,"D"))*1))/(COUNTA(QL11:QP11)),"")</f>
        <v>4</v>
      </c>
      <c r="QR11" s="181" t="str">
        <f t="shared" si="90"/>
        <v>A</v>
      </c>
      <c r="QS11" s="208">
        <f>IF(COUNT(QD11,QJ11,QQ11)=0,"",SUM(QD11,QJ11,QQ11)/COUNT(QD11,QJ11,QQ11))</f>
        <v>3.3333333333333335</v>
      </c>
      <c r="QT11" s="205" t="str">
        <f t="shared" si="91"/>
        <v>B</v>
      </c>
      <c r="QU11" s="123"/>
      <c r="QV11" s="124" t="s">
        <v>30</v>
      </c>
      <c r="QW11" s="125"/>
      <c r="QX11" s="180">
        <f>IFERROR((((COUNTIF('Elève (4ème5)'!QU11:QW11,"A"))*4)+((COUNTIF('Elève (4ème5)'!QU11:QW11,"B"))*3)+((COUNTIF('Elève (4ème5)'!QU11:QW11,"C"))*2)+((COUNTIF('Elève (4ème5)'!QU11:QW11,"D"))*1))/(COUNTA(QU11:QW11)),"")</f>
        <v>3</v>
      </c>
      <c r="QY11" s="181" t="str">
        <f t="shared" si="92"/>
        <v>B</v>
      </c>
      <c r="QZ11" s="123" t="s">
        <v>30</v>
      </c>
      <c r="RA11" s="124" t="s">
        <v>30</v>
      </c>
      <c r="RB11" s="125"/>
      <c r="RC11" s="125"/>
      <c r="RD11" s="180">
        <f>IFERROR((((COUNTIF('Elève (4ème5)'!QZ11:RC11,"A"))*4)+((COUNTIF('Elève (4ème5)'!QZ11:RC11,"B"))*3)+((COUNTIF('Elève (4ème5)'!QZ11:RC11,"C"))*2)+((COUNTIF('Elève (4ème5)'!QZ11:RC11,"D"))*1))/(COUNTA(QZ11:RC11)),"")</f>
        <v>3</v>
      </c>
      <c r="RE11" s="181" t="str">
        <f t="shared" si="93"/>
        <v>B</v>
      </c>
      <c r="RF11" s="123" t="s">
        <v>29</v>
      </c>
      <c r="RG11" s="124" t="s">
        <v>31</v>
      </c>
      <c r="RH11" s="125" t="s">
        <v>29</v>
      </c>
      <c r="RI11" s="125"/>
      <c r="RJ11" s="125"/>
      <c r="RK11" s="180">
        <f>IFERROR((((COUNTIF('Elève (4ème5)'!RF11:RJ11,"A"))*4)+((COUNTIF('Elève (4ème5)'!RF11:RJ11,"B"))*3)+((COUNTIF('Elève (4ème5)'!RF11:RJ11,"C"))*2)+((COUNTIF('Elève (4ème5)'!RF11:RJ11,"D"))*1))/(COUNTA(RF11:RJ11)),"")</f>
        <v>3.3333333333333335</v>
      </c>
      <c r="RL11" s="181" t="str">
        <f t="shared" si="94"/>
        <v>B</v>
      </c>
      <c r="RM11" s="208">
        <f>IF(COUNT(QX11,RD11,RK11)=0,"",SUM(QX11,RD11,RK11)/COUNT(QX11,RD11,RK11))</f>
        <v>3.1111111111111112</v>
      </c>
      <c r="RN11" s="205" t="str">
        <f t="shared" si="95"/>
        <v>B</v>
      </c>
      <c r="RO11" s="123"/>
      <c r="RP11" s="124" t="s">
        <v>29</v>
      </c>
      <c r="RQ11" s="125"/>
      <c r="RR11" s="180">
        <f>IFERROR((((COUNTIF('Elève (4ème5)'!RO11:RQ11,"A"))*4)+((COUNTIF('Elève (4ème5)'!RO11:RQ11,"B"))*3)+((COUNTIF('Elève (4ème5)'!RO11:RQ11,"C"))*2)+((COUNTIF('Elève (4ème5)'!RO11:RQ11,"D"))*1))/(COUNTA(RO11:RQ11)),"")</f>
        <v>4</v>
      </c>
      <c r="RS11" s="181" t="str">
        <f t="shared" si="96"/>
        <v>A</v>
      </c>
      <c r="RT11" s="123" t="s">
        <v>30</v>
      </c>
      <c r="RU11" s="124" t="s">
        <v>30</v>
      </c>
      <c r="RV11" s="125"/>
      <c r="RW11" s="125"/>
      <c r="RX11" s="180">
        <f>IFERROR((((COUNTIF('Elève (4ème5)'!RT11:RW11,"A"))*4)+((COUNTIF('Elève (4ème5)'!RT11:RW11,"B"))*3)+((COUNTIF('Elève (4ème5)'!RT11:RW11,"C"))*2)+((COUNTIF('Elève (4ème5)'!RT11:RW11,"D"))*1))/(COUNTA(RT11:RW11)),"")</f>
        <v>3</v>
      </c>
      <c r="RY11" s="181" t="str">
        <f t="shared" si="97"/>
        <v>B</v>
      </c>
      <c r="RZ11" s="123" t="s">
        <v>29</v>
      </c>
      <c r="SA11" s="124" t="s">
        <v>29</v>
      </c>
      <c r="SB11" s="125" t="s">
        <v>30</v>
      </c>
      <c r="SC11" s="125"/>
      <c r="SD11" s="125"/>
      <c r="SE11" s="180">
        <f>IFERROR((((COUNTIF('Elève (4ème5)'!RZ11:SD11,"A"))*4)+((COUNTIF('Elève (4ème5)'!RZ11:SD11,"B"))*3)+((COUNTIF('Elève (4ème5)'!RZ11:SD11,"C"))*2)+((COUNTIF('Elève (4ème5)'!RZ11:SD11,"D"))*1))/(COUNTA(RZ11:SD11)),"")</f>
        <v>3.6666666666666665</v>
      </c>
      <c r="SF11" s="181" t="str">
        <f t="shared" si="98"/>
        <v>B</v>
      </c>
      <c r="SG11" s="208">
        <f>IF(COUNT(RR11,RX11,SE11)=0,"",SUM(RR11,RX11,SE11)/COUNT(RR11,RX11,SE11))</f>
        <v>3.5555555555555554</v>
      </c>
      <c r="SH11" s="205" t="str">
        <f t="shared" si="99"/>
        <v>B</v>
      </c>
      <c r="SI11" s="123"/>
      <c r="SJ11" s="124" t="s">
        <v>31</v>
      </c>
      <c r="SK11" s="125"/>
      <c r="SL11" s="180">
        <f>IFERROR((((COUNTIF('Elève (4ème5)'!SI11:SK11,"A"))*4)+((COUNTIF('Elève (4ème5)'!SI11:SK11,"B"))*3)+((COUNTIF('Elève (4ème5)'!SI11:SK11,"C"))*2)+((COUNTIF('Elève (4ème5)'!SI11:SK11,"D"))*1))/(COUNTA(SI11:SK11)),"")</f>
        <v>2</v>
      </c>
      <c r="SM11" s="181" t="str">
        <f t="shared" si="100"/>
        <v>C</v>
      </c>
      <c r="SN11" s="123" t="s">
        <v>29</v>
      </c>
      <c r="SO11" s="124" t="s">
        <v>30</v>
      </c>
      <c r="SP11" s="125"/>
      <c r="SQ11" s="125"/>
      <c r="SR11" s="180">
        <f>IFERROR((((COUNTIF('Elève (4ème5)'!SN11:SQ11,"A"))*4)+((COUNTIF('Elève (4ème5)'!SN11:SQ11,"B"))*3)+((COUNTIF('Elève (4ème5)'!SN11:SQ11,"C"))*2)+((COUNTIF('Elève (4ème5)'!SN11:SQ11,"D"))*1))/(COUNTA(SN11:SQ11)),"")</f>
        <v>3.5</v>
      </c>
      <c r="SS11" s="181" t="str">
        <f t="shared" si="101"/>
        <v>B</v>
      </c>
      <c r="ST11" s="123" t="s">
        <v>29</v>
      </c>
      <c r="SU11" s="124" t="s">
        <v>31</v>
      </c>
      <c r="SV11" s="125" t="s">
        <v>29</v>
      </c>
      <c r="SW11" s="125"/>
      <c r="SX11" s="125"/>
      <c r="SY11" s="180">
        <f>IFERROR((((COUNTIF('Elève (4ème5)'!ST11:SX11,"A"))*4)+((COUNTIF('Elève (4ème5)'!ST11:SX11,"B"))*3)+((COUNTIF('Elève (4ème5)'!ST11:SX11,"C"))*2)+((COUNTIF('Elève (4ème5)'!ST11:SX11,"D"))*1))/(COUNTA(ST11:SX11)),"")</f>
        <v>3.3333333333333335</v>
      </c>
      <c r="SZ11" s="181" t="str">
        <f t="shared" si="102"/>
        <v>B</v>
      </c>
      <c r="TA11" s="208">
        <f>IF(COUNT(SL11,SR11,SY11)=0,"",SUM(SL11,SR11,SY11)/COUNT(SL11,SR11,SY11))</f>
        <v>2.9444444444444446</v>
      </c>
      <c r="TB11" s="205" t="str">
        <f t="shared" si="103"/>
        <v>B</v>
      </c>
      <c r="TC11" s="123"/>
      <c r="TD11" s="124" t="s">
        <v>29</v>
      </c>
      <c r="TE11" s="125"/>
      <c r="TF11" s="180">
        <f>IFERROR((((COUNTIF('Elève (4ème5)'!TC11:TE11,"A"))*4)+((COUNTIF('Elève (4ème5)'!TC11:TE11,"B"))*3)+((COUNTIF('Elève (4ème5)'!TC11:TE11,"C"))*2)+((COUNTIF('Elève (4ème5)'!TC11:TE11,"D"))*1))/(COUNTA(TC11:TE11)),"")</f>
        <v>4</v>
      </c>
      <c r="TG11" s="181" t="str">
        <f t="shared" si="104"/>
        <v>A</v>
      </c>
      <c r="TH11" s="123" t="s">
        <v>30</v>
      </c>
      <c r="TI11" s="124"/>
      <c r="TJ11" s="125"/>
      <c r="TK11" s="125"/>
      <c r="TL11" s="180">
        <f>IFERROR((((COUNTIF('Elève (4ème5)'!TH11:TK11,"A"))*4)+((COUNTIF('Elève (4ème5)'!TH11:TK11,"B"))*3)+((COUNTIF('Elève (4ème5)'!TH11:TK11,"C"))*2)+((COUNTIF('Elève (4ème5)'!TH11:TK11,"D"))*1))/(COUNTA(TH11:TK11)),"")</f>
        <v>3</v>
      </c>
      <c r="TM11" s="181" t="str">
        <f t="shared" si="105"/>
        <v>B</v>
      </c>
      <c r="TN11" s="123" t="s">
        <v>29</v>
      </c>
      <c r="TO11" s="124" t="s">
        <v>31</v>
      </c>
      <c r="TP11" s="125"/>
      <c r="TQ11" s="125"/>
      <c r="TR11" s="125"/>
      <c r="TS11" s="180">
        <f>IFERROR((((COUNTIF('Elève (4ème5)'!TN11:TR11,"A"))*4)+((COUNTIF('Elève (4ème5)'!TN11:TR11,"B"))*3)+((COUNTIF('Elève (4ème5)'!TN11:TR11,"C"))*2)+((COUNTIF('Elève (4ème5)'!TN11:TR11,"D"))*1))/(COUNTA(TN11:TR11)),"")</f>
        <v>3</v>
      </c>
      <c r="TT11" s="181" t="str">
        <f t="shared" si="106"/>
        <v>B</v>
      </c>
      <c r="TU11" s="208">
        <f>IF(COUNT(TF11,TL11,TS11)=0,"",SUM(TF11,TL11,TS11)/COUNT(TF11,TL11,TS11))</f>
        <v>3.3333333333333335</v>
      </c>
      <c r="TV11" s="205" t="str">
        <f t="shared" si="107"/>
        <v>B</v>
      </c>
      <c r="TW11" s="123"/>
      <c r="TX11" s="124" t="s">
        <v>29</v>
      </c>
      <c r="TY11" s="125"/>
      <c r="TZ11" s="180">
        <f>IFERROR((((COUNTIF('Elève (4ème5)'!TW11:TY11,"A"))*4)+((COUNTIF('Elève (4ème5)'!TW11:TY11,"B"))*3)+((COUNTIF('Elève (4ème5)'!TW11:TY11,"C"))*2)+((COUNTIF('Elève (4ème5)'!TW11:TY11,"D"))*1))/(COUNTA(TW11:TY11)),"")</f>
        <v>4</v>
      </c>
      <c r="UA11" s="181" t="str">
        <f t="shared" si="108"/>
        <v>A</v>
      </c>
      <c r="UB11" s="123" t="s">
        <v>30</v>
      </c>
      <c r="UC11" s="124" t="s">
        <v>30</v>
      </c>
      <c r="UD11" s="125"/>
      <c r="UE11" s="125"/>
      <c r="UF11" s="180">
        <f>IFERROR((((COUNTIF('Elève (4ème5)'!UB11:UE11,"A"))*4)+((COUNTIF('Elève (4ème5)'!UB11:UE11,"B"))*3)+((COUNTIF('Elève (4ème5)'!UB11:UE11,"C"))*2)+((COUNTIF('Elève (4ème5)'!UB11:UE11,"D"))*1))/(COUNTA(UB11:UE11)),"")</f>
        <v>3</v>
      </c>
      <c r="UG11" s="181" t="str">
        <f t="shared" si="109"/>
        <v>B</v>
      </c>
      <c r="UH11" s="123" t="s">
        <v>29</v>
      </c>
      <c r="UI11" s="124" t="s">
        <v>29</v>
      </c>
      <c r="UJ11" s="125" t="s">
        <v>29</v>
      </c>
      <c r="UK11" s="125"/>
      <c r="UL11" s="125"/>
      <c r="UM11" s="180">
        <f>IFERROR((((COUNTIF('Elève (4ème5)'!UH11:UL11,"A"))*4)+((COUNTIF('Elève (4ème5)'!UH11:UL11,"B"))*3)+((COUNTIF('Elève (4ème5)'!UH11:UL11,"C"))*2)+((COUNTIF('Elève (4ème5)'!UH11:UL11,"D"))*1))/(COUNTA(UH11:UL11)),"")</f>
        <v>4</v>
      </c>
      <c r="UN11" s="181" t="str">
        <f t="shared" si="110"/>
        <v>A</v>
      </c>
      <c r="UO11" s="208">
        <f>IF(COUNT(TZ11,UF11,UM11)=0,"",SUM(TZ11,UF11,UM11)/COUNT(TZ11,UF11,UM11))</f>
        <v>3.6666666666666665</v>
      </c>
      <c r="UP11" s="205" t="str">
        <f t="shared" si="111"/>
        <v>B</v>
      </c>
      <c r="UQ11" s="123"/>
      <c r="UR11" s="124"/>
      <c r="US11" s="125"/>
      <c r="UT11" s="119" t="str">
        <f>IFERROR((((COUNTIF('Elève (4ème5)'!UQ11:US11,"A"))*4)+((COUNTIF('Elève (4ème5)'!UQ11:US11,"B"))*3)+((COUNTIF('Elève (4ème5)'!UQ11:US11,"C"))*2)+((COUNTIF('Elève (4ème5)'!UQ11:US11,"D"))*1))/(COUNTA(UQ11:US11)),"")</f>
        <v/>
      </c>
      <c r="UU11" s="120" t="str">
        <f t="shared" si="112"/>
        <v/>
      </c>
      <c r="UV11" s="123"/>
      <c r="UW11" s="124"/>
      <c r="UX11" s="125"/>
      <c r="UY11" s="119" t="str">
        <f>IFERROR((((COUNTIF('Elève (4ème5)'!UV11:UX11,"A"))*4)+((COUNTIF('Elève (4ème5)'!UV11:UX11,"B"))*3)+((COUNTIF('Elève (4ème5)'!UV11:UX11,"C"))*2)+((COUNTIF('Elève (4ème5)'!UV11:UX11,"D"))*1))/(COUNTA(UV11:UX11)),"")</f>
        <v/>
      </c>
      <c r="UZ11" s="120" t="str">
        <f t="shared" si="113"/>
        <v/>
      </c>
      <c r="VA11" s="123"/>
      <c r="VB11" s="124"/>
      <c r="VC11" s="129"/>
      <c r="VD11" s="119" t="str">
        <f>IFERROR((((COUNTIF('Elève (4ème5)'!VA11:VC11,"A"))*4)+((COUNTIF('Elève (4ème5)'!VA11:VC11,"B"))*3)+((COUNTIF('Elève (4ème5)'!VA11:VC11,"C"))*2)+((COUNTIF('Elève (4ème5)'!VA11:VC11,"D"))*1))/(COUNTA(VA11:VC11)),"")</f>
        <v/>
      </c>
      <c r="VE11" s="120" t="str">
        <f t="shared" si="114"/>
        <v/>
      </c>
      <c r="VF11" s="139" t="str">
        <f>IF(COUNT(UT11,UY11,VD11)=0,"",SUM(UT11,UY11,VD11)/COUNT(UT11,UY11,VD11))</f>
        <v/>
      </c>
      <c r="VG11" s="121" t="str">
        <f t="shared" si="115"/>
        <v/>
      </c>
      <c r="VH11" s="123"/>
      <c r="VI11" s="124"/>
      <c r="VJ11" s="125"/>
      <c r="VK11" s="119" t="str">
        <f>IFERROR((((COUNTIF('Elève (4ème5)'!VH11:VJ11,"A"))*4)+((COUNTIF('Elève (4ème5)'!VH11:VJ11,"B"))*3)+((COUNTIF('Elève (4ème5)'!VH11:VJ11,"C"))*2)+((COUNTIF('Elève (4ème5)'!VH11:VJ11,"D"))*1))/(COUNTA(VH11:VJ11)),"")</f>
        <v/>
      </c>
      <c r="VL11" s="120" t="str">
        <f t="shared" si="116"/>
        <v/>
      </c>
      <c r="VM11" s="123"/>
      <c r="VN11" s="124"/>
      <c r="VO11" s="125"/>
      <c r="VP11" s="119" t="str">
        <f>IFERROR((((COUNTIF('Elève (4ème5)'!VM11:VO11,"A"))*4)+((COUNTIF('Elève (4ème5)'!VM11:VO11,"B"))*3)+((COUNTIF('Elève (4ème5)'!VM11:VO11,"C"))*2)+((COUNTIF('Elève (4ème5)'!VM11:VO11,"D"))*1))/(COUNTA(VM11:VO11)),"")</f>
        <v/>
      </c>
      <c r="VQ11" s="120" t="str">
        <f t="shared" si="117"/>
        <v/>
      </c>
      <c r="VR11" s="123"/>
      <c r="VS11" s="124"/>
      <c r="VT11" s="129"/>
      <c r="VU11" s="119" t="str">
        <f>IFERROR((((COUNTIF('Elève (4ème5)'!VR11:VT11,"A"))*4)+((COUNTIF('Elève (4ème5)'!VR11:VT11,"B"))*3)+((COUNTIF('Elève (4ème5)'!VR11:VT11,"C"))*2)+((COUNTIF('Elève (4ème5)'!VR11:VT11,"D"))*1))/(COUNTA(VR11:VT11)),"")</f>
        <v/>
      </c>
      <c r="VV11" s="120" t="str">
        <f t="shared" si="118"/>
        <v/>
      </c>
      <c r="VW11" s="139" t="str">
        <f>IF(COUNT(VK11,VP11,VU11)=0,"",SUM(VK11,VP11,VU11)/COUNT(VK11,VP11,VU11))</f>
        <v/>
      </c>
      <c r="VX11" s="121" t="str">
        <f t="shared" si="119"/>
        <v/>
      </c>
    </row>
    <row r="12" spans="1:596" ht="18" customHeight="1" thickBot="1" x14ac:dyDescent="0.6">
      <c r="A12" s="250" t="s">
        <v>49</v>
      </c>
      <c r="B12" s="251"/>
      <c r="C12" s="130"/>
      <c r="D12" s="131"/>
      <c r="E12" s="132"/>
      <c r="F12" s="184" t="str">
        <f>IFERROR((((COUNTIF('Elève (4ème5)'!C12:E12,"A"))*4)+((COUNTIF('Elève (4ème5)'!C12:E12,"B"))*3)+((COUNTIF('Elève (4ème5)'!C12:E12,"C"))*2)+((COUNTIF('Elève (4ème5)'!C12:E12,"D"))*1))/(COUNTA(C12:E12)),"")</f>
        <v/>
      </c>
      <c r="G12" s="185" t="str">
        <f t="shared" si="0"/>
        <v/>
      </c>
      <c r="H12" s="130"/>
      <c r="I12" s="131"/>
      <c r="J12" s="132"/>
      <c r="K12" s="132"/>
      <c r="L12" s="184" t="str">
        <f>IFERROR((((COUNTIF('Elève (4ème5)'!H12:K12,"A"))*4)+((COUNTIF('Elève (4ème5)'!H12:K12,"B"))*3)+((COUNTIF('Elève (4ème5)'!H12:K12,"C"))*2)+((COUNTIF('Elève (4ème5)'!H12:K12,"D"))*1))/(COUNTA(H12:K12)),"")</f>
        <v/>
      </c>
      <c r="M12" s="185" t="str">
        <f t="shared" si="1"/>
        <v/>
      </c>
      <c r="N12" s="130"/>
      <c r="O12" s="131" t="s">
        <v>29</v>
      </c>
      <c r="P12" s="132"/>
      <c r="Q12" s="132"/>
      <c r="R12" s="132"/>
      <c r="S12" s="184">
        <f>IFERROR((((COUNTIF('Elève (4ème5)'!N12:R12,"A"))*4)+((COUNTIF('Elève (4ème5)'!N12:R12,"B"))*3)+((COUNTIF('Elève (4ème5)'!N12:R12,"C"))*2)+((COUNTIF('Elève (4ème5)'!N12:R12,"D"))*1))/(COUNTA(N12:R12)),"")</f>
        <v>4</v>
      </c>
      <c r="T12" s="185" t="str">
        <f t="shared" si="2"/>
        <v>A</v>
      </c>
      <c r="U12" s="184">
        <f>IF(COUNT(F12,L12,S12)=0,"",SUM(F12,L12,S12)/COUNT(F12,L12,S12))</f>
        <v>4</v>
      </c>
      <c r="V12" s="207" t="str">
        <f t="shared" si="3"/>
        <v>A</v>
      </c>
      <c r="W12" s="130"/>
      <c r="X12" s="131"/>
      <c r="Y12" s="132"/>
      <c r="Z12" s="184" t="str">
        <f>IFERROR((((COUNTIF('Elève (4ème5)'!W12:Y12,"A"))*4)+((COUNTIF('Elève (4ème5)'!W12:Y12,"B"))*3)+((COUNTIF('Elève (4ème5)'!W12:Y12,"C"))*2)+((COUNTIF('Elève (4ème5)'!W12:Y12,"D"))*1))/(COUNTA(W12:Y12)),"")</f>
        <v/>
      </c>
      <c r="AA12" s="185" t="str">
        <f t="shared" si="4"/>
        <v/>
      </c>
      <c r="AB12" s="130"/>
      <c r="AC12" s="131"/>
      <c r="AD12" s="132"/>
      <c r="AE12" s="132"/>
      <c r="AF12" s="184" t="str">
        <f>IFERROR((((COUNTIF('Elève (4ème5)'!AB12:AE12,"A"))*4)+((COUNTIF('Elève (4ème5)'!AB12:AE12,"B"))*3)+((COUNTIF('Elève (4ème5)'!AB12:AE12,"C"))*2)+((COUNTIF('Elève (4ème5)'!AB12:AE12,"D"))*1))/(COUNTA(AB12:AE12)),"")</f>
        <v/>
      </c>
      <c r="AG12" s="185" t="str">
        <f t="shared" si="5"/>
        <v/>
      </c>
      <c r="AH12" s="130"/>
      <c r="AI12" s="131" t="s">
        <v>29</v>
      </c>
      <c r="AJ12" s="132"/>
      <c r="AK12" s="132"/>
      <c r="AL12" s="132"/>
      <c r="AM12" s="184">
        <f>IFERROR((((COUNTIF('Elève (4ème5)'!AH12:AL12,"A"))*4)+((COUNTIF('Elève (4ème5)'!AH12:AL12,"B"))*3)+((COUNTIF('Elève (4ème5)'!AH12:AL12,"C"))*2)+((COUNTIF('Elève (4ème5)'!AH12:AL12,"D"))*1))/(COUNTA(AH12:AL12)),"")</f>
        <v>4</v>
      </c>
      <c r="AN12" s="185" t="str">
        <f t="shared" si="6"/>
        <v>A</v>
      </c>
      <c r="AO12" s="184">
        <f>IF(COUNT(Z12,AF12,AM12)=0,"",SUM(Z12,AF12,AM12)/COUNT(Z12,AF12,AM12))</f>
        <v>4</v>
      </c>
      <c r="AP12" s="207" t="str">
        <f t="shared" si="7"/>
        <v>A</v>
      </c>
      <c r="AQ12" s="130"/>
      <c r="AR12" s="131"/>
      <c r="AS12" s="132"/>
      <c r="AT12" s="184" t="str">
        <f>IFERROR((((COUNTIF('Elève (4ème5)'!AQ12:AS12,"A"))*4)+((COUNTIF('Elève (4ème5)'!AQ12:AS12,"B"))*3)+((COUNTIF('Elève (4ème5)'!AQ12:AS12,"C"))*2)+((COUNTIF('Elève (4ème5)'!AQ12:AS12,"D"))*1))/(COUNTA(AQ12:AS12)),"")</f>
        <v/>
      </c>
      <c r="AU12" s="185" t="str">
        <f t="shared" si="8"/>
        <v/>
      </c>
      <c r="AV12" s="130"/>
      <c r="AW12" s="131"/>
      <c r="AX12" s="132"/>
      <c r="AY12" s="132"/>
      <c r="AZ12" s="184" t="str">
        <f>IFERROR((((COUNTIF('Elève (4ème5)'!AV12:AY12,"A"))*4)+((COUNTIF('Elève (4ème5)'!AV12:AY12,"B"))*3)+((COUNTIF('Elève (4ème5)'!AV12:AY12,"C"))*2)+((COUNTIF('Elève (4ème5)'!AV12:AY12,"D"))*1))/(COUNTA(AV12:AY12)),"")</f>
        <v/>
      </c>
      <c r="BA12" s="185" t="str">
        <f t="shared" si="9"/>
        <v/>
      </c>
      <c r="BB12" s="130"/>
      <c r="BC12" s="131" t="s">
        <v>29</v>
      </c>
      <c r="BD12" s="132"/>
      <c r="BE12" s="132"/>
      <c r="BF12" s="132"/>
      <c r="BG12" s="184">
        <f>IFERROR((((COUNTIF('Elève (4ème5)'!BB12:BF12,"A"))*4)+((COUNTIF('Elève (4ème5)'!BB12:BF12,"B"))*3)+((COUNTIF('Elève (4ème5)'!BB12:BF12,"C"))*2)+((COUNTIF('Elève (4ème5)'!BB12:BF12,"D"))*1))/(COUNTA(BB12:BF12)),"")</f>
        <v>4</v>
      </c>
      <c r="BH12" s="185" t="str">
        <f t="shared" si="10"/>
        <v>A</v>
      </c>
      <c r="BI12" s="184">
        <f>IF(COUNT(AT12,AZ12,BG12)=0,"",SUM(AT12,AZ12,BG12)/COUNT(AT12,AZ12,BG12))</f>
        <v>4</v>
      </c>
      <c r="BJ12" s="207" t="str">
        <f t="shared" si="11"/>
        <v>A</v>
      </c>
      <c r="BK12" s="130"/>
      <c r="BL12" s="131"/>
      <c r="BM12" s="132"/>
      <c r="BN12" s="184" t="str">
        <f>IFERROR((((COUNTIF('Elève (4ème5)'!BK12:BM12,"A"))*4)+((COUNTIF('Elève (4ème5)'!BK12:BM12,"B"))*3)+((COUNTIF('Elève (4ème5)'!BK12:BM12,"C"))*2)+((COUNTIF('Elève (4ème5)'!BK12:BM12,"D"))*1))/(COUNTA(BK12:BM12)),"")</f>
        <v/>
      </c>
      <c r="BO12" s="185" t="str">
        <f t="shared" si="12"/>
        <v/>
      </c>
      <c r="BP12" s="130"/>
      <c r="BQ12" s="131"/>
      <c r="BR12" s="132"/>
      <c r="BS12" s="132"/>
      <c r="BT12" s="184" t="str">
        <f>IFERROR((((COUNTIF('Elève (4ème5)'!BP12:BS12,"A"))*4)+((COUNTIF('Elève (4ème5)'!BP12:BS12,"B"))*3)+((COUNTIF('Elève (4ème5)'!BP12:BS12,"C"))*2)+((COUNTIF('Elève (4ème5)'!BP12:BS12,"D"))*1))/(COUNTA(BP12:BS12)),"")</f>
        <v/>
      </c>
      <c r="BU12" s="185" t="str">
        <f t="shared" si="13"/>
        <v/>
      </c>
      <c r="BV12" s="130"/>
      <c r="BW12" s="131" t="s">
        <v>29</v>
      </c>
      <c r="BX12" s="132"/>
      <c r="BY12" s="132"/>
      <c r="BZ12" s="132"/>
      <c r="CA12" s="184">
        <f>IFERROR((((COUNTIF('Elève (4ème5)'!BV12:BZ12,"A"))*4)+((COUNTIF('Elève (4ème5)'!BV12:BZ12,"B"))*3)+((COUNTIF('Elève (4ème5)'!BV12:BZ12,"C"))*2)+((COUNTIF('Elève (4ème5)'!BV12:BZ12,"D"))*1))/(COUNTA(BV12:BZ12)),"")</f>
        <v>4</v>
      </c>
      <c r="CB12" s="185" t="str">
        <f t="shared" si="14"/>
        <v>A</v>
      </c>
      <c r="CC12" s="184">
        <f>IF(COUNT(BN12,BT12,CA12)=0,"",SUM(BN12,BT12,CA12)/COUNT(BN12,BT12,CA12))</f>
        <v>4</v>
      </c>
      <c r="CD12" s="207" t="str">
        <f t="shared" si="15"/>
        <v>A</v>
      </c>
      <c r="CE12" s="130"/>
      <c r="CF12" s="131"/>
      <c r="CG12" s="132"/>
      <c r="CH12" s="184" t="str">
        <f>IFERROR((((COUNTIF('Elève (4ème5)'!CE12:CG12,"A"))*4)+((COUNTIF('Elève (4ème5)'!CE12:CG12,"B"))*3)+((COUNTIF('Elève (4ème5)'!CE12:CG12,"C"))*2)+((COUNTIF('Elève (4ème5)'!CE12:CG12,"D"))*1))/(COUNTA(CE12:CG12)),"")</f>
        <v/>
      </c>
      <c r="CI12" s="185" t="str">
        <f t="shared" si="16"/>
        <v/>
      </c>
      <c r="CJ12" s="130"/>
      <c r="CK12" s="131"/>
      <c r="CL12" s="132"/>
      <c r="CM12" s="132"/>
      <c r="CN12" s="184" t="str">
        <f>IFERROR((((COUNTIF('Elève (4ème5)'!CJ12:CM12,"A"))*4)+((COUNTIF('Elève (4ème5)'!CJ12:CM12,"B"))*3)+((COUNTIF('Elève (4ème5)'!CJ12:CM12,"C"))*2)+((COUNTIF('Elève (4ème5)'!CJ12:CM12,"D"))*1))/(COUNTA(CJ12:CM12)),"")</f>
        <v/>
      </c>
      <c r="CO12" s="185" t="str">
        <f t="shared" si="17"/>
        <v/>
      </c>
      <c r="CP12" s="130"/>
      <c r="CQ12" s="131" t="s">
        <v>30</v>
      </c>
      <c r="CR12" s="132"/>
      <c r="CS12" s="132"/>
      <c r="CT12" s="132"/>
      <c r="CU12" s="184">
        <f>IFERROR((((COUNTIF('Elève (4ème5)'!CP12:CT12,"A"))*4)+((COUNTIF('Elève (4ème5)'!CP12:CT12,"B"))*3)+((COUNTIF('Elève (4ème5)'!CP12:CT12,"C"))*2)+((COUNTIF('Elève (4ème5)'!CP12:CT12,"D"))*1))/(COUNTA(CP12:CT12)),"")</f>
        <v>3</v>
      </c>
      <c r="CV12" s="185" t="str">
        <f t="shared" si="18"/>
        <v>B</v>
      </c>
      <c r="CW12" s="184">
        <f>IF(COUNT(CH12,CN12,CU12)=0,"",SUM(CH12,CN12,CU12)/COUNT(CH12,CN12,CU12))</f>
        <v>3</v>
      </c>
      <c r="CX12" s="207" t="str">
        <f t="shared" si="19"/>
        <v>B</v>
      </c>
      <c r="CY12" s="130"/>
      <c r="CZ12" s="131"/>
      <c r="DA12" s="132"/>
      <c r="DB12" s="184" t="str">
        <f>IFERROR((((COUNTIF('Elève (4ème5)'!CY12:DA12,"A"))*4)+((COUNTIF('Elève (4ème5)'!CY12:DA12,"B"))*3)+((COUNTIF('Elève (4ème5)'!CY12:DA12,"C"))*2)+((COUNTIF('Elève (4ème5)'!CY12:DA12,"D"))*1))/(COUNTA(CY12:DA12)),"")</f>
        <v/>
      </c>
      <c r="DC12" s="185" t="str">
        <f t="shared" si="20"/>
        <v/>
      </c>
      <c r="DD12" s="130"/>
      <c r="DE12" s="131"/>
      <c r="DF12" s="132"/>
      <c r="DG12" s="132"/>
      <c r="DH12" s="184" t="str">
        <f>IFERROR((((COUNTIF('Elève (4ème5)'!DD12:DG12,"A"))*4)+((COUNTIF('Elève (4ème5)'!DD12:DG12,"B"))*3)+((COUNTIF('Elève (4ème5)'!DD12:DG12,"C"))*2)+((COUNTIF('Elève (4ème5)'!DD12:DG12,"D"))*1))/(COUNTA(DD12:DG12)),"")</f>
        <v/>
      </c>
      <c r="DI12" s="185" t="str">
        <f t="shared" si="21"/>
        <v/>
      </c>
      <c r="DJ12" s="130"/>
      <c r="DK12" s="131" t="s">
        <v>29</v>
      </c>
      <c r="DL12" s="132"/>
      <c r="DM12" s="132"/>
      <c r="DN12" s="132"/>
      <c r="DO12" s="184">
        <f>IFERROR((((COUNTIF('Elève (4ème5)'!DJ12:DN12,"A"))*4)+((COUNTIF('Elève (4ème5)'!DJ12:DN12,"B"))*3)+((COUNTIF('Elève (4ème5)'!DJ12:DN12,"C"))*2)+((COUNTIF('Elève (4ème5)'!DJ12:DN12,"D"))*1))/(COUNTA(DJ12:DN12)),"")</f>
        <v>4</v>
      </c>
      <c r="DP12" s="185" t="str">
        <f t="shared" si="22"/>
        <v>A</v>
      </c>
      <c r="DQ12" s="184">
        <f>IF(COUNT(DB12,DH12,DO12)=0,"",SUM(DB12,DH12,DO12)/COUNT(DB12,DH12,DO12))</f>
        <v>4</v>
      </c>
      <c r="DR12" s="207" t="str">
        <f t="shared" si="23"/>
        <v>A</v>
      </c>
      <c r="DS12" s="130"/>
      <c r="DT12" s="131"/>
      <c r="DU12" s="132"/>
      <c r="DV12" s="184" t="str">
        <f>IFERROR((((COUNTIF('Elève (4ème5)'!DS12:DU12,"A"))*4)+((COUNTIF('Elève (4ème5)'!DS12:DU12,"B"))*3)+((COUNTIF('Elève (4ème5)'!DS12:DU12,"C"))*2)+((COUNTIF('Elève (4ème5)'!DS12:DU12,"D"))*1))/(COUNTA(DS12:DU12)),"")</f>
        <v/>
      </c>
      <c r="DW12" s="185" t="str">
        <f t="shared" si="24"/>
        <v/>
      </c>
      <c r="DX12" s="130"/>
      <c r="DY12" s="131"/>
      <c r="DZ12" s="132"/>
      <c r="EA12" s="132"/>
      <c r="EB12" s="184" t="str">
        <f>IFERROR((((COUNTIF('Elève (4ème5)'!DX12:EA12,"A"))*4)+((COUNTIF('Elève (4ème5)'!DX12:EA12,"B"))*3)+((COUNTIF('Elève (4ème5)'!DX12:EA12,"C"))*2)+((COUNTIF('Elève (4ème5)'!DX12:EA12,"D"))*1))/(COUNTA(DX12:EA12)),"")</f>
        <v/>
      </c>
      <c r="EC12" s="185" t="str">
        <f t="shared" si="25"/>
        <v/>
      </c>
      <c r="ED12" s="130"/>
      <c r="EE12" s="131" t="s">
        <v>29</v>
      </c>
      <c r="EF12" s="132"/>
      <c r="EG12" s="132"/>
      <c r="EH12" s="132"/>
      <c r="EI12" s="184">
        <f>IFERROR((((COUNTIF('Elève (4ème5)'!ED12:EH12,"A"))*4)+((COUNTIF('Elève (4ème5)'!ED12:EH12,"B"))*3)+((COUNTIF('Elève (4ème5)'!ED12:EH12,"C"))*2)+((COUNTIF('Elève (4ème5)'!ED12:EH12,"D"))*1))/(COUNTA(ED12:EH12)),"")</f>
        <v>4</v>
      </c>
      <c r="EJ12" s="185" t="str">
        <f t="shared" si="26"/>
        <v>A</v>
      </c>
      <c r="EK12" s="184">
        <f>IF(COUNT(DV12,EB12,EI12)=0,"",SUM(DV12,EB12,EI12)/COUNT(DV12,EB12,EI12))</f>
        <v>4</v>
      </c>
      <c r="EL12" s="207" t="str">
        <f t="shared" si="27"/>
        <v>A</v>
      </c>
      <c r="EM12" s="130"/>
      <c r="EN12" s="131"/>
      <c r="EO12" s="132"/>
      <c r="EP12" s="184" t="str">
        <f>IFERROR((((COUNTIF('Elève (4ème5)'!EM12:EO12,"A"))*4)+((COUNTIF('Elève (4ème5)'!EM12:EO12,"B"))*3)+((COUNTIF('Elève (4ème5)'!EM12:EO12,"C"))*2)+((COUNTIF('Elève (4ème5)'!EM12:EO12,"D"))*1))/(COUNTA(EM12:EO12)),"")</f>
        <v/>
      </c>
      <c r="EQ12" s="185" t="str">
        <f t="shared" si="28"/>
        <v/>
      </c>
      <c r="ER12" s="130"/>
      <c r="ES12" s="131"/>
      <c r="ET12" s="132"/>
      <c r="EU12" s="132"/>
      <c r="EV12" s="184" t="str">
        <f>IFERROR((((COUNTIF('Elève (4ème5)'!ER12:EU12,"A"))*4)+((COUNTIF('Elève (4ème5)'!ER12:EU12,"B"))*3)+((COUNTIF('Elève (4ème5)'!ER12:EU12,"C"))*2)+((COUNTIF('Elève (4ème5)'!ER12:EU12,"D"))*1))/(COUNTA(ER12:EU12)),"")</f>
        <v/>
      </c>
      <c r="EW12" s="185" t="str">
        <f t="shared" si="29"/>
        <v/>
      </c>
      <c r="EX12" s="130"/>
      <c r="EY12" s="131" t="s">
        <v>29</v>
      </c>
      <c r="EZ12" s="132"/>
      <c r="FA12" s="132"/>
      <c r="FB12" s="132"/>
      <c r="FC12" s="184">
        <f>IFERROR((((COUNTIF('Elève (4ème5)'!EX12:FB12,"A"))*4)+((COUNTIF('Elève (4ème5)'!EX12:FB12,"B"))*3)+((COUNTIF('Elève (4ème5)'!EX12:FB12,"C"))*2)+((COUNTIF('Elève (4ème5)'!EX12:FB12,"D"))*1))/(COUNTA(EX12:FB12)),"")</f>
        <v>4</v>
      </c>
      <c r="FD12" s="185" t="str">
        <f t="shared" si="30"/>
        <v>A</v>
      </c>
      <c r="FE12" s="184">
        <f>IF(COUNT(EP12,EV12,FC12)=0,"",SUM(EP12,EV12,FC12)/COUNT(EP12,EV12,FC12))</f>
        <v>4</v>
      </c>
      <c r="FF12" s="207" t="str">
        <f t="shared" si="31"/>
        <v>A</v>
      </c>
      <c r="FG12" s="130"/>
      <c r="FH12" s="131"/>
      <c r="FI12" s="132"/>
      <c r="FJ12" s="184" t="str">
        <f>IFERROR((((COUNTIF('Elève (4ème5)'!FG12:FI12,"A"))*4)+((COUNTIF('Elève (4ème5)'!FG12:FI12,"B"))*3)+((COUNTIF('Elève (4ème5)'!FG12:FI12,"C"))*2)+((COUNTIF('Elève (4ème5)'!FG12:FI12,"D"))*1))/(COUNTA(FG12:FI12)),"")</f>
        <v/>
      </c>
      <c r="FK12" s="185" t="str">
        <f t="shared" si="32"/>
        <v/>
      </c>
      <c r="FL12" s="130"/>
      <c r="FM12" s="131"/>
      <c r="FN12" s="132"/>
      <c r="FO12" s="132"/>
      <c r="FP12" s="184" t="str">
        <f>IFERROR((((COUNTIF('Elève (4ème5)'!FL12:FO12,"A"))*4)+((COUNTIF('Elève (4ème5)'!FL12:FO12,"B"))*3)+((COUNTIF('Elève (4ème5)'!FL12:FO12,"C"))*2)+((COUNTIF('Elève (4ème5)'!FL12:FO12,"D"))*1))/(COUNTA(FL12:FO12)),"")</f>
        <v/>
      </c>
      <c r="FQ12" s="185" t="str">
        <f t="shared" si="33"/>
        <v/>
      </c>
      <c r="FR12" s="130"/>
      <c r="FS12" s="131" t="s">
        <v>30</v>
      </c>
      <c r="FT12" s="132"/>
      <c r="FU12" s="132"/>
      <c r="FV12" s="132"/>
      <c r="FW12" s="184">
        <f>IFERROR((((COUNTIF('Elève (4ème5)'!FR12:FV12,"A"))*4)+((COUNTIF('Elève (4ème5)'!FR12:FV12,"B"))*3)+((COUNTIF('Elève (4ème5)'!FR12:FV12,"C"))*2)+((COUNTIF('Elève (4ème5)'!FR12:FV12,"D"))*1))/(COUNTA(FR12:FV12)),"")</f>
        <v>3</v>
      </c>
      <c r="FX12" s="185" t="str">
        <f t="shared" si="34"/>
        <v>B</v>
      </c>
      <c r="FY12" s="184">
        <f>IF(COUNT(FJ12,FP12,FW12)=0,"",SUM(FJ12,FP12,FW12)/COUNT(FJ12,FP12,FW12))</f>
        <v>3</v>
      </c>
      <c r="FZ12" s="207" t="str">
        <f t="shared" si="35"/>
        <v>B</v>
      </c>
      <c r="GA12" s="130"/>
      <c r="GB12" s="131"/>
      <c r="GC12" s="132"/>
      <c r="GD12" s="184" t="str">
        <f>IFERROR((((COUNTIF('Elève (4ème5)'!GA12:GC12,"A"))*4)+((COUNTIF('Elève (4ème5)'!GA12:GC12,"B"))*3)+((COUNTIF('Elève (4ème5)'!GA12:GC12,"C"))*2)+((COUNTIF('Elève (4ème5)'!GA12:GC12,"D"))*1))/(COUNTA(GA12:GC12)),"")</f>
        <v/>
      </c>
      <c r="GE12" s="185" t="str">
        <f t="shared" si="36"/>
        <v/>
      </c>
      <c r="GF12" s="130"/>
      <c r="GG12" s="131"/>
      <c r="GH12" s="132"/>
      <c r="GI12" s="132"/>
      <c r="GJ12" s="184" t="str">
        <f>IFERROR((((COUNTIF('Elève (4ème5)'!GF12:GI12,"A"))*4)+((COUNTIF('Elève (4ème5)'!GF12:GI12,"B"))*3)+((COUNTIF('Elève (4ème5)'!GF12:GI12,"C"))*2)+((COUNTIF('Elève (4ème5)'!GF12:GI12,"D"))*1))/(COUNTA(GF12:GI12)),"")</f>
        <v/>
      </c>
      <c r="GK12" s="185" t="str">
        <f t="shared" si="37"/>
        <v/>
      </c>
      <c r="GL12" s="130"/>
      <c r="GM12" s="131" t="s">
        <v>29</v>
      </c>
      <c r="GN12" s="132"/>
      <c r="GO12" s="132"/>
      <c r="GP12" s="132"/>
      <c r="GQ12" s="184">
        <f>IFERROR((((COUNTIF('Elève (4ème5)'!GL12:GP12,"A"))*4)+((COUNTIF('Elève (4ème5)'!GL12:GP12,"B"))*3)+((COUNTIF('Elève (4ème5)'!GL12:GP12,"C"))*2)+((COUNTIF('Elève (4ème5)'!GL12:GP12,"D"))*1))/(COUNTA(GL12:GP12)),"")</f>
        <v>4</v>
      </c>
      <c r="GR12" s="185" t="str">
        <f t="shared" si="38"/>
        <v>A</v>
      </c>
      <c r="GS12" s="184">
        <f>IF(COUNT(GD12,GJ12,GQ12)=0,"",SUM(GD12,GJ12,GQ12)/COUNT(GD12,GJ12,GQ12))</f>
        <v>4</v>
      </c>
      <c r="GT12" s="207" t="str">
        <f t="shared" si="39"/>
        <v>A</v>
      </c>
      <c r="GU12" s="130"/>
      <c r="GV12" s="131"/>
      <c r="GW12" s="132"/>
      <c r="GX12" s="184" t="str">
        <f>IFERROR((((COUNTIF('Elève (4ème5)'!GU12:GW12,"A"))*4)+((COUNTIF('Elève (4ème5)'!GU12:GW12,"B"))*3)+((COUNTIF('Elève (4ème5)'!GU12:GW12,"C"))*2)+((COUNTIF('Elève (4ème5)'!GU12:GW12,"D"))*1))/(COUNTA(GU12:GW12)),"")</f>
        <v/>
      </c>
      <c r="GY12" s="185" t="str">
        <f t="shared" si="40"/>
        <v/>
      </c>
      <c r="GZ12" s="130"/>
      <c r="HA12" s="131"/>
      <c r="HB12" s="132"/>
      <c r="HC12" s="132"/>
      <c r="HD12" s="184" t="str">
        <f>IFERROR((((COUNTIF('Elève (4ème5)'!GZ12:HC12,"A"))*4)+((COUNTIF('Elève (4ème5)'!GZ12:HC12,"B"))*3)+((COUNTIF('Elève (4ème5)'!GZ12:HC12,"C"))*2)+((COUNTIF('Elève (4ème5)'!GZ12:HC12,"D"))*1))/(COUNTA(GZ12:HC12)),"")</f>
        <v/>
      </c>
      <c r="HE12" s="185" t="str">
        <f t="shared" si="41"/>
        <v/>
      </c>
      <c r="HF12" s="130"/>
      <c r="HG12" s="131" t="s">
        <v>29</v>
      </c>
      <c r="HH12" s="132"/>
      <c r="HI12" s="132"/>
      <c r="HJ12" s="132"/>
      <c r="HK12" s="184">
        <f>IFERROR((((COUNTIF('Elève (4ème5)'!HF12:HJ12,"A"))*4)+((COUNTIF('Elève (4ème5)'!HF12:HJ12,"B"))*3)+((COUNTIF('Elève (4ème5)'!HF12:HJ12,"C"))*2)+((COUNTIF('Elève (4ème5)'!HF12:HJ12,"D"))*1))/(COUNTA(HF12:HJ12)),"")</f>
        <v>4</v>
      </c>
      <c r="HL12" s="185" t="str">
        <f t="shared" si="42"/>
        <v>A</v>
      </c>
      <c r="HM12" s="184">
        <f>IF(COUNT(GX12,HD12,HK12)=0,"",SUM(GX12,HD12,HK12)/COUNT(GX12,HD12,HK12))</f>
        <v>4</v>
      </c>
      <c r="HN12" s="207" t="str">
        <f t="shared" si="43"/>
        <v>A</v>
      </c>
      <c r="HO12" s="130"/>
      <c r="HP12" s="131"/>
      <c r="HQ12" s="132"/>
      <c r="HR12" s="184" t="str">
        <f>IFERROR((((COUNTIF('Elève (4ème5)'!HO12:HQ12,"A"))*4)+((COUNTIF('Elève (4ème5)'!HO12:HQ12,"B"))*3)+((COUNTIF('Elève (4ème5)'!HO12:HQ12,"C"))*2)+((COUNTIF('Elève (4ème5)'!HO12:HQ12,"D"))*1))/(COUNTA(HO12:HQ12)),"")</f>
        <v/>
      </c>
      <c r="HS12" s="185" t="str">
        <f t="shared" si="44"/>
        <v/>
      </c>
      <c r="HT12" s="130"/>
      <c r="HU12" s="131"/>
      <c r="HV12" s="132"/>
      <c r="HW12" s="132"/>
      <c r="HX12" s="184" t="str">
        <f>IFERROR((((COUNTIF('Elève (4ème5)'!HT12:HW12,"A"))*4)+((COUNTIF('Elève (4ème5)'!HT12:HW12,"B"))*3)+((COUNTIF('Elève (4ème5)'!HT12:HW12,"C"))*2)+((COUNTIF('Elève (4ème5)'!HT12:HW12,"D"))*1))/(COUNTA(HT12:HW12)),"")</f>
        <v/>
      </c>
      <c r="HY12" s="185" t="str">
        <f t="shared" si="45"/>
        <v/>
      </c>
      <c r="HZ12" s="130"/>
      <c r="IA12" s="131" t="s">
        <v>29</v>
      </c>
      <c r="IB12" s="132"/>
      <c r="IC12" s="132"/>
      <c r="ID12" s="132"/>
      <c r="IE12" s="184">
        <f>IFERROR((((COUNTIF('Elève (4ème5)'!HZ12:ID12,"A"))*4)+((COUNTIF('Elève (4ème5)'!HZ12:ID12,"B"))*3)+((COUNTIF('Elève (4ème5)'!HZ12:ID12,"C"))*2)+((COUNTIF('Elève (4ème5)'!HZ12:ID12,"D"))*1))/(COUNTA(HZ12:ID12)),"")</f>
        <v>4</v>
      </c>
      <c r="IF12" s="185" t="str">
        <f t="shared" si="46"/>
        <v>A</v>
      </c>
      <c r="IG12" s="184">
        <f>IF(COUNT(HR12,HX12,IE12)=0,"",SUM(HR12,HX12,IE12)/COUNT(HR12,HX12,IE12))</f>
        <v>4</v>
      </c>
      <c r="IH12" s="207" t="str">
        <f t="shared" si="47"/>
        <v>A</v>
      </c>
      <c r="II12" s="130"/>
      <c r="IJ12" s="131"/>
      <c r="IK12" s="132"/>
      <c r="IL12" s="184" t="str">
        <f>IFERROR((((COUNTIF('Elève (4ème5)'!II12:IK12,"A"))*4)+((COUNTIF('Elève (4ème5)'!II12:IK12,"B"))*3)+((COUNTIF('Elève (4ème5)'!II12:IK12,"C"))*2)+((COUNTIF('Elève (4ème5)'!II12:IK12,"D"))*1))/(COUNTA(II12:IK12)),"")</f>
        <v/>
      </c>
      <c r="IM12" s="185" t="str">
        <f t="shared" si="48"/>
        <v/>
      </c>
      <c r="IN12" s="130"/>
      <c r="IO12" s="131"/>
      <c r="IP12" s="132"/>
      <c r="IQ12" s="132"/>
      <c r="IR12" s="184" t="str">
        <f>IFERROR((((COUNTIF('Elève (4ème5)'!IN12:IQ12,"A"))*4)+((COUNTIF('Elève (4ème5)'!IN12:IQ12,"B"))*3)+((COUNTIF('Elève (4ème5)'!IN12:IQ12,"C"))*2)+((COUNTIF('Elève (4ème5)'!IN12:IQ12,"D"))*1))/(COUNTA(IN12:IQ12)),"")</f>
        <v/>
      </c>
      <c r="IS12" s="185" t="str">
        <f t="shared" si="49"/>
        <v/>
      </c>
      <c r="IT12" s="130"/>
      <c r="IU12" s="131" t="s">
        <v>32</v>
      </c>
      <c r="IV12" s="132"/>
      <c r="IW12" s="132"/>
      <c r="IX12" s="132"/>
      <c r="IY12" s="184">
        <f>IFERROR((((COUNTIF('Elève (4ème5)'!IT12:IX12,"A"))*4)+((COUNTIF('Elève (4ème5)'!IT12:IX12,"B"))*3)+((COUNTIF('Elève (4ème5)'!IT12:IX12,"C"))*2)+((COUNTIF('Elève (4ème5)'!IT12:IX12,"D"))*1))/(COUNTA(IT12:IX12)),"")</f>
        <v>1</v>
      </c>
      <c r="IZ12" s="185" t="str">
        <f t="shared" si="50"/>
        <v>D</v>
      </c>
      <c r="JA12" s="184">
        <f>IF(COUNT(IL12,IR12,IY12)=0,"",SUM(IL12,IR12,IY12)/COUNT(IL12,IR12,IY12))</f>
        <v>1</v>
      </c>
      <c r="JB12" s="207" t="str">
        <f t="shared" si="51"/>
        <v>D</v>
      </c>
      <c r="JC12" s="130"/>
      <c r="JD12" s="131"/>
      <c r="JE12" s="132"/>
      <c r="JF12" s="184" t="str">
        <f>IFERROR((((COUNTIF('Elève (4ème5)'!JC12:JE12,"A"))*4)+((COUNTIF('Elève (4ème5)'!JC12:JE12,"B"))*3)+((COUNTIF('Elève (4ème5)'!JC12:JE12,"C"))*2)+((COUNTIF('Elève (4ème5)'!JC12:JE12,"D"))*1))/(COUNTA(JC12:JE12)),"")</f>
        <v/>
      </c>
      <c r="JG12" s="185" t="str">
        <f t="shared" si="52"/>
        <v/>
      </c>
      <c r="JH12" s="130"/>
      <c r="JI12" s="131"/>
      <c r="JJ12" s="132"/>
      <c r="JK12" s="132"/>
      <c r="JL12" s="184" t="str">
        <f>IFERROR((((COUNTIF('Elève (4ème5)'!JH12:JK12,"A"))*4)+((COUNTIF('Elève (4ème5)'!JH12:JK12,"B"))*3)+((COUNTIF('Elève (4ème5)'!JH12:JK12,"C"))*2)+((COUNTIF('Elève (4ème5)'!JH12:JK12,"D"))*1))/(COUNTA(JH12:JK12)),"")</f>
        <v/>
      </c>
      <c r="JM12" s="185" t="str">
        <f t="shared" si="53"/>
        <v/>
      </c>
      <c r="JN12" s="130"/>
      <c r="JO12" s="131" t="s">
        <v>29</v>
      </c>
      <c r="JP12" s="132"/>
      <c r="JQ12" s="132"/>
      <c r="JR12" s="132"/>
      <c r="JS12" s="184">
        <f>IFERROR((((COUNTIF('Elève (4ème5)'!JN12:JR12,"A"))*4)+((COUNTIF('Elève (4ème5)'!JN12:JR12,"B"))*3)+((COUNTIF('Elève (4ème5)'!JN12:JR12,"C"))*2)+((COUNTIF('Elève (4ème5)'!JN12:JR12,"D"))*1))/(COUNTA(JN12:JR12)),"")</f>
        <v>4</v>
      </c>
      <c r="JT12" s="185" t="str">
        <f t="shared" si="54"/>
        <v>A</v>
      </c>
      <c r="JU12" s="184">
        <f>IF(COUNT(JF12,JL12,JS12)=0,"",SUM(JF12,JL12,JS12)/COUNT(JF12,JL12,JS12))</f>
        <v>4</v>
      </c>
      <c r="JV12" s="207" t="str">
        <f t="shared" si="55"/>
        <v>A</v>
      </c>
      <c r="JW12" s="130"/>
      <c r="JX12" s="131"/>
      <c r="JY12" s="132"/>
      <c r="JZ12" s="184" t="str">
        <f>IFERROR((((COUNTIF('Elève (4ème5)'!JW12:JY12,"A"))*4)+((COUNTIF('Elève (4ème5)'!JW12:JY12,"B"))*3)+((COUNTIF('Elève (4ème5)'!JW12:JY12,"C"))*2)+((COUNTIF('Elève (4ème5)'!JW12:JY12,"D"))*1))/(COUNTA(JW12:JY12)),"")</f>
        <v/>
      </c>
      <c r="KA12" s="185" t="str">
        <f t="shared" si="56"/>
        <v/>
      </c>
      <c r="KB12" s="130"/>
      <c r="KC12" s="131"/>
      <c r="KD12" s="132"/>
      <c r="KE12" s="132"/>
      <c r="KF12" s="184" t="str">
        <f>IFERROR((((COUNTIF('Elève (4ème5)'!KB12:KE12,"A"))*4)+((COUNTIF('Elève (4ème5)'!KB12:KE12,"B"))*3)+((COUNTIF('Elève (4ème5)'!KB12:KE12,"C"))*2)+((COUNTIF('Elève (4ème5)'!KB12:KE12,"D"))*1))/(COUNTA(KB12:KE12)),"")</f>
        <v/>
      </c>
      <c r="KG12" s="185" t="str">
        <f t="shared" si="57"/>
        <v/>
      </c>
      <c r="KH12" s="130"/>
      <c r="KI12" s="131" t="s">
        <v>29</v>
      </c>
      <c r="KJ12" s="132"/>
      <c r="KK12" s="132"/>
      <c r="KL12" s="132"/>
      <c r="KM12" s="184">
        <f>IFERROR((((COUNTIF('Elève (4ème5)'!KH12:KL12,"A"))*4)+((COUNTIF('Elève (4ème5)'!KH12:KL12,"B"))*3)+((COUNTIF('Elève (4ème5)'!KH12:KL12,"C"))*2)+((COUNTIF('Elève (4ème5)'!KH12:KL12,"D"))*1))/(COUNTA(KH12:KL12)),"")</f>
        <v>4</v>
      </c>
      <c r="KN12" s="185" t="str">
        <f t="shared" si="58"/>
        <v>A</v>
      </c>
      <c r="KO12" s="184">
        <f>IF(COUNT(JZ12,KF12,KM12)=0,"",SUM(JZ12,KF12,KM12)/COUNT(JZ12,KF12,KM12))</f>
        <v>4</v>
      </c>
      <c r="KP12" s="207" t="str">
        <f t="shared" si="59"/>
        <v>A</v>
      </c>
      <c r="KQ12" s="130"/>
      <c r="KR12" s="131"/>
      <c r="KS12" s="132"/>
      <c r="KT12" s="184" t="str">
        <f>IFERROR((((COUNTIF('Elève (4ème5)'!KQ12:KS12,"A"))*4)+((COUNTIF('Elève (4ème5)'!KQ12:KS12,"B"))*3)+((COUNTIF('Elève (4ème5)'!KQ12:KS12,"C"))*2)+((COUNTIF('Elève (4ème5)'!KQ12:KS12,"D"))*1))/(COUNTA(KQ12:KS12)),"")</f>
        <v/>
      </c>
      <c r="KU12" s="185" t="str">
        <f t="shared" si="60"/>
        <v/>
      </c>
      <c r="KV12" s="130"/>
      <c r="KW12" s="131"/>
      <c r="KX12" s="132"/>
      <c r="KY12" s="132"/>
      <c r="KZ12" s="184" t="str">
        <f>IFERROR((((COUNTIF('Elève (4ème5)'!KV12:KY12,"A"))*4)+((COUNTIF('Elève (4ème5)'!KV12:KY12,"B"))*3)+((COUNTIF('Elève (4ème5)'!KV12:KY12,"C"))*2)+((COUNTIF('Elève (4ème5)'!KV12:KY12,"D"))*1))/(COUNTA(KV12:KY12)),"")</f>
        <v/>
      </c>
      <c r="LA12" s="185" t="str">
        <f t="shared" si="61"/>
        <v/>
      </c>
      <c r="LB12" s="130"/>
      <c r="LC12" s="131" t="s">
        <v>30</v>
      </c>
      <c r="LD12" s="132"/>
      <c r="LE12" s="132"/>
      <c r="LF12" s="132"/>
      <c r="LG12" s="184">
        <f>IFERROR((((COUNTIF('Elève (4ème5)'!LB12:LF12,"A"))*4)+((COUNTIF('Elève (4ème5)'!LB12:LF12,"B"))*3)+((COUNTIF('Elève (4ème5)'!LB12:LF12,"C"))*2)+((COUNTIF('Elève (4ème5)'!LB12:LF12,"D"))*1))/(COUNTA(LB12:LF12)),"")</f>
        <v>3</v>
      </c>
      <c r="LH12" s="185" t="str">
        <f t="shared" si="62"/>
        <v>B</v>
      </c>
      <c r="LI12" s="184">
        <f>IF(COUNT(KT12,KZ12,LG12)=0,"",SUM(KT12,KZ12,LG12)/COUNT(KT12,KZ12,LG12))</f>
        <v>3</v>
      </c>
      <c r="LJ12" s="207" t="str">
        <f t="shared" si="63"/>
        <v>B</v>
      </c>
      <c r="LK12" s="130"/>
      <c r="LL12" s="131"/>
      <c r="LM12" s="132"/>
      <c r="LN12" s="184" t="str">
        <f>IFERROR((((COUNTIF('Elève (4ème5)'!LK12:LM12,"A"))*4)+((COUNTIF('Elève (4ème5)'!LK12:LM12,"B"))*3)+((COUNTIF('Elève (4ème5)'!LK12:LM12,"C"))*2)+((COUNTIF('Elève (4ème5)'!LK12:LM12,"D"))*1))/(COUNTA(LK12:LM12)),"")</f>
        <v/>
      </c>
      <c r="LO12" s="185" t="str">
        <f t="shared" si="64"/>
        <v/>
      </c>
      <c r="LP12" s="130"/>
      <c r="LQ12" s="131"/>
      <c r="LR12" s="132"/>
      <c r="LS12" s="132"/>
      <c r="LT12" s="184" t="str">
        <f>IFERROR((((COUNTIF('Elève (4ème5)'!LP12:LS12,"A"))*4)+((COUNTIF('Elève (4ème5)'!LP12:LS12,"B"))*3)+((COUNTIF('Elève (4ème5)'!LP12:LS12,"C"))*2)+((COUNTIF('Elève (4ème5)'!LP12:LS12,"D"))*1))/(COUNTA(LP12:LS12)),"")</f>
        <v/>
      </c>
      <c r="LU12" s="185" t="str">
        <f t="shared" si="65"/>
        <v/>
      </c>
      <c r="LV12" s="130"/>
      <c r="LW12" s="131"/>
      <c r="LX12" s="132"/>
      <c r="LY12" s="132"/>
      <c r="LZ12" s="132"/>
      <c r="MA12" s="184" t="str">
        <f>IFERROR((((COUNTIF('Elève (4ème5)'!LV12:LZ12,"A"))*4)+((COUNTIF('Elève (4ème5)'!LV12:LZ12,"B"))*3)+((COUNTIF('Elève (4ème5)'!LV12:LZ12,"C"))*2)+((COUNTIF('Elève (4ème5)'!LV12:LZ12,"D"))*1))/(COUNTA(LV12:LZ12)),"")</f>
        <v/>
      </c>
      <c r="MB12" s="185" t="str">
        <f t="shared" si="66"/>
        <v/>
      </c>
      <c r="MC12" s="184" t="str">
        <f>IF(COUNT(LN12,LT12,MA12)=0,"",SUM(LN12,LT12,MA12)/COUNT(LN12,LT12,MA12))</f>
        <v/>
      </c>
      <c r="MD12" s="207" t="str">
        <f t="shared" si="67"/>
        <v/>
      </c>
      <c r="ME12" s="130"/>
      <c r="MF12" s="131"/>
      <c r="MG12" s="132"/>
      <c r="MH12" s="184" t="str">
        <f>IFERROR((((COUNTIF('Elève (4ème5)'!ME12:MG12,"A"))*4)+((COUNTIF('Elève (4ème5)'!ME12:MG12,"B"))*3)+((COUNTIF('Elève (4ème5)'!ME12:MG12,"C"))*2)+((COUNTIF('Elève (4ème5)'!ME12:MG12,"D"))*1))/(COUNTA(ME12:MG12)),"")</f>
        <v/>
      </c>
      <c r="MI12" s="185" t="str">
        <f t="shared" si="68"/>
        <v/>
      </c>
      <c r="MJ12" s="130"/>
      <c r="MK12" s="131"/>
      <c r="ML12" s="132"/>
      <c r="MM12" s="132"/>
      <c r="MN12" s="184" t="str">
        <f>IFERROR((((COUNTIF('Elève (4ème5)'!MJ12:MM12,"A"))*4)+((COUNTIF('Elève (4ème5)'!MJ12:MM12,"B"))*3)+((COUNTIF('Elève (4ème5)'!MJ12:MM12,"C"))*2)+((COUNTIF('Elève (4ème5)'!MJ12:MM12,"D"))*1))/(COUNTA(MJ12:MM12)),"")</f>
        <v/>
      </c>
      <c r="MO12" s="185" t="str">
        <f t="shared" si="69"/>
        <v/>
      </c>
      <c r="MP12" s="130"/>
      <c r="MQ12" s="131" t="s">
        <v>29</v>
      </c>
      <c r="MR12" s="132"/>
      <c r="MS12" s="132"/>
      <c r="MT12" s="132"/>
      <c r="MU12" s="184">
        <f>IFERROR((((COUNTIF('Elève (4ème5)'!MP12:MT12,"A"))*4)+((COUNTIF('Elève (4ème5)'!MP12:MT12,"B"))*3)+((COUNTIF('Elève (4ème5)'!MP12:MT12,"C"))*2)+((COUNTIF('Elève (4ème5)'!MP12:MT12,"D"))*1))/(COUNTA(MP12:MT12)),"")</f>
        <v>4</v>
      </c>
      <c r="MV12" s="185" t="str">
        <f t="shared" si="70"/>
        <v>A</v>
      </c>
      <c r="MW12" s="184">
        <f>IF(COUNT(MH12,MN12,MU12)=0,"",SUM(MH12,MN12,MU12)/COUNT(MH12,MN12,MU12))</f>
        <v>4</v>
      </c>
      <c r="MX12" s="207" t="str">
        <f t="shared" si="71"/>
        <v>A</v>
      </c>
      <c r="MY12" s="130"/>
      <c r="MZ12" s="131"/>
      <c r="NA12" s="132"/>
      <c r="NB12" s="184" t="str">
        <f>IFERROR((((COUNTIF('Elève (4ème5)'!MY12:NA12,"A"))*4)+((COUNTIF('Elève (4ème5)'!MY12:NA12,"B"))*3)+((COUNTIF('Elève (4ème5)'!MY12:NA12,"C"))*2)+((COUNTIF('Elève (4ème5)'!MY12:NA12,"D"))*1))/(COUNTA(MY12:NA12)),"")</f>
        <v/>
      </c>
      <c r="NC12" s="185" t="str">
        <f t="shared" si="72"/>
        <v/>
      </c>
      <c r="ND12" s="130"/>
      <c r="NE12" s="131"/>
      <c r="NF12" s="132"/>
      <c r="NG12" s="132"/>
      <c r="NH12" s="184" t="str">
        <f>IFERROR((((COUNTIF('Elève (4ème5)'!ND12:NG12,"A"))*4)+((COUNTIF('Elève (4ème5)'!ND12:NG12,"B"))*3)+((COUNTIF('Elève (4ème5)'!ND12:NG12,"C"))*2)+((COUNTIF('Elève (4ème5)'!ND12:NG12,"D"))*1))/(COUNTA(ND12:NG12)),"")</f>
        <v/>
      </c>
      <c r="NI12" s="185" t="str">
        <f t="shared" si="73"/>
        <v/>
      </c>
      <c r="NJ12" s="130"/>
      <c r="NK12" s="131" t="s">
        <v>29</v>
      </c>
      <c r="NL12" s="132"/>
      <c r="NM12" s="132"/>
      <c r="NN12" s="132"/>
      <c r="NO12" s="184">
        <f>IFERROR((((COUNTIF('Elève (4ème5)'!NJ12:NN12,"A"))*4)+((COUNTIF('Elève (4ème5)'!NJ12:NN12,"B"))*3)+((COUNTIF('Elève (4ème5)'!NJ12:NN12,"C"))*2)+((COUNTIF('Elève (4ème5)'!NJ12:NN12,"D"))*1))/(COUNTA(NJ12:NN12)),"")</f>
        <v>4</v>
      </c>
      <c r="NP12" s="185" t="str">
        <f t="shared" si="74"/>
        <v>A</v>
      </c>
      <c r="NQ12" s="184">
        <f>IF(COUNT(NB12,NH12,NO12)=0,"",SUM(NB12,NH12,NO12)/COUNT(NB12,NH12,NO12))</f>
        <v>4</v>
      </c>
      <c r="NR12" s="207" t="str">
        <f t="shared" si="75"/>
        <v>A</v>
      </c>
      <c r="NS12" s="130"/>
      <c r="NT12" s="131"/>
      <c r="NU12" s="132"/>
      <c r="NV12" s="184" t="str">
        <f>IFERROR((((COUNTIF('Elève (4ème5)'!NS12:NU12,"A"))*4)+((COUNTIF('Elève (4ème5)'!NS12:NU12,"B"))*3)+((COUNTIF('Elève (4ème5)'!NS12:NU12,"C"))*2)+((COUNTIF('Elève (4ème5)'!NS12:NU12,"D"))*1))/(COUNTA(NS12:NU12)),"")</f>
        <v/>
      </c>
      <c r="NW12" s="185" t="str">
        <f t="shared" si="76"/>
        <v/>
      </c>
      <c r="NX12" s="130"/>
      <c r="NY12" s="131"/>
      <c r="NZ12" s="132"/>
      <c r="OA12" s="132"/>
      <c r="OB12" s="184" t="str">
        <f>IFERROR((((COUNTIF('Elève (4ème5)'!NX12:OA12,"A"))*4)+((COUNTIF('Elève (4ème5)'!NX12:OA12,"B"))*3)+((COUNTIF('Elève (4ème5)'!NX12:OA12,"C"))*2)+((COUNTIF('Elève (4ème5)'!NX12:OA12,"D"))*1))/(COUNTA(NX12:OA12)),"")</f>
        <v/>
      </c>
      <c r="OC12" s="185" t="str">
        <f t="shared" si="77"/>
        <v/>
      </c>
      <c r="OD12" s="130"/>
      <c r="OE12" s="131" t="s">
        <v>29</v>
      </c>
      <c r="OF12" s="132"/>
      <c r="OG12" s="132"/>
      <c r="OH12" s="132"/>
      <c r="OI12" s="184">
        <f>IFERROR((((COUNTIF('Elève (4ème5)'!OD12:OH12,"A"))*4)+((COUNTIF('Elève (4ème5)'!OD12:OH12,"B"))*3)+((COUNTIF('Elève (4ème5)'!OD12:OH12,"C"))*2)+((COUNTIF('Elève (4ème5)'!OD12:OH12,"D"))*1))/(COUNTA(OD12:OH12)),"")</f>
        <v>4</v>
      </c>
      <c r="OJ12" s="185" t="str">
        <f t="shared" si="78"/>
        <v>A</v>
      </c>
      <c r="OK12" s="184">
        <f>IF(COUNT(NV12,OB12,OI12)=0,"",SUM(NV12,OB12,OI12)/COUNT(NV12,OB12,OI12))</f>
        <v>4</v>
      </c>
      <c r="OL12" s="207" t="str">
        <f t="shared" si="79"/>
        <v>A</v>
      </c>
      <c r="OM12" s="130"/>
      <c r="ON12" s="131"/>
      <c r="OO12" s="132"/>
      <c r="OP12" s="184" t="str">
        <f>IFERROR((((COUNTIF('Elève (4ème5)'!OM12:OO12,"A"))*4)+((COUNTIF('Elève (4ème5)'!OM12:OO12,"B"))*3)+((COUNTIF('Elève (4ème5)'!OM12:OO12,"C"))*2)+((COUNTIF('Elève (4ème5)'!OM12:OO12,"D"))*1))/(COUNTA(OM12:OO12)),"")</f>
        <v/>
      </c>
      <c r="OQ12" s="185" t="str">
        <f t="shared" si="80"/>
        <v/>
      </c>
      <c r="OR12" s="130"/>
      <c r="OS12" s="131"/>
      <c r="OT12" s="132"/>
      <c r="OU12" s="132"/>
      <c r="OV12" s="184" t="str">
        <f>IFERROR((((COUNTIF('Elève (4ème5)'!OR12:OU12,"A"))*4)+((COUNTIF('Elève (4ème5)'!OR12:OU12,"B"))*3)+((COUNTIF('Elève (4ème5)'!OR12:OU12,"C"))*2)+((COUNTIF('Elève (4ème5)'!OR12:OU12,"D"))*1))/(COUNTA(OR12:OU12)),"")</f>
        <v/>
      </c>
      <c r="OW12" s="185" t="str">
        <f t="shared" si="81"/>
        <v/>
      </c>
      <c r="OX12" s="130"/>
      <c r="OY12" s="131" t="s">
        <v>29</v>
      </c>
      <c r="OZ12" s="132"/>
      <c r="PA12" s="132"/>
      <c r="PB12" s="132"/>
      <c r="PC12" s="184">
        <f>IFERROR((((COUNTIF('Elève (4ème5)'!OX12:PB12,"A"))*4)+((COUNTIF('Elève (4ème5)'!OX12:PB12,"B"))*3)+((COUNTIF('Elève (4ème5)'!OX12:PB12,"C"))*2)+((COUNTIF('Elève (4ème5)'!OX12:PB12,"D"))*1))/(COUNTA(OX12:PB12)),"")</f>
        <v>4</v>
      </c>
      <c r="PD12" s="185" t="str">
        <f t="shared" si="82"/>
        <v>A</v>
      </c>
      <c r="PE12" s="184">
        <f>IF(COUNT(OP12,OV12,PC12)=0,"",SUM(OP12,OV12,PC12)/COUNT(OP12,OV12,PC12))</f>
        <v>4</v>
      </c>
      <c r="PF12" s="207" t="str">
        <f t="shared" si="83"/>
        <v>A</v>
      </c>
      <c r="PG12" s="130"/>
      <c r="PH12" s="131"/>
      <c r="PI12" s="132"/>
      <c r="PJ12" s="184" t="str">
        <f>IFERROR((((COUNTIF('Elève (4ème5)'!PG12:PI12,"A"))*4)+((COUNTIF('Elève (4ème5)'!PG12:PI12,"B"))*3)+((COUNTIF('Elève (4ème5)'!PG12:PI12,"C"))*2)+((COUNTIF('Elève (4ème5)'!PG12:PI12,"D"))*1))/(COUNTA(PG12:PI12)),"")</f>
        <v/>
      </c>
      <c r="PK12" s="185" t="str">
        <f t="shared" si="84"/>
        <v/>
      </c>
      <c r="PL12" s="130"/>
      <c r="PM12" s="131"/>
      <c r="PN12" s="132"/>
      <c r="PO12" s="132"/>
      <c r="PP12" s="184" t="str">
        <f>IFERROR((((COUNTIF('Elève (4ème5)'!PL12:PO12,"A"))*4)+((COUNTIF('Elève (4ème5)'!PL12:PO12,"B"))*3)+((COUNTIF('Elève (4ème5)'!PL12:PO12,"C"))*2)+((COUNTIF('Elève (4ème5)'!PL12:PO12,"D"))*1))/(COUNTA(PL12:PO12)),"")</f>
        <v/>
      </c>
      <c r="PQ12" s="185" t="str">
        <f t="shared" si="85"/>
        <v/>
      </c>
      <c r="PR12" s="130"/>
      <c r="PS12" s="131" t="s">
        <v>29</v>
      </c>
      <c r="PT12" s="132"/>
      <c r="PU12" s="132"/>
      <c r="PV12" s="132"/>
      <c r="PW12" s="184">
        <f>IFERROR((((COUNTIF('Elève (4ème5)'!PR12:PV12,"A"))*4)+((COUNTIF('Elève (4ème5)'!PR12:PV12,"B"))*3)+((COUNTIF('Elève (4ème5)'!PR12:PV12,"C"))*2)+((COUNTIF('Elève (4ème5)'!PR12:PV12,"D"))*1))/(COUNTA(PR12:PV12)),"")</f>
        <v>4</v>
      </c>
      <c r="PX12" s="185" t="str">
        <f t="shared" si="86"/>
        <v>A</v>
      </c>
      <c r="PY12" s="184">
        <f>IF(COUNT(PJ12,PP12,PW12)=0,"",SUM(PJ12,PP12,PW12)/COUNT(PJ12,PP12,PW12))</f>
        <v>4</v>
      </c>
      <c r="PZ12" s="207" t="str">
        <f t="shared" si="87"/>
        <v>A</v>
      </c>
      <c r="QA12" s="130"/>
      <c r="QB12" s="131"/>
      <c r="QC12" s="132"/>
      <c r="QD12" s="184" t="str">
        <f>IFERROR((((COUNTIF('Elève (4ème5)'!QA12:QC12,"A"))*4)+((COUNTIF('Elève (4ème5)'!QA12:QC12,"B"))*3)+((COUNTIF('Elève (4ème5)'!QA12:QC12,"C"))*2)+((COUNTIF('Elève (4ème5)'!QA12:QC12,"D"))*1))/(COUNTA(QA12:QC12)),"")</f>
        <v/>
      </c>
      <c r="QE12" s="185" t="str">
        <f t="shared" si="88"/>
        <v/>
      </c>
      <c r="QF12" s="130"/>
      <c r="QG12" s="131"/>
      <c r="QH12" s="132"/>
      <c r="QI12" s="132"/>
      <c r="QJ12" s="184" t="str">
        <f>IFERROR((((COUNTIF('Elève (4ème5)'!QF12:QI12,"A"))*4)+((COUNTIF('Elève (4ème5)'!QF12:QI12,"B"))*3)+((COUNTIF('Elève (4ème5)'!QF12:QI12,"C"))*2)+((COUNTIF('Elève (4ème5)'!QF12:QI12,"D"))*1))/(COUNTA(QF12:QI12)),"")</f>
        <v/>
      </c>
      <c r="QK12" s="185" t="str">
        <f t="shared" si="89"/>
        <v/>
      </c>
      <c r="QL12" s="130"/>
      <c r="QM12" s="131"/>
      <c r="QN12" s="132"/>
      <c r="QO12" s="132"/>
      <c r="QP12" s="132"/>
      <c r="QQ12" s="184" t="str">
        <f>IFERROR((((COUNTIF('Elève (4ème5)'!QL12:QP12,"A"))*4)+((COUNTIF('Elève (4ème5)'!QL12:QP12,"B"))*3)+((COUNTIF('Elève (4ème5)'!QL12:QP12,"C"))*2)+((COUNTIF('Elève (4ème5)'!QL12:QP12,"D"))*1))/(COUNTA(QL12:QP12)),"")</f>
        <v/>
      </c>
      <c r="QR12" s="185" t="str">
        <f t="shared" si="90"/>
        <v/>
      </c>
      <c r="QS12" s="184" t="str">
        <f>IF(COUNT(QD12,QJ12,QQ12)=0,"",SUM(QD12,QJ12,QQ12)/COUNT(QD12,QJ12,QQ12))</f>
        <v/>
      </c>
      <c r="QT12" s="207" t="str">
        <f t="shared" si="91"/>
        <v/>
      </c>
      <c r="QU12" s="130"/>
      <c r="QV12" s="131"/>
      <c r="QW12" s="132"/>
      <c r="QX12" s="184" t="str">
        <f>IFERROR((((COUNTIF('Elève (4ème5)'!QU12:QW12,"A"))*4)+((COUNTIF('Elève (4ème5)'!QU12:QW12,"B"))*3)+((COUNTIF('Elève (4ème5)'!QU12:QW12,"C"))*2)+((COUNTIF('Elève (4ème5)'!QU12:QW12,"D"))*1))/(COUNTA(QU12:QW12)),"")</f>
        <v/>
      </c>
      <c r="QY12" s="185" t="str">
        <f t="shared" si="92"/>
        <v/>
      </c>
      <c r="QZ12" s="130"/>
      <c r="RA12" s="131"/>
      <c r="RB12" s="132"/>
      <c r="RC12" s="132"/>
      <c r="RD12" s="184" t="str">
        <f>IFERROR((((COUNTIF('Elève (4ème5)'!QZ12:RC12,"A"))*4)+((COUNTIF('Elève (4ème5)'!QZ12:RC12,"B"))*3)+((COUNTIF('Elève (4ème5)'!QZ12:RC12,"C"))*2)+((COUNTIF('Elève (4ème5)'!QZ12:RC12,"D"))*1))/(COUNTA(QZ12:RC12)),"")</f>
        <v/>
      </c>
      <c r="RE12" s="185" t="str">
        <f t="shared" si="93"/>
        <v/>
      </c>
      <c r="RF12" s="130"/>
      <c r="RG12" s="131" t="s">
        <v>32</v>
      </c>
      <c r="RH12" s="132"/>
      <c r="RI12" s="132"/>
      <c r="RJ12" s="132"/>
      <c r="RK12" s="184">
        <f>IFERROR((((COUNTIF('Elève (4ème5)'!RF12:RJ12,"A"))*4)+((COUNTIF('Elève (4ème5)'!RF12:RJ12,"B"))*3)+((COUNTIF('Elève (4ème5)'!RF12:RJ12,"C"))*2)+((COUNTIF('Elève (4ème5)'!RF12:RJ12,"D"))*1))/(COUNTA(RF12:RJ12)),"")</f>
        <v>1</v>
      </c>
      <c r="RL12" s="185" t="str">
        <f t="shared" si="94"/>
        <v>D</v>
      </c>
      <c r="RM12" s="184">
        <f>IF(COUNT(QX12,RD12,RK12)=0,"",SUM(QX12,RD12,RK12)/COUNT(QX12,RD12,RK12))</f>
        <v>1</v>
      </c>
      <c r="RN12" s="207" t="str">
        <f t="shared" si="95"/>
        <v>D</v>
      </c>
      <c r="RO12" s="130"/>
      <c r="RP12" s="131"/>
      <c r="RQ12" s="132"/>
      <c r="RR12" s="184" t="str">
        <f>IFERROR((((COUNTIF('Elève (4ème5)'!RO12:RQ12,"A"))*4)+((COUNTIF('Elève (4ème5)'!RO12:RQ12,"B"))*3)+((COUNTIF('Elève (4ème5)'!RO12:RQ12,"C"))*2)+((COUNTIF('Elève (4ème5)'!RO12:RQ12,"D"))*1))/(COUNTA(RO12:RQ12)),"")</f>
        <v/>
      </c>
      <c r="RS12" s="185" t="str">
        <f t="shared" si="96"/>
        <v/>
      </c>
      <c r="RT12" s="130"/>
      <c r="RU12" s="131"/>
      <c r="RV12" s="132"/>
      <c r="RW12" s="132"/>
      <c r="RX12" s="184" t="str">
        <f>IFERROR((((COUNTIF('Elève (4ème5)'!RT12:RW12,"A"))*4)+((COUNTIF('Elève (4ème5)'!RT12:RW12,"B"))*3)+((COUNTIF('Elève (4ème5)'!RT12:RW12,"C"))*2)+((COUNTIF('Elève (4ème5)'!RT12:RW12,"D"))*1))/(COUNTA(RT12:RW12)),"")</f>
        <v/>
      </c>
      <c r="RY12" s="185" t="str">
        <f t="shared" si="97"/>
        <v/>
      </c>
      <c r="RZ12" s="130"/>
      <c r="SA12" s="131" t="s">
        <v>29</v>
      </c>
      <c r="SB12" s="132"/>
      <c r="SC12" s="132"/>
      <c r="SD12" s="132"/>
      <c r="SE12" s="184">
        <f>IFERROR((((COUNTIF('Elève (4ème5)'!RZ12:SD12,"A"))*4)+((COUNTIF('Elève (4ème5)'!RZ12:SD12,"B"))*3)+((COUNTIF('Elève (4ème5)'!RZ12:SD12,"C"))*2)+((COUNTIF('Elève (4ème5)'!RZ12:SD12,"D"))*1))/(COUNTA(RZ12:SD12)),"")</f>
        <v>4</v>
      </c>
      <c r="SF12" s="185" t="str">
        <f t="shared" si="98"/>
        <v>A</v>
      </c>
      <c r="SG12" s="184">
        <f>IF(COUNT(RR12,RX12,SE12)=0,"",SUM(RR12,RX12,SE12)/COUNT(RR12,RX12,SE12))</f>
        <v>4</v>
      </c>
      <c r="SH12" s="207" t="str">
        <f t="shared" si="99"/>
        <v>A</v>
      </c>
      <c r="SI12" s="130"/>
      <c r="SJ12" s="131"/>
      <c r="SK12" s="132"/>
      <c r="SL12" s="184" t="str">
        <f>IFERROR((((COUNTIF('Elève (4ème5)'!SI12:SK12,"A"))*4)+((COUNTIF('Elève (4ème5)'!SI12:SK12,"B"))*3)+((COUNTIF('Elève (4ème5)'!SI12:SK12,"C"))*2)+((COUNTIF('Elève (4ème5)'!SI12:SK12,"D"))*1))/(COUNTA(SI12:SK12)),"")</f>
        <v/>
      </c>
      <c r="SM12" s="185" t="str">
        <f t="shared" si="100"/>
        <v/>
      </c>
      <c r="SN12" s="130"/>
      <c r="SO12" s="131"/>
      <c r="SP12" s="132"/>
      <c r="SQ12" s="132"/>
      <c r="SR12" s="184" t="str">
        <f>IFERROR((((COUNTIF('Elève (4ème5)'!SN12:SQ12,"A"))*4)+((COUNTIF('Elève (4ème5)'!SN12:SQ12,"B"))*3)+((COUNTIF('Elève (4ème5)'!SN12:SQ12,"C"))*2)+((COUNTIF('Elève (4ème5)'!SN12:SQ12,"D"))*1))/(COUNTA(SN12:SQ12)),"")</f>
        <v/>
      </c>
      <c r="SS12" s="185" t="str">
        <f t="shared" si="101"/>
        <v/>
      </c>
      <c r="ST12" s="130"/>
      <c r="SU12" s="131" t="s">
        <v>32</v>
      </c>
      <c r="SV12" s="132"/>
      <c r="SW12" s="132"/>
      <c r="SX12" s="132"/>
      <c r="SY12" s="184">
        <f>IFERROR((((COUNTIF('Elève (4ème5)'!ST12:SX12,"A"))*4)+((COUNTIF('Elève (4ème5)'!ST12:SX12,"B"))*3)+((COUNTIF('Elève (4ème5)'!ST12:SX12,"C"))*2)+((COUNTIF('Elève (4ème5)'!ST12:SX12,"D"))*1))/(COUNTA(ST12:SX12)),"")</f>
        <v>1</v>
      </c>
      <c r="SZ12" s="185" t="str">
        <f t="shared" si="102"/>
        <v>D</v>
      </c>
      <c r="TA12" s="184">
        <f>IF(COUNT(SL12,SR12,SY12)=0,"",SUM(SL12,SR12,SY12)/COUNT(SL12,SR12,SY12))</f>
        <v>1</v>
      </c>
      <c r="TB12" s="207" t="str">
        <f t="shared" si="103"/>
        <v>D</v>
      </c>
      <c r="TC12" s="130"/>
      <c r="TD12" s="131"/>
      <c r="TE12" s="132"/>
      <c r="TF12" s="184" t="str">
        <f>IFERROR((((COUNTIF('Elève (4ème5)'!TC12:TE12,"A"))*4)+((COUNTIF('Elève (4ème5)'!TC12:TE12,"B"))*3)+((COUNTIF('Elève (4ème5)'!TC12:TE12,"C"))*2)+((COUNTIF('Elève (4ème5)'!TC12:TE12,"D"))*1))/(COUNTA(TC12:TE12)),"")</f>
        <v/>
      </c>
      <c r="TG12" s="185" t="str">
        <f t="shared" si="104"/>
        <v/>
      </c>
      <c r="TH12" s="130"/>
      <c r="TI12" s="131"/>
      <c r="TJ12" s="132"/>
      <c r="TK12" s="132"/>
      <c r="TL12" s="184" t="str">
        <f>IFERROR((((COUNTIF('Elève (4ème5)'!TH12:TK12,"A"))*4)+((COUNTIF('Elève (4ème5)'!TH12:TK12,"B"))*3)+((COUNTIF('Elève (4ème5)'!TH12:TK12,"C"))*2)+((COUNTIF('Elève (4ème5)'!TH12:TK12,"D"))*1))/(COUNTA(TH12:TK12)),"")</f>
        <v/>
      </c>
      <c r="TM12" s="185" t="str">
        <f t="shared" si="105"/>
        <v/>
      </c>
      <c r="TN12" s="130"/>
      <c r="TO12" s="131" t="s">
        <v>29</v>
      </c>
      <c r="TP12" s="132"/>
      <c r="TQ12" s="132"/>
      <c r="TR12" s="132"/>
      <c r="TS12" s="184">
        <f>IFERROR((((COUNTIF('Elève (4ème5)'!TN12:TR12,"A"))*4)+((COUNTIF('Elève (4ème5)'!TN12:TR12,"B"))*3)+((COUNTIF('Elève (4ème5)'!TN12:TR12,"C"))*2)+((COUNTIF('Elève (4ème5)'!TN12:TR12,"D"))*1))/(COUNTA(TN12:TR12)),"")</f>
        <v>4</v>
      </c>
      <c r="TT12" s="185" t="str">
        <f t="shared" si="106"/>
        <v>A</v>
      </c>
      <c r="TU12" s="184">
        <f>IF(COUNT(TF12,TL12,TS12)=0,"",SUM(TF12,TL12,TS12)/COUNT(TF12,TL12,TS12))</f>
        <v>4</v>
      </c>
      <c r="TV12" s="207" t="str">
        <f t="shared" si="107"/>
        <v>A</v>
      </c>
      <c r="TW12" s="130"/>
      <c r="TX12" s="131"/>
      <c r="TY12" s="132"/>
      <c r="TZ12" s="184" t="str">
        <f>IFERROR((((COUNTIF('Elève (4ème5)'!TW12:TY12,"A"))*4)+((COUNTIF('Elève (4ème5)'!TW12:TY12,"B"))*3)+((COUNTIF('Elève (4ème5)'!TW12:TY12,"C"))*2)+((COUNTIF('Elève (4ème5)'!TW12:TY12,"D"))*1))/(COUNTA(TW12:TY12)),"")</f>
        <v/>
      </c>
      <c r="UA12" s="185" t="str">
        <f t="shared" si="108"/>
        <v/>
      </c>
      <c r="UB12" s="130"/>
      <c r="UC12" s="131"/>
      <c r="UD12" s="132"/>
      <c r="UE12" s="132"/>
      <c r="UF12" s="184" t="str">
        <f>IFERROR((((COUNTIF('Elève (4ème5)'!UB12:UE12,"A"))*4)+((COUNTIF('Elève (4ème5)'!UB12:UE12,"B"))*3)+((COUNTIF('Elève (4ème5)'!UB12:UE12,"C"))*2)+((COUNTIF('Elève (4ème5)'!UB12:UE12,"D"))*1))/(COUNTA(UB12:UE12)),"")</f>
        <v/>
      </c>
      <c r="UG12" s="185" t="str">
        <f t="shared" si="109"/>
        <v/>
      </c>
      <c r="UH12" s="130"/>
      <c r="UI12" s="131" t="s">
        <v>29</v>
      </c>
      <c r="UJ12" s="132"/>
      <c r="UK12" s="132"/>
      <c r="UL12" s="132"/>
      <c r="UM12" s="184">
        <f>IFERROR((((COUNTIF('Elève (4ème5)'!UH12:UL12,"A"))*4)+((COUNTIF('Elève (4ème5)'!UH12:UL12,"B"))*3)+((COUNTIF('Elève (4ème5)'!UH12:UL12,"C"))*2)+((COUNTIF('Elève (4ème5)'!UH12:UL12,"D"))*1))/(COUNTA(UH12:UL12)),"")</f>
        <v>4</v>
      </c>
      <c r="UN12" s="185" t="str">
        <f t="shared" si="110"/>
        <v>A</v>
      </c>
      <c r="UO12" s="184">
        <f>IF(COUNT(TZ12,UF12,UM12)=0,"",SUM(TZ12,UF12,UM12)/COUNT(TZ12,UF12,UM12))</f>
        <v>4</v>
      </c>
      <c r="UP12" s="207" t="str">
        <f t="shared" si="111"/>
        <v>A</v>
      </c>
      <c r="UQ12" s="130"/>
      <c r="UR12" s="131"/>
      <c r="US12" s="132"/>
      <c r="UT12" s="133" t="str">
        <f>IFERROR((((COUNTIF('Elève (4ème5)'!UQ12:US12,"A"))*4)+((COUNTIF('Elève (4ème5)'!UQ12:US12,"B"))*3)+((COUNTIF('Elève (4ème5)'!UQ12:US12,"C"))*2)+((COUNTIF('Elève (4ème5)'!UQ12:US12,"D"))*1))/(COUNTA(UQ12:US12)),"")</f>
        <v/>
      </c>
      <c r="UU12" s="134" t="str">
        <f t="shared" si="112"/>
        <v/>
      </c>
      <c r="UV12" s="130"/>
      <c r="UW12" s="131"/>
      <c r="UX12" s="132"/>
      <c r="UY12" s="133" t="str">
        <f>IFERROR((((COUNTIF('Elève (4ème5)'!UV12:UX12,"A"))*4)+((COUNTIF('Elève (4ème5)'!UV12:UX12,"B"))*3)+((COUNTIF('Elève (4ème5)'!UV12:UX12,"C"))*2)+((COUNTIF('Elève (4ème5)'!UV12:UX12,"D"))*1))/(COUNTA(UV12:UX12)),"")</f>
        <v/>
      </c>
      <c r="UZ12" s="134" t="str">
        <f t="shared" si="113"/>
        <v/>
      </c>
      <c r="VA12" s="130"/>
      <c r="VB12" s="131"/>
      <c r="VC12" s="136"/>
      <c r="VD12" s="133" t="str">
        <f>IFERROR((((COUNTIF('Elève (4ème5)'!VA12:VC12,"A"))*4)+((COUNTIF('Elève (4ème5)'!VA12:VC12,"B"))*3)+((COUNTIF('Elève (4ème5)'!VA12:VC12,"C"))*2)+((COUNTIF('Elève (4ème5)'!VA12:VC12,"D"))*1))/(COUNTA(VA12:VC12)),"")</f>
        <v/>
      </c>
      <c r="VE12" s="134" t="str">
        <f t="shared" si="114"/>
        <v/>
      </c>
      <c r="VF12" s="133" t="str">
        <f>IF(COUNT(UT12,UY12,VD12)=0,"",SUM(UT12,UY12,VD12)/COUNT(UT12,UY12,VD12))</f>
        <v/>
      </c>
      <c r="VG12" s="135" t="str">
        <f t="shared" si="115"/>
        <v/>
      </c>
      <c r="VH12" s="130"/>
      <c r="VI12" s="131"/>
      <c r="VJ12" s="132"/>
      <c r="VK12" s="133" t="str">
        <f>IFERROR((((COUNTIF('Elève (4ème5)'!VH12:VJ12,"A"))*4)+((COUNTIF('Elève (4ème5)'!VH12:VJ12,"B"))*3)+((COUNTIF('Elève (4ème5)'!VH12:VJ12,"C"))*2)+((COUNTIF('Elève (4ème5)'!VH12:VJ12,"D"))*1))/(COUNTA(VH12:VJ12)),"")</f>
        <v/>
      </c>
      <c r="VL12" s="134" t="str">
        <f t="shared" si="116"/>
        <v/>
      </c>
      <c r="VM12" s="130"/>
      <c r="VN12" s="131"/>
      <c r="VO12" s="132"/>
      <c r="VP12" s="133" t="str">
        <f>IFERROR((((COUNTIF('Elève (4ème5)'!VM12:VO12,"A"))*4)+((COUNTIF('Elève (4ème5)'!VM12:VO12,"B"))*3)+((COUNTIF('Elève (4ème5)'!VM12:VO12,"C"))*2)+((COUNTIF('Elève (4ème5)'!VM12:VO12,"D"))*1))/(COUNTA(VM12:VO12)),"")</f>
        <v/>
      </c>
      <c r="VQ12" s="134" t="str">
        <f t="shared" si="117"/>
        <v/>
      </c>
      <c r="VR12" s="130"/>
      <c r="VS12" s="131"/>
      <c r="VT12" s="136"/>
      <c r="VU12" s="133" t="str">
        <f>IFERROR((((COUNTIF('Elève (4ème5)'!VR12:VT12,"A"))*4)+((COUNTIF('Elève (4ème5)'!VR12:VT12,"B"))*3)+((COUNTIF('Elève (4ème5)'!VR12:VT12,"C"))*2)+((COUNTIF('Elève (4ème5)'!VR12:VT12,"D"))*1))/(COUNTA(VR12:VT12)),"")</f>
        <v/>
      </c>
      <c r="VV12" s="134" t="str">
        <f t="shared" si="118"/>
        <v/>
      </c>
      <c r="VW12" s="133" t="str">
        <f>IF(COUNT(VK12,VP12,VU12)=0,"",SUM(VK12,VP12,VU12)/COUNT(VK12,VP12,VU12))</f>
        <v/>
      </c>
      <c r="VX12" s="135" t="str">
        <f t="shared" si="119"/>
        <v/>
      </c>
    </row>
    <row r="13" spans="1:596" s="115" customFormat="1" ht="16.5" customHeight="1" thickBot="1" x14ac:dyDescent="0.6">
      <c r="A13" s="165" t="s">
        <v>19</v>
      </c>
      <c r="B13" s="140">
        <v>1</v>
      </c>
      <c r="C13" s="225"/>
      <c r="D13" s="85"/>
      <c r="E13" s="105"/>
      <c r="F13" s="178">
        <f>IF(COUNT(F14:F15)=0,"",SUM(F14:F15)/COUNT(F14:F15))</f>
        <v>1</v>
      </c>
      <c r="G13" s="179" t="str">
        <f t="shared" si="0"/>
        <v>D</v>
      </c>
      <c r="H13" s="225"/>
      <c r="I13" s="85"/>
      <c r="J13" s="85"/>
      <c r="K13" s="105"/>
      <c r="L13" s="178">
        <f>IF(COUNT(L14,L15)=0,"",SUM(L14:L15)/COUNT(L14,L15))</f>
        <v>3</v>
      </c>
      <c r="M13" s="194" t="str">
        <f t="shared" si="1"/>
        <v>B</v>
      </c>
      <c r="N13" s="172"/>
      <c r="O13" s="110"/>
      <c r="P13" s="110"/>
      <c r="Q13" s="110"/>
      <c r="R13" s="110"/>
      <c r="S13" s="178">
        <f>IF(COUNT(S14,S15)=0,"",SUM(S14:S15)/COUNT(S14,S15))</f>
        <v>4</v>
      </c>
      <c r="T13" s="202" t="str">
        <f t="shared" si="2"/>
        <v>A</v>
      </c>
      <c r="U13" s="203">
        <f>IF(COUNT(U14:U15)=0,"",SUM(U14:U15)/COUNT(U14:U15))</f>
        <v>2.6666666666666665</v>
      </c>
      <c r="V13" s="204" t="str">
        <f t="shared" si="3"/>
        <v>C</v>
      </c>
      <c r="W13" s="215"/>
      <c r="X13" s="85"/>
      <c r="Y13" s="105"/>
      <c r="Z13" s="178">
        <f>IF(COUNT(Z14:Z15)=0,"",SUM(Z14:Z15)/COUNT(Z14:Z15))</f>
        <v>3</v>
      </c>
      <c r="AA13" s="179" t="str">
        <f t="shared" si="4"/>
        <v>B</v>
      </c>
      <c r="AB13" s="225"/>
      <c r="AC13" s="85"/>
      <c r="AD13" s="85"/>
      <c r="AE13" s="105"/>
      <c r="AF13" s="178">
        <f>IF(COUNT(AF14,AF15)=0,"",SUM(AF14:AF15)/COUNT(AF14,AF15))</f>
        <v>3</v>
      </c>
      <c r="AG13" s="194" t="str">
        <f t="shared" si="5"/>
        <v>B</v>
      </c>
      <c r="AH13" s="172"/>
      <c r="AI13" s="110"/>
      <c r="AJ13" s="110"/>
      <c r="AK13" s="110"/>
      <c r="AL13" s="110"/>
      <c r="AM13" s="178">
        <f>IF(COUNT(AM14,AM15)=0,"",SUM(AM14:AM15)/COUNT(AM14,AM15))</f>
        <v>4</v>
      </c>
      <c r="AN13" s="202" t="str">
        <f t="shared" si="6"/>
        <v>A</v>
      </c>
      <c r="AO13" s="203">
        <f>IF(COUNT(AO14:AO15)=0,"",SUM(AO14:AO15)/COUNT(AO14:AO15))</f>
        <v>3.3333333333333335</v>
      </c>
      <c r="AP13" s="204" t="str">
        <f t="shared" si="7"/>
        <v>B</v>
      </c>
      <c r="AQ13" s="215"/>
      <c r="AR13" s="85"/>
      <c r="AS13" s="105"/>
      <c r="AT13" s="178">
        <f>IF(COUNT(AT14:AT15)=0,"",SUM(AT14:AT15)/COUNT(AT14:AT15))</f>
        <v>2</v>
      </c>
      <c r="AU13" s="179" t="str">
        <f t="shared" si="8"/>
        <v>C</v>
      </c>
      <c r="AV13" s="225"/>
      <c r="AW13" s="85"/>
      <c r="AX13" s="85"/>
      <c r="AY13" s="105"/>
      <c r="AZ13" s="178">
        <f>IF(COUNT(AZ14,AZ15)=0,"",SUM(AZ14:AZ15)/COUNT(AZ14,AZ15))</f>
        <v>3</v>
      </c>
      <c r="BA13" s="194" t="str">
        <f t="shared" si="9"/>
        <v>B</v>
      </c>
      <c r="BB13" s="172"/>
      <c r="BC13" s="110"/>
      <c r="BD13" s="110"/>
      <c r="BE13" s="110"/>
      <c r="BF13" s="110"/>
      <c r="BG13" s="178">
        <f>IF(COUNT(BG14,BG15)=0,"",SUM(BG14:BG15)/COUNT(BG14,BG15))</f>
        <v>4</v>
      </c>
      <c r="BH13" s="202" t="str">
        <f t="shared" si="10"/>
        <v>A</v>
      </c>
      <c r="BI13" s="203">
        <f>IF(COUNT(BI14:BI15)=0,"",SUM(BI14:BI15)/COUNT(BI14:BI15))</f>
        <v>3</v>
      </c>
      <c r="BJ13" s="204" t="str">
        <f t="shared" si="11"/>
        <v>B</v>
      </c>
      <c r="BK13" s="215"/>
      <c r="BL13" s="85"/>
      <c r="BM13" s="105"/>
      <c r="BN13" s="178">
        <f>IF(COUNT(BN14:BN15)=0,"",SUM(BN14:BN15)/COUNT(BN14:BN15))</f>
        <v>3</v>
      </c>
      <c r="BO13" s="179" t="str">
        <f t="shared" si="12"/>
        <v>B</v>
      </c>
      <c r="BP13" s="225"/>
      <c r="BQ13" s="85"/>
      <c r="BR13" s="85"/>
      <c r="BS13" s="105"/>
      <c r="BT13" s="178">
        <f>IF(COUNT(BT14,BT15)=0,"",SUM(BT14:BT15)/COUNT(BT14,BT15))</f>
        <v>3</v>
      </c>
      <c r="BU13" s="194" t="str">
        <f t="shared" si="13"/>
        <v>B</v>
      </c>
      <c r="BV13" s="172"/>
      <c r="BW13" s="110"/>
      <c r="BX13" s="110"/>
      <c r="BY13" s="110"/>
      <c r="BZ13" s="110"/>
      <c r="CA13" s="178">
        <f>IF(COUNT(CA14,CA15)=0,"",SUM(CA14:CA15)/COUNT(CA14,CA15))</f>
        <v>4</v>
      </c>
      <c r="CB13" s="202" t="str">
        <f t="shared" si="14"/>
        <v>A</v>
      </c>
      <c r="CC13" s="203">
        <f>IF(COUNT(CC14:CC15)=0,"",SUM(CC14:CC15)/COUNT(CC14:CC15))</f>
        <v>3.3333333333333335</v>
      </c>
      <c r="CD13" s="204" t="str">
        <f t="shared" si="15"/>
        <v>B</v>
      </c>
      <c r="CE13" s="215"/>
      <c r="CF13" s="85"/>
      <c r="CG13" s="105"/>
      <c r="CH13" s="178">
        <f>IF(COUNT(CH14:CH15)=0,"",SUM(CH14:CH15)/COUNT(CH14:CH15))</f>
        <v>3</v>
      </c>
      <c r="CI13" s="179" t="str">
        <f t="shared" si="16"/>
        <v>B</v>
      </c>
      <c r="CJ13" s="225"/>
      <c r="CK13" s="85"/>
      <c r="CL13" s="85"/>
      <c r="CM13" s="105"/>
      <c r="CN13" s="178">
        <f>IF(COUNT(CN14,CN15)=0,"",SUM(CN14:CN15)/COUNT(CN14,CN15))</f>
        <v>3</v>
      </c>
      <c r="CO13" s="194" t="str">
        <f t="shared" si="17"/>
        <v>B</v>
      </c>
      <c r="CP13" s="172"/>
      <c r="CQ13" s="110"/>
      <c r="CR13" s="110"/>
      <c r="CS13" s="110"/>
      <c r="CT13" s="110"/>
      <c r="CU13" s="178">
        <f>IF(COUNT(CU14,CU15)=0,"",SUM(CU14:CU15)/COUNT(CU14,CU15))</f>
        <v>4</v>
      </c>
      <c r="CV13" s="202" t="str">
        <f t="shared" si="18"/>
        <v>A</v>
      </c>
      <c r="CW13" s="203">
        <f>IF(COUNT(CW14:CW15)=0,"",SUM(CW14:CW15)/COUNT(CW14:CW15))</f>
        <v>3.3333333333333335</v>
      </c>
      <c r="CX13" s="204" t="str">
        <f t="shared" si="19"/>
        <v>B</v>
      </c>
      <c r="CY13" s="215"/>
      <c r="CZ13" s="85"/>
      <c r="DA13" s="105"/>
      <c r="DB13" s="178">
        <f>IF(COUNT(DB14:DB15)=0,"",SUM(DB14:DB15)/COUNT(DB14:DB15))</f>
        <v>2</v>
      </c>
      <c r="DC13" s="179" t="str">
        <f t="shared" si="20"/>
        <v>C</v>
      </c>
      <c r="DD13" s="225"/>
      <c r="DE13" s="85"/>
      <c r="DF13" s="85"/>
      <c r="DG13" s="105"/>
      <c r="DH13" s="178">
        <f>IF(COUNT(DH14,DH15)=0,"",SUM(DH14:DH15)/COUNT(DH14,DH15))</f>
        <v>3</v>
      </c>
      <c r="DI13" s="194" t="str">
        <f t="shared" si="21"/>
        <v>B</v>
      </c>
      <c r="DJ13" s="172"/>
      <c r="DK13" s="110"/>
      <c r="DL13" s="110"/>
      <c r="DM13" s="110"/>
      <c r="DN13" s="110"/>
      <c r="DO13" s="178">
        <f>IF(COUNT(DO14,DO15)=0,"",SUM(DO14:DO15)/COUNT(DO14,DO15))</f>
        <v>4</v>
      </c>
      <c r="DP13" s="202" t="str">
        <f t="shared" si="22"/>
        <v>A</v>
      </c>
      <c r="DQ13" s="203">
        <f>IF(COUNT(DQ14:DQ15)=0,"",SUM(DQ14:DQ15)/COUNT(DQ14:DQ15))</f>
        <v>3</v>
      </c>
      <c r="DR13" s="204" t="str">
        <f t="shared" si="23"/>
        <v>B</v>
      </c>
      <c r="DS13" s="215"/>
      <c r="DT13" s="85"/>
      <c r="DU13" s="105"/>
      <c r="DV13" s="178">
        <f>IF(COUNT(DV14:DV15)=0,"",SUM(DV14:DV15)/COUNT(DV14:DV15))</f>
        <v>2</v>
      </c>
      <c r="DW13" s="179" t="str">
        <f t="shared" si="24"/>
        <v>C</v>
      </c>
      <c r="DX13" s="225"/>
      <c r="DY13" s="85"/>
      <c r="DZ13" s="85"/>
      <c r="EA13" s="105"/>
      <c r="EB13" s="178">
        <f>IF(COUNT(EB14,EB15)=0,"",SUM(EB14:EB15)/COUNT(EB14,EB15))</f>
        <v>3</v>
      </c>
      <c r="EC13" s="194" t="str">
        <f t="shared" si="25"/>
        <v>B</v>
      </c>
      <c r="ED13" s="172"/>
      <c r="EE13" s="110"/>
      <c r="EF13" s="110"/>
      <c r="EG13" s="110"/>
      <c r="EH13" s="110"/>
      <c r="EI13" s="178">
        <f>IF(COUNT(EI14,EI15)=0,"",SUM(EI14:EI15)/COUNT(EI14,EI15))</f>
        <v>4</v>
      </c>
      <c r="EJ13" s="202" t="str">
        <f t="shared" si="26"/>
        <v>A</v>
      </c>
      <c r="EK13" s="203">
        <f>IF(COUNT(EK14:EK15)=0,"",SUM(EK14:EK15)/COUNT(EK14:EK15))</f>
        <v>3</v>
      </c>
      <c r="EL13" s="204" t="str">
        <f t="shared" si="27"/>
        <v>B</v>
      </c>
      <c r="EM13" s="215"/>
      <c r="EN13" s="85"/>
      <c r="EO13" s="105"/>
      <c r="EP13" s="178">
        <f>IF(COUNT(EP14:EP15)=0,"",SUM(EP14:EP15)/COUNT(EP14:EP15))</f>
        <v>3</v>
      </c>
      <c r="EQ13" s="179" t="str">
        <f t="shared" si="28"/>
        <v>B</v>
      </c>
      <c r="ER13" s="225"/>
      <c r="ES13" s="85"/>
      <c r="ET13" s="85"/>
      <c r="EU13" s="105"/>
      <c r="EV13" s="178" t="str">
        <f>IF(COUNT(EV14,EV15)=0,"",SUM(EV14:EV15)/COUNT(EV14,EV15))</f>
        <v/>
      </c>
      <c r="EW13" s="194" t="str">
        <f t="shared" si="29"/>
        <v/>
      </c>
      <c r="EX13" s="172"/>
      <c r="EY13" s="110"/>
      <c r="EZ13" s="110"/>
      <c r="FA13" s="110"/>
      <c r="FB13" s="110"/>
      <c r="FC13" s="178">
        <f>IF(COUNT(FC14,FC15)=0,"",SUM(FC14:FC15)/COUNT(FC14,FC15))</f>
        <v>4</v>
      </c>
      <c r="FD13" s="202" t="str">
        <f t="shared" si="30"/>
        <v>A</v>
      </c>
      <c r="FE13" s="203">
        <f>IF(COUNT(FE14:FE15)=0,"",SUM(FE14:FE15)/COUNT(FE14:FE15))</f>
        <v>3.5</v>
      </c>
      <c r="FF13" s="204" t="str">
        <f t="shared" si="31"/>
        <v>B</v>
      </c>
      <c r="FG13" s="215"/>
      <c r="FH13" s="85"/>
      <c r="FI13" s="105"/>
      <c r="FJ13" s="178">
        <f>IF(COUNT(FJ14:FJ15)=0,"",SUM(FJ14:FJ15)/COUNT(FJ14:FJ15))</f>
        <v>1</v>
      </c>
      <c r="FK13" s="179" t="str">
        <f t="shared" si="32"/>
        <v>D</v>
      </c>
      <c r="FL13" s="225"/>
      <c r="FM13" s="85"/>
      <c r="FN13" s="85"/>
      <c r="FO13" s="105"/>
      <c r="FP13" s="178">
        <f>IF(COUNT(FP14,FP15)=0,"",SUM(FP14:FP15)/COUNT(FP14,FP15))</f>
        <v>3</v>
      </c>
      <c r="FQ13" s="194" t="str">
        <f t="shared" si="33"/>
        <v>B</v>
      </c>
      <c r="FR13" s="172"/>
      <c r="FS13" s="110"/>
      <c r="FT13" s="110"/>
      <c r="FU13" s="110"/>
      <c r="FV13" s="110"/>
      <c r="FW13" s="178">
        <f>IF(COUNT(FW14,FW15)=0,"",SUM(FW14:FW15)/COUNT(FW14,FW15))</f>
        <v>4</v>
      </c>
      <c r="FX13" s="202" t="str">
        <f t="shared" si="34"/>
        <v>A</v>
      </c>
      <c r="FY13" s="203">
        <f>IF(COUNT(FY14:FY15)=0,"",SUM(FY14:FY15)/COUNT(FY14:FY15))</f>
        <v>2.6666666666666665</v>
      </c>
      <c r="FZ13" s="204" t="str">
        <f t="shared" si="35"/>
        <v>C</v>
      </c>
      <c r="GA13" s="215"/>
      <c r="GB13" s="85"/>
      <c r="GC13" s="105"/>
      <c r="GD13" s="178">
        <f>IF(COUNT(GD14:GD15)=0,"",SUM(GD14:GD15)/COUNT(GD14:GD15))</f>
        <v>3</v>
      </c>
      <c r="GE13" s="179" t="str">
        <f t="shared" si="36"/>
        <v>B</v>
      </c>
      <c r="GF13" s="225"/>
      <c r="GG13" s="85"/>
      <c r="GH13" s="85"/>
      <c r="GI13" s="105"/>
      <c r="GJ13" s="178">
        <f>IF(COUNT(GJ14,GJ15)=0,"",SUM(GJ14:GJ15)/COUNT(GJ14,GJ15))</f>
        <v>3</v>
      </c>
      <c r="GK13" s="194" t="str">
        <f t="shared" si="37"/>
        <v>B</v>
      </c>
      <c r="GL13" s="172"/>
      <c r="GM13" s="110"/>
      <c r="GN13" s="110"/>
      <c r="GO13" s="110"/>
      <c r="GP13" s="110"/>
      <c r="GQ13" s="178">
        <f>IF(COUNT(GQ14,GQ15)=0,"",SUM(GQ14:GQ15)/COUNT(GQ14,GQ15))</f>
        <v>4</v>
      </c>
      <c r="GR13" s="202" t="str">
        <f t="shared" si="38"/>
        <v>A</v>
      </c>
      <c r="GS13" s="203">
        <f>IF(COUNT(GS14:GS15)=0,"",SUM(GS14:GS15)/COUNT(GS14:GS15))</f>
        <v>3.3333333333333335</v>
      </c>
      <c r="GT13" s="204" t="str">
        <f t="shared" si="39"/>
        <v>B</v>
      </c>
      <c r="GU13" s="215"/>
      <c r="GV13" s="85"/>
      <c r="GW13" s="105"/>
      <c r="GX13" s="178">
        <f>IF(COUNT(GX14:GX15)=0,"",SUM(GX14:GX15)/COUNT(GX14:GX15))</f>
        <v>1</v>
      </c>
      <c r="GY13" s="179" t="str">
        <f t="shared" si="40"/>
        <v>D</v>
      </c>
      <c r="GZ13" s="225"/>
      <c r="HA13" s="85"/>
      <c r="HB13" s="85"/>
      <c r="HC13" s="105"/>
      <c r="HD13" s="178" t="str">
        <f>IF(COUNT(HD14,HD15)=0,"",SUM(HD14:HD15)/COUNT(HD14,HD15))</f>
        <v/>
      </c>
      <c r="HE13" s="194" t="str">
        <f t="shared" si="41"/>
        <v/>
      </c>
      <c r="HF13" s="172"/>
      <c r="HG13" s="110"/>
      <c r="HH13" s="110"/>
      <c r="HI13" s="110"/>
      <c r="HJ13" s="110"/>
      <c r="HK13" s="178">
        <f>IF(COUNT(HK14,HK15)=0,"",SUM(HK14:HK15)/COUNT(HK14,HK15))</f>
        <v>4</v>
      </c>
      <c r="HL13" s="202" t="str">
        <f t="shared" si="42"/>
        <v>A</v>
      </c>
      <c r="HM13" s="203">
        <f>IF(COUNT(HM14:HM15)=0,"",SUM(HM14:HM15)/COUNT(HM14:HM15))</f>
        <v>2.5</v>
      </c>
      <c r="HN13" s="204" t="str">
        <f t="shared" si="43"/>
        <v>C</v>
      </c>
      <c r="HO13" s="215"/>
      <c r="HP13" s="85"/>
      <c r="HQ13" s="105"/>
      <c r="HR13" s="178">
        <f>IF(COUNT(HR14:HR15)=0,"",SUM(HR14:HR15)/COUNT(HR14:HR15))</f>
        <v>2</v>
      </c>
      <c r="HS13" s="179" t="str">
        <f t="shared" si="44"/>
        <v>C</v>
      </c>
      <c r="HT13" s="225"/>
      <c r="HU13" s="85"/>
      <c r="HV13" s="85"/>
      <c r="HW13" s="105"/>
      <c r="HX13" s="178">
        <f>IF(COUNT(HX14,HX15)=0,"",SUM(HX14:HX15)/COUNT(HX14,HX15))</f>
        <v>3</v>
      </c>
      <c r="HY13" s="194" t="str">
        <f t="shared" si="45"/>
        <v>B</v>
      </c>
      <c r="HZ13" s="172"/>
      <c r="IA13" s="110"/>
      <c r="IB13" s="110"/>
      <c r="IC13" s="110"/>
      <c r="ID13" s="110"/>
      <c r="IE13" s="178">
        <f>IF(COUNT(IE14,IE15)=0,"",SUM(IE14:IE15)/COUNT(IE14,IE15))</f>
        <v>4</v>
      </c>
      <c r="IF13" s="202" t="str">
        <f t="shared" si="46"/>
        <v>A</v>
      </c>
      <c r="IG13" s="203">
        <f>IF(COUNT(IG14:IG15)=0,"",SUM(IG14:IG15)/COUNT(IG14:IG15))</f>
        <v>3</v>
      </c>
      <c r="IH13" s="204" t="str">
        <f t="shared" si="47"/>
        <v>B</v>
      </c>
      <c r="II13" s="215"/>
      <c r="IJ13" s="85"/>
      <c r="IK13" s="105"/>
      <c r="IL13" s="178">
        <f>IF(COUNT(IL14:IL15)=0,"",SUM(IL14:IL15)/COUNT(IL14:IL15))</f>
        <v>2</v>
      </c>
      <c r="IM13" s="179" t="str">
        <f t="shared" si="48"/>
        <v>C</v>
      </c>
      <c r="IN13" s="225"/>
      <c r="IO13" s="85"/>
      <c r="IP13" s="85"/>
      <c r="IQ13" s="105"/>
      <c r="IR13" s="178">
        <f>IF(COUNT(IR14,IR15)=0,"",SUM(IR14:IR15)/COUNT(IR14,IR15))</f>
        <v>3</v>
      </c>
      <c r="IS13" s="194" t="str">
        <f t="shared" si="49"/>
        <v>B</v>
      </c>
      <c r="IT13" s="172"/>
      <c r="IU13" s="110"/>
      <c r="IV13" s="110"/>
      <c r="IW13" s="110"/>
      <c r="IX13" s="110"/>
      <c r="IY13" s="178">
        <f>IF(COUNT(IY14,IY15)=0,"",SUM(IY14:IY15)/COUNT(IY14,IY15))</f>
        <v>4</v>
      </c>
      <c r="IZ13" s="202" t="str">
        <f t="shared" si="50"/>
        <v>A</v>
      </c>
      <c r="JA13" s="203">
        <f>IF(COUNT(JA14:JA15)=0,"",SUM(JA14:JA15)/COUNT(JA14:JA15))</f>
        <v>3</v>
      </c>
      <c r="JB13" s="204" t="str">
        <f t="shared" si="51"/>
        <v>B</v>
      </c>
      <c r="JC13" s="215"/>
      <c r="JD13" s="85"/>
      <c r="JE13" s="105"/>
      <c r="JF13" s="178">
        <f>IF(COUNT(JF14:JF15)=0,"",SUM(JF14:JF15)/COUNT(JF14:JF15))</f>
        <v>3</v>
      </c>
      <c r="JG13" s="179" t="str">
        <f t="shared" si="52"/>
        <v>B</v>
      </c>
      <c r="JH13" s="225"/>
      <c r="JI13" s="85"/>
      <c r="JJ13" s="85"/>
      <c r="JK13" s="105"/>
      <c r="JL13" s="178">
        <f>IF(COUNT(JL14,JL15)=0,"",SUM(JL14:JL15)/COUNT(JL14,JL15))</f>
        <v>3</v>
      </c>
      <c r="JM13" s="194" t="str">
        <f t="shared" si="53"/>
        <v>B</v>
      </c>
      <c r="JN13" s="172"/>
      <c r="JO13" s="110"/>
      <c r="JP13" s="110"/>
      <c r="JQ13" s="110"/>
      <c r="JR13" s="110"/>
      <c r="JS13" s="178">
        <f>IF(COUNT(JS14,JS15)=0,"",SUM(JS14:JS15)/COUNT(JS14,JS15))</f>
        <v>4</v>
      </c>
      <c r="JT13" s="202" t="str">
        <f t="shared" si="54"/>
        <v>A</v>
      </c>
      <c r="JU13" s="203">
        <f>IF(COUNT(JU14:JU15)=0,"",SUM(JU14:JU15)/COUNT(JU14:JU15))</f>
        <v>3.3333333333333335</v>
      </c>
      <c r="JV13" s="204" t="str">
        <f t="shared" si="55"/>
        <v>B</v>
      </c>
      <c r="JW13" s="215"/>
      <c r="JX13" s="85"/>
      <c r="JY13" s="105"/>
      <c r="JZ13" s="178">
        <f>IF(COUNT(JZ14:JZ15)=0,"",SUM(JZ14:JZ15)/COUNT(JZ14:JZ15))</f>
        <v>3</v>
      </c>
      <c r="KA13" s="179" t="str">
        <f t="shared" si="56"/>
        <v>B</v>
      </c>
      <c r="KB13" s="225"/>
      <c r="KC13" s="85"/>
      <c r="KD13" s="85"/>
      <c r="KE13" s="105"/>
      <c r="KF13" s="178">
        <f>IF(COUNT(KF14,KF15)=0,"",SUM(KF14:KF15)/COUNT(KF14,KF15))</f>
        <v>3</v>
      </c>
      <c r="KG13" s="194" t="str">
        <f t="shared" si="57"/>
        <v>B</v>
      </c>
      <c r="KH13" s="172"/>
      <c r="KI13" s="110"/>
      <c r="KJ13" s="110"/>
      <c r="KK13" s="110"/>
      <c r="KL13" s="110"/>
      <c r="KM13" s="178">
        <f>IF(COUNT(KM14,KM15)=0,"",SUM(KM14:KM15)/COUNT(KM14,KM15))</f>
        <v>4</v>
      </c>
      <c r="KN13" s="202" t="str">
        <f t="shared" si="58"/>
        <v>A</v>
      </c>
      <c r="KO13" s="203">
        <f>IF(COUNT(KO14:KO15)=0,"",SUM(KO14:KO15)/COUNT(KO14:KO15))</f>
        <v>3.3333333333333335</v>
      </c>
      <c r="KP13" s="204" t="str">
        <f t="shared" si="59"/>
        <v>B</v>
      </c>
      <c r="KQ13" s="215"/>
      <c r="KR13" s="85"/>
      <c r="KS13" s="105"/>
      <c r="KT13" s="178">
        <f>IF(COUNT(KT14:KT15)=0,"",SUM(KT14:KT15)/COUNT(KT14:KT15))</f>
        <v>1</v>
      </c>
      <c r="KU13" s="179" t="str">
        <f t="shared" si="60"/>
        <v>D</v>
      </c>
      <c r="KV13" s="225"/>
      <c r="KW13" s="85"/>
      <c r="KX13" s="85"/>
      <c r="KY13" s="105"/>
      <c r="KZ13" s="178">
        <f>IF(COUNT(KZ14,KZ15)=0,"",SUM(KZ14:KZ15)/COUNT(KZ14,KZ15))</f>
        <v>3</v>
      </c>
      <c r="LA13" s="194" t="str">
        <f t="shared" si="61"/>
        <v>B</v>
      </c>
      <c r="LB13" s="172"/>
      <c r="LC13" s="110"/>
      <c r="LD13" s="110"/>
      <c r="LE13" s="110"/>
      <c r="LF13" s="110"/>
      <c r="LG13" s="178">
        <f>IF(COUNT(LG14,LG15)=0,"",SUM(LG14:LG15)/COUNT(LG14,LG15))</f>
        <v>4</v>
      </c>
      <c r="LH13" s="202" t="str">
        <f t="shared" si="62"/>
        <v>A</v>
      </c>
      <c r="LI13" s="203">
        <f>IF(COUNT(LI14:LI15)=0,"",SUM(LI14:LI15)/COUNT(LI14:LI15))</f>
        <v>2.6666666666666665</v>
      </c>
      <c r="LJ13" s="204" t="str">
        <f t="shared" si="63"/>
        <v>C</v>
      </c>
      <c r="LK13" s="215"/>
      <c r="LL13" s="85"/>
      <c r="LM13" s="105"/>
      <c r="LN13" s="178" t="str">
        <f>IF(COUNT(LN14:LN15)=0,"",SUM(LN14:LN15)/COUNT(LN14:LN15))</f>
        <v/>
      </c>
      <c r="LO13" s="179" t="str">
        <f t="shared" si="64"/>
        <v/>
      </c>
      <c r="LP13" s="225"/>
      <c r="LQ13" s="85"/>
      <c r="LR13" s="85"/>
      <c r="LS13" s="105"/>
      <c r="LT13" s="178" t="str">
        <f>IF(COUNT(LT14,LT15)=0,"",SUM(LT14:LT15)/COUNT(LT14,LT15))</f>
        <v/>
      </c>
      <c r="LU13" s="194" t="str">
        <f t="shared" si="65"/>
        <v/>
      </c>
      <c r="LV13" s="172"/>
      <c r="LW13" s="110"/>
      <c r="LX13" s="110"/>
      <c r="LY13" s="110"/>
      <c r="LZ13" s="110"/>
      <c r="MA13" s="178" t="str">
        <f>IF(COUNT(MA14,MA15)=0,"",SUM(MA14:MA15)/COUNT(MA14,MA15))</f>
        <v/>
      </c>
      <c r="MB13" s="202" t="str">
        <f t="shared" si="66"/>
        <v/>
      </c>
      <c r="MC13" s="203" t="str">
        <f>IF(COUNT(MC14:MC15)=0,"",SUM(MC14:MC15)/COUNT(MC14:MC15))</f>
        <v/>
      </c>
      <c r="MD13" s="204" t="str">
        <f t="shared" si="67"/>
        <v/>
      </c>
      <c r="ME13" s="215"/>
      <c r="MF13" s="85"/>
      <c r="MG13" s="105"/>
      <c r="MH13" s="178">
        <f>IF(COUNT(MH14:MH15)=0,"",SUM(MH14:MH15)/COUNT(MH14:MH15))</f>
        <v>2</v>
      </c>
      <c r="MI13" s="179" t="str">
        <f t="shared" si="68"/>
        <v>C</v>
      </c>
      <c r="MJ13" s="225"/>
      <c r="MK13" s="85"/>
      <c r="ML13" s="85"/>
      <c r="MM13" s="105"/>
      <c r="MN13" s="178">
        <f>IF(COUNT(MN14,MN15)=0,"",SUM(MN14:MN15)/COUNT(MN14,MN15))</f>
        <v>3</v>
      </c>
      <c r="MO13" s="194" t="str">
        <f t="shared" si="69"/>
        <v>B</v>
      </c>
      <c r="MP13" s="172"/>
      <c r="MQ13" s="110"/>
      <c r="MR13" s="110"/>
      <c r="MS13" s="110"/>
      <c r="MT13" s="110"/>
      <c r="MU13" s="178">
        <f>IF(COUNT(MU14,MU15)=0,"",SUM(MU14:MU15)/COUNT(MU14,MU15))</f>
        <v>4</v>
      </c>
      <c r="MV13" s="202" t="str">
        <f t="shared" si="70"/>
        <v>A</v>
      </c>
      <c r="MW13" s="203">
        <f>IF(COUNT(MW14:MW15)=0,"",SUM(MW14:MW15)/COUNT(MW14:MW15))</f>
        <v>3</v>
      </c>
      <c r="MX13" s="204" t="str">
        <f t="shared" si="71"/>
        <v>B</v>
      </c>
      <c r="MY13" s="215"/>
      <c r="MZ13" s="85"/>
      <c r="NA13" s="105"/>
      <c r="NB13" s="178">
        <f>IF(COUNT(NB14:NB15)=0,"",SUM(NB14:NB15)/COUNT(NB14:NB15))</f>
        <v>1</v>
      </c>
      <c r="NC13" s="179" t="str">
        <f t="shared" si="72"/>
        <v>D</v>
      </c>
      <c r="ND13" s="225"/>
      <c r="NE13" s="85"/>
      <c r="NF13" s="85"/>
      <c r="NG13" s="105"/>
      <c r="NH13" s="178">
        <f>IF(COUNT(NH14,NH15)=0,"",SUM(NH14:NH15)/COUNT(NH14,NH15))</f>
        <v>3</v>
      </c>
      <c r="NI13" s="194" t="str">
        <f t="shared" si="73"/>
        <v>B</v>
      </c>
      <c r="NJ13" s="172"/>
      <c r="NK13" s="110"/>
      <c r="NL13" s="110"/>
      <c r="NM13" s="110"/>
      <c r="NN13" s="110"/>
      <c r="NO13" s="178">
        <f>IF(COUNT(NO14,NO15)=0,"",SUM(NO14:NO15)/COUNT(NO14,NO15))</f>
        <v>4</v>
      </c>
      <c r="NP13" s="202" t="str">
        <f t="shared" si="74"/>
        <v>A</v>
      </c>
      <c r="NQ13" s="203">
        <f>IF(COUNT(NQ14:NQ15)=0,"",SUM(NQ14:NQ15)/COUNT(NQ14:NQ15))</f>
        <v>2.6666666666666665</v>
      </c>
      <c r="NR13" s="204" t="str">
        <f t="shared" si="75"/>
        <v>C</v>
      </c>
      <c r="NS13" s="215"/>
      <c r="NT13" s="85"/>
      <c r="NU13" s="105"/>
      <c r="NV13" s="178">
        <f>IF(COUNT(NV14:NV15)=0,"",SUM(NV14:NV15)/COUNT(NV14:NV15))</f>
        <v>2</v>
      </c>
      <c r="NW13" s="179" t="str">
        <f t="shared" si="76"/>
        <v>C</v>
      </c>
      <c r="NX13" s="225"/>
      <c r="NY13" s="85"/>
      <c r="NZ13" s="85"/>
      <c r="OA13" s="105"/>
      <c r="OB13" s="178">
        <f>IF(COUNT(OB14,OB15)=0,"",SUM(OB14:OB15)/COUNT(OB14,OB15))</f>
        <v>3</v>
      </c>
      <c r="OC13" s="194" t="str">
        <f t="shared" si="77"/>
        <v>B</v>
      </c>
      <c r="OD13" s="172"/>
      <c r="OE13" s="110"/>
      <c r="OF13" s="110"/>
      <c r="OG13" s="110"/>
      <c r="OH13" s="110"/>
      <c r="OI13" s="178">
        <f>IF(COUNT(OI14,OI15)=0,"",SUM(OI14:OI15)/COUNT(OI14,OI15))</f>
        <v>4</v>
      </c>
      <c r="OJ13" s="202" t="str">
        <f t="shared" si="78"/>
        <v>A</v>
      </c>
      <c r="OK13" s="203">
        <f>IF(COUNT(OK14:OK15)=0,"",SUM(OK14:OK15)/COUNT(OK14:OK15))</f>
        <v>3</v>
      </c>
      <c r="OL13" s="204" t="str">
        <f t="shared" si="79"/>
        <v>B</v>
      </c>
      <c r="OM13" s="215"/>
      <c r="ON13" s="85"/>
      <c r="OO13" s="105"/>
      <c r="OP13" s="178">
        <f>IF(COUNT(OP14:OP15)=0,"",SUM(OP14:OP15)/COUNT(OP14:OP15))</f>
        <v>2</v>
      </c>
      <c r="OQ13" s="179" t="str">
        <f t="shared" si="80"/>
        <v>C</v>
      </c>
      <c r="OR13" s="225"/>
      <c r="OS13" s="85"/>
      <c r="OT13" s="85"/>
      <c r="OU13" s="105"/>
      <c r="OV13" s="178">
        <f>IF(COUNT(OV14,OV15)=0,"",SUM(OV14:OV15)/COUNT(OV14,OV15))</f>
        <v>3</v>
      </c>
      <c r="OW13" s="194" t="str">
        <f t="shared" si="81"/>
        <v>B</v>
      </c>
      <c r="OX13" s="172"/>
      <c r="OY13" s="110"/>
      <c r="OZ13" s="110"/>
      <c r="PA13" s="110"/>
      <c r="PB13" s="110"/>
      <c r="PC13" s="178">
        <f>IF(COUNT(PC14,PC15)=0,"",SUM(PC14:PC15)/COUNT(PC14,PC15))</f>
        <v>4</v>
      </c>
      <c r="PD13" s="202" t="str">
        <f t="shared" si="82"/>
        <v>A</v>
      </c>
      <c r="PE13" s="203">
        <f>IF(COUNT(PE14:PE15)=0,"",SUM(PE14:PE15)/COUNT(PE14:PE15))</f>
        <v>3</v>
      </c>
      <c r="PF13" s="204" t="str">
        <f t="shared" si="83"/>
        <v>B</v>
      </c>
      <c r="PG13" s="215"/>
      <c r="PH13" s="85"/>
      <c r="PI13" s="105"/>
      <c r="PJ13" s="178">
        <f>IF(COUNT(PJ14:PJ15)=0,"",SUM(PJ14:PJ15)/COUNT(PJ14:PJ15))</f>
        <v>3</v>
      </c>
      <c r="PK13" s="179" t="str">
        <f t="shared" si="84"/>
        <v>B</v>
      </c>
      <c r="PL13" s="225"/>
      <c r="PM13" s="85"/>
      <c r="PN13" s="85"/>
      <c r="PO13" s="105"/>
      <c r="PP13" s="178">
        <f>IF(COUNT(PP14,PP15)=0,"",SUM(PP14:PP15)/COUNT(PP14,PP15))</f>
        <v>3</v>
      </c>
      <c r="PQ13" s="194" t="str">
        <f t="shared" si="85"/>
        <v>B</v>
      </c>
      <c r="PR13" s="172"/>
      <c r="PS13" s="110"/>
      <c r="PT13" s="110"/>
      <c r="PU13" s="110"/>
      <c r="PV13" s="110"/>
      <c r="PW13" s="178">
        <f>IF(COUNT(PW14,PW15)=0,"",SUM(PW14:PW15)/COUNT(PW14,PW15))</f>
        <v>4</v>
      </c>
      <c r="PX13" s="202" t="str">
        <f t="shared" si="86"/>
        <v>A</v>
      </c>
      <c r="PY13" s="203">
        <f>IF(COUNT(PY14:PY15)=0,"",SUM(PY14:PY15)/COUNT(PY14:PY15))</f>
        <v>3.3333333333333335</v>
      </c>
      <c r="PZ13" s="204" t="str">
        <f t="shared" si="87"/>
        <v>B</v>
      </c>
      <c r="QA13" s="215"/>
      <c r="QB13" s="85"/>
      <c r="QC13" s="105"/>
      <c r="QD13" s="178">
        <f>IF(COUNT(QD14:QD15)=0,"",SUM(QD14:QD15)/COUNT(QD14:QD15))</f>
        <v>4</v>
      </c>
      <c r="QE13" s="179" t="str">
        <f t="shared" si="88"/>
        <v>A</v>
      </c>
      <c r="QF13" s="225"/>
      <c r="QG13" s="85"/>
      <c r="QH13" s="85"/>
      <c r="QI13" s="105"/>
      <c r="QJ13" s="178">
        <f>IF(COUNT(QJ14,QJ15)=0,"",SUM(QJ14:QJ15)/COUNT(QJ14,QJ15))</f>
        <v>3</v>
      </c>
      <c r="QK13" s="194" t="str">
        <f t="shared" si="89"/>
        <v>B</v>
      </c>
      <c r="QL13" s="172"/>
      <c r="QM13" s="110"/>
      <c r="QN13" s="110"/>
      <c r="QO13" s="110"/>
      <c r="QP13" s="110"/>
      <c r="QQ13" s="178">
        <f>IF(COUNT(QQ14,QQ15)=0,"",SUM(QQ14:QQ15)/COUNT(QQ14,QQ15))</f>
        <v>4</v>
      </c>
      <c r="QR13" s="202" t="str">
        <f t="shared" si="90"/>
        <v>A</v>
      </c>
      <c r="QS13" s="203">
        <f>IF(COUNT(QS14:QS15)=0,"",SUM(QS14:QS15)/COUNT(QS14:QS15))</f>
        <v>3.6666666666666665</v>
      </c>
      <c r="QT13" s="204" t="str">
        <f t="shared" si="91"/>
        <v>B</v>
      </c>
      <c r="QU13" s="215"/>
      <c r="QV13" s="85"/>
      <c r="QW13" s="105"/>
      <c r="QX13" s="178">
        <f>IF(COUNT(QX14:QX15)=0,"",SUM(QX14:QX15)/COUNT(QX14:QX15))</f>
        <v>2</v>
      </c>
      <c r="QY13" s="179" t="str">
        <f t="shared" si="92"/>
        <v>C</v>
      </c>
      <c r="QZ13" s="225"/>
      <c r="RA13" s="85"/>
      <c r="RB13" s="85"/>
      <c r="RC13" s="105"/>
      <c r="RD13" s="178">
        <f>IF(COUNT(RD14,RD15)=0,"",SUM(RD14:RD15)/COUNT(RD14,RD15))</f>
        <v>3</v>
      </c>
      <c r="RE13" s="194" t="str">
        <f t="shared" si="93"/>
        <v>B</v>
      </c>
      <c r="RF13" s="172"/>
      <c r="RG13" s="110"/>
      <c r="RH13" s="110"/>
      <c r="RI13" s="110"/>
      <c r="RJ13" s="110"/>
      <c r="RK13" s="178">
        <f>IF(COUNT(RK14,RK15)=0,"",SUM(RK14:RK15)/COUNT(RK14,RK15))</f>
        <v>4</v>
      </c>
      <c r="RL13" s="202" t="str">
        <f t="shared" si="94"/>
        <v>A</v>
      </c>
      <c r="RM13" s="203">
        <f>IF(COUNT(RM14:RM15)=0,"",SUM(RM14:RM15)/COUNT(RM14:RM15))</f>
        <v>3</v>
      </c>
      <c r="RN13" s="204" t="str">
        <f t="shared" si="95"/>
        <v>B</v>
      </c>
      <c r="RO13" s="215"/>
      <c r="RP13" s="85"/>
      <c r="RQ13" s="105"/>
      <c r="RR13" s="178">
        <f>IF(COUNT(RR14:RR15)=0,"",SUM(RR14:RR15)/COUNT(RR14:RR15))</f>
        <v>2</v>
      </c>
      <c r="RS13" s="179" t="str">
        <f t="shared" si="96"/>
        <v>C</v>
      </c>
      <c r="RT13" s="225"/>
      <c r="RU13" s="85"/>
      <c r="RV13" s="85"/>
      <c r="RW13" s="105"/>
      <c r="RX13" s="178">
        <f>IF(COUNT(RX14,RX15)=0,"",SUM(RX14:RX15)/COUNT(RX14,RX15))</f>
        <v>3</v>
      </c>
      <c r="RY13" s="194" t="str">
        <f t="shared" si="97"/>
        <v>B</v>
      </c>
      <c r="RZ13" s="172"/>
      <c r="SA13" s="110"/>
      <c r="SB13" s="110"/>
      <c r="SC13" s="110"/>
      <c r="SD13" s="110"/>
      <c r="SE13" s="178">
        <f>IF(COUNT(SE14,SE15)=0,"",SUM(SE14:SE15)/COUNT(SE14,SE15))</f>
        <v>4</v>
      </c>
      <c r="SF13" s="202" t="str">
        <f t="shared" si="98"/>
        <v>A</v>
      </c>
      <c r="SG13" s="203">
        <f>IF(COUNT(SG14:SG15)=0,"",SUM(SG14:SG15)/COUNT(SG14:SG15))</f>
        <v>3</v>
      </c>
      <c r="SH13" s="204" t="str">
        <f t="shared" si="99"/>
        <v>B</v>
      </c>
      <c r="SI13" s="215"/>
      <c r="SJ13" s="85"/>
      <c r="SK13" s="105"/>
      <c r="SL13" s="178">
        <f>IF(COUNT(SL14:SL15)=0,"",SUM(SL14:SL15)/COUNT(SL14:SL15))</f>
        <v>1</v>
      </c>
      <c r="SM13" s="179" t="str">
        <f t="shared" si="100"/>
        <v>D</v>
      </c>
      <c r="SN13" s="225"/>
      <c r="SO13" s="85"/>
      <c r="SP13" s="85"/>
      <c r="SQ13" s="105"/>
      <c r="SR13" s="178">
        <f>IF(COUNT(SR14,SR15)=0,"",SUM(SR14:SR15)/COUNT(SR14,SR15))</f>
        <v>3</v>
      </c>
      <c r="SS13" s="194" t="str">
        <f t="shared" si="101"/>
        <v>B</v>
      </c>
      <c r="ST13" s="172"/>
      <c r="SU13" s="110"/>
      <c r="SV13" s="110"/>
      <c r="SW13" s="110"/>
      <c r="SX13" s="110"/>
      <c r="SY13" s="178">
        <f>IF(COUNT(SY14,SY15)=0,"",SUM(SY14:SY15)/COUNT(SY14,SY15))</f>
        <v>4</v>
      </c>
      <c r="SZ13" s="202" t="str">
        <f t="shared" si="102"/>
        <v>A</v>
      </c>
      <c r="TA13" s="203">
        <f>IF(COUNT(TA14:TA15)=0,"",SUM(TA14:TA15)/COUNT(TA14:TA15))</f>
        <v>2.6666666666666665</v>
      </c>
      <c r="TB13" s="204" t="str">
        <f t="shared" si="103"/>
        <v>C</v>
      </c>
      <c r="TC13" s="215"/>
      <c r="TD13" s="85"/>
      <c r="TE13" s="105"/>
      <c r="TF13" s="178">
        <f>IF(COUNT(TF14:TF15)=0,"",SUM(TF14:TF15)/COUNT(TF14:TF15))</f>
        <v>2</v>
      </c>
      <c r="TG13" s="179" t="str">
        <f t="shared" si="104"/>
        <v>C</v>
      </c>
      <c r="TH13" s="225"/>
      <c r="TI13" s="85"/>
      <c r="TJ13" s="85"/>
      <c r="TK13" s="105"/>
      <c r="TL13" s="178" t="str">
        <f>IF(COUNT(TL14,TL15)=0,"",SUM(TL14:TL15)/COUNT(TL14,TL15))</f>
        <v/>
      </c>
      <c r="TM13" s="194" t="str">
        <f t="shared" si="105"/>
        <v/>
      </c>
      <c r="TN13" s="172"/>
      <c r="TO13" s="110"/>
      <c r="TP13" s="110"/>
      <c r="TQ13" s="110"/>
      <c r="TR13" s="110"/>
      <c r="TS13" s="178" t="str">
        <f>IF(COUNT(TS14,TS15)=0,"",SUM(TS14:TS15)/COUNT(TS14,TS15))</f>
        <v/>
      </c>
      <c r="TT13" s="202" t="str">
        <f t="shared" si="106"/>
        <v/>
      </c>
      <c r="TU13" s="203">
        <f>IF(COUNT(TU14:TU15)=0,"",SUM(TU14:TU15)/COUNT(TU14:TU15))</f>
        <v>2</v>
      </c>
      <c r="TV13" s="204" t="str">
        <f t="shared" si="107"/>
        <v>C</v>
      </c>
      <c r="TW13" s="215"/>
      <c r="TX13" s="85"/>
      <c r="TY13" s="105"/>
      <c r="TZ13" s="178">
        <f>IF(COUNT(TZ14:TZ15)=0,"",SUM(TZ14:TZ15)/COUNT(TZ14:TZ15))</f>
        <v>2</v>
      </c>
      <c r="UA13" s="179" t="str">
        <f t="shared" si="108"/>
        <v>C</v>
      </c>
      <c r="UB13" s="225"/>
      <c r="UC13" s="85"/>
      <c r="UD13" s="85"/>
      <c r="UE13" s="105"/>
      <c r="UF13" s="178">
        <f>IF(COUNT(UF14,UF15)=0,"",SUM(UF14:UF15)/COUNT(UF14,UF15))</f>
        <v>3</v>
      </c>
      <c r="UG13" s="194" t="str">
        <f t="shared" si="109"/>
        <v>B</v>
      </c>
      <c r="UH13" s="172"/>
      <c r="UI13" s="110"/>
      <c r="UJ13" s="110"/>
      <c r="UK13" s="110"/>
      <c r="UL13" s="110"/>
      <c r="UM13" s="178">
        <f>IF(COUNT(UM14,UM15)=0,"",SUM(UM14:UM15)/COUNT(UM14,UM15))</f>
        <v>4</v>
      </c>
      <c r="UN13" s="202" t="str">
        <f t="shared" si="110"/>
        <v>A</v>
      </c>
      <c r="UO13" s="203">
        <f>IF(COUNT(UO14:UO15)=0,"",SUM(UO14:UO15)/COUNT(UO14:UO15))</f>
        <v>3</v>
      </c>
      <c r="UP13" s="204" t="str">
        <f t="shared" si="111"/>
        <v>B</v>
      </c>
      <c r="UQ13" s="141"/>
      <c r="UR13" s="85"/>
      <c r="US13" s="105"/>
      <c r="UT13" s="106" t="str">
        <f>IF(COUNT(UT14:UT15)=0,"",SUM(UT14:UT15)/COUNT(UT14:UT15))</f>
        <v/>
      </c>
      <c r="UU13" s="107" t="str">
        <f t="shared" si="112"/>
        <v/>
      </c>
      <c r="UV13" s="104"/>
      <c r="UW13" s="85"/>
      <c r="UX13" s="105"/>
      <c r="UY13" s="106" t="str">
        <f>IF(COUNT(UY14,UY15)=0,"",SUM(UY14:UY15)/COUNT(UY14,UY15))</f>
        <v/>
      </c>
      <c r="UZ13" s="108" t="str">
        <f t="shared" si="113"/>
        <v/>
      </c>
      <c r="VA13" s="109"/>
      <c r="VB13" s="110"/>
      <c r="VC13" s="111"/>
      <c r="VD13" s="106" t="str">
        <f>IF(COUNT(VD14,VD15)=0,"",SUM(VD14:VD15)/COUNT(VD14,VD15))</f>
        <v/>
      </c>
      <c r="VE13" s="112" t="str">
        <f t="shared" si="114"/>
        <v/>
      </c>
      <c r="VF13" s="113" t="str">
        <f>IF(COUNT(VF14:VF15)=0,"",SUM(VF14:VF15)/COUNT(VF14:VF15))</f>
        <v/>
      </c>
      <c r="VG13" s="114" t="str">
        <f t="shared" si="115"/>
        <v/>
      </c>
      <c r="VH13" s="141"/>
      <c r="VI13" s="85"/>
      <c r="VJ13" s="105"/>
      <c r="VK13" s="106" t="str">
        <f>IF(COUNT(VK14:VK15)=0,"",SUM(VK14:VK15)/COUNT(VK14:VK15))</f>
        <v/>
      </c>
      <c r="VL13" s="107" t="str">
        <f t="shared" si="116"/>
        <v/>
      </c>
      <c r="VM13" s="104"/>
      <c r="VN13" s="85"/>
      <c r="VO13" s="105"/>
      <c r="VP13" s="106" t="str">
        <f>IF(COUNT(VP14,VP15)=0,"",SUM(VP14:VP15)/COUNT(VP14,VP15))</f>
        <v/>
      </c>
      <c r="VQ13" s="108" t="str">
        <f t="shared" si="117"/>
        <v/>
      </c>
      <c r="VR13" s="109"/>
      <c r="VS13" s="110"/>
      <c r="VT13" s="111"/>
      <c r="VU13" s="106" t="str">
        <f>IF(COUNT(VU14,VU15)=0,"",SUM(VU14:VU15)/COUNT(VU14,VU15))</f>
        <v/>
      </c>
      <c r="VV13" s="112" t="str">
        <f t="shared" si="118"/>
        <v/>
      </c>
      <c r="VW13" s="113" t="str">
        <f>IF(COUNT(VW14:VW15)=0,"",SUM(VW14:VW15)/COUNT(VW14:VW15))</f>
        <v/>
      </c>
      <c r="VX13" s="114" t="str">
        <f t="shared" si="119"/>
        <v/>
      </c>
    </row>
    <row r="14" spans="1:596" ht="18" customHeight="1" x14ac:dyDescent="0.55000000000000004">
      <c r="A14" s="246" t="s">
        <v>20</v>
      </c>
      <c r="B14" s="247"/>
      <c r="C14" s="123"/>
      <c r="D14" s="124"/>
      <c r="E14" s="125"/>
      <c r="F14" s="180" t="str">
        <f>IFERROR((((COUNTIF('Elève (4ème5)'!C14:E14,"A"))*4)+((COUNTIF('Elève (4ème5)'!C14:E14,"B"))*3)+((COUNTIF('Elève (4ème5)'!C14:E14,"C"))*2)+((COUNTIF('Elève (4ème5)'!C14:E14,"D"))*1))/(COUNTA(C14:E14)),"")</f>
        <v/>
      </c>
      <c r="G14" s="181" t="str">
        <f t="shared" si="0"/>
        <v/>
      </c>
      <c r="H14" s="123"/>
      <c r="I14" s="124"/>
      <c r="J14" s="125"/>
      <c r="K14" s="125"/>
      <c r="L14" s="180" t="str">
        <f>IFERROR((((COUNTIF('Elève (4ème5)'!H14:K14,"A"))*4)+((COUNTIF('Elève (4ème5)'!H14:K14,"B"))*3)+((COUNTIF('Elève (4ème5)'!H14:K14,"C"))*2)+((COUNTIF('Elève (4ème5)'!H14:K14,"D"))*1))/(COUNTA(H14:K14)),"")</f>
        <v/>
      </c>
      <c r="M14" s="181" t="str">
        <f t="shared" si="1"/>
        <v/>
      </c>
      <c r="N14" s="123"/>
      <c r="O14" s="124"/>
      <c r="P14" s="125"/>
      <c r="Q14" s="125"/>
      <c r="R14" s="125"/>
      <c r="S14" s="180" t="str">
        <f>IFERROR((((COUNTIF('Elève (4ème5)'!N14:R14,"A"))*4)+((COUNTIF('Elève (4ème5)'!N14:R14,"B"))*3)+((COUNTIF('Elève (4ème5)'!N14:R14,"C"))*2)+((COUNTIF('Elève (4ème5)'!N14:R14,"D"))*1))/(COUNTA(N14:R14)),"")</f>
        <v/>
      </c>
      <c r="T14" s="181" t="str">
        <f t="shared" si="2"/>
        <v/>
      </c>
      <c r="U14" s="180" t="str">
        <f>IF(COUNT(F14,L14,S14)=0,"",SUM(F14,L14,S14)/COUNT(F14,L14,S14))</f>
        <v/>
      </c>
      <c r="V14" s="205" t="str">
        <f t="shared" si="3"/>
        <v/>
      </c>
      <c r="W14" s="123"/>
      <c r="X14" s="124"/>
      <c r="Y14" s="125"/>
      <c r="Z14" s="180" t="str">
        <f>IFERROR((((COUNTIF('Elève (4ème5)'!W14:Y14,"A"))*4)+((COUNTIF('Elève (4ème5)'!W14:Y14,"B"))*3)+((COUNTIF('Elève (4ème5)'!W14:Y14,"C"))*2)+((COUNTIF('Elève (4ème5)'!W14:Y14,"D"))*1))/(COUNTA(W14:Y14)),"")</f>
        <v/>
      </c>
      <c r="AA14" s="181" t="str">
        <f t="shared" si="4"/>
        <v/>
      </c>
      <c r="AB14" s="123"/>
      <c r="AC14" s="124"/>
      <c r="AD14" s="125"/>
      <c r="AE14" s="125"/>
      <c r="AF14" s="180" t="str">
        <f>IFERROR((((COUNTIF('Elève (4ème5)'!AB14:AE14,"A"))*4)+((COUNTIF('Elève (4ème5)'!AB14:AE14,"B"))*3)+((COUNTIF('Elève (4ème5)'!AB14:AE14,"C"))*2)+((COUNTIF('Elève (4ème5)'!AB14:AE14,"D"))*1))/(COUNTA(AB14:AE14)),"")</f>
        <v/>
      </c>
      <c r="AG14" s="181" t="str">
        <f t="shared" si="5"/>
        <v/>
      </c>
      <c r="AH14" s="123"/>
      <c r="AI14" s="124"/>
      <c r="AJ14" s="125"/>
      <c r="AK14" s="125"/>
      <c r="AL14" s="125"/>
      <c r="AM14" s="180" t="str">
        <f>IFERROR((((COUNTIF('Elève (4ème5)'!AH14:AL14,"A"))*4)+((COUNTIF('Elève (4ème5)'!AH14:AL14,"B"))*3)+((COUNTIF('Elève (4ème5)'!AH14:AL14,"C"))*2)+((COUNTIF('Elève (4ème5)'!AH14:AL14,"D"))*1))/(COUNTA(AH14:AL14)),"")</f>
        <v/>
      </c>
      <c r="AN14" s="181" t="str">
        <f t="shared" si="6"/>
        <v/>
      </c>
      <c r="AO14" s="180" t="str">
        <f>IF(COUNT(Z14,AF14,AM14)=0,"",SUM(Z14,AF14,AM14)/COUNT(Z14,AF14,AM14))</f>
        <v/>
      </c>
      <c r="AP14" s="205" t="str">
        <f t="shared" si="7"/>
        <v/>
      </c>
      <c r="AQ14" s="123"/>
      <c r="AR14" s="124"/>
      <c r="AS14" s="125"/>
      <c r="AT14" s="180" t="str">
        <f>IFERROR((((COUNTIF('Elève (4ème5)'!AQ14:AS14,"A"))*4)+((COUNTIF('Elève (4ème5)'!AQ14:AS14,"B"))*3)+((COUNTIF('Elève (4ème5)'!AQ14:AS14,"C"))*2)+((COUNTIF('Elève (4ème5)'!AQ14:AS14,"D"))*1))/(COUNTA(AQ14:AS14)),"")</f>
        <v/>
      </c>
      <c r="AU14" s="181" t="str">
        <f t="shared" si="8"/>
        <v/>
      </c>
      <c r="AV14" s="123"/>
      <c r="AW14" s="124"/>
      <c r="AX14" s="125"/>
      <c r="AY14" s="125"/>
      <c r="AZ14" s="180" t="str">
        <f>IFERROR((((COUNTIF('Elève (4ème5)'!AV14:AY14,"A"))*4)+((COUNTIF('Elève (4ème5)'!AV14:AY14,"B"))*3)+((COUNTIF('Elève (4ème5)'!AV14:AY14,"C"))*2)+((COUNTIF('Elève (4ème5)'!AV14:AY14,"D"))*1))/(COUNTA(AV14:AY14)),"")</f>
        <v/>
      </c>
      <c r="BA14" s="181" t="str">
        <f t="shared" si="9"/>
        <v/>
      </c>
      <c r="BB14" s="123"/>
      <c r="BC14" s="124"/>
      <c r="BD14" s="125"/>
      <c r="BE14" s="125"/>
      <c r="BF14" s="125"/>
      <c r="BG14" s="180" t="str">
        <f>IFERROR((((COUNTIF('Elève (4ème5)'!BB14:BF14,"A"))*4)+((COUNTIF('Elève (4ème5)'!BB14:BF14,"B"))*3)+((COUNTIF('Elève (4ème5)'!BB14:BF14,"C"))*2)+((COUNTIF('Elève (4ème5)'!BB14:BF14,"D"))*1))/(COUNTA(BB14:BF14)),"")</f>
        <v/>
      </c>
      <c r="BH14" s="181" t="str">
        <f t="shared" si="10"/>
        <v/>
      </c>
      <c r="BI14" s="180" t="str">
        <f>IF(COUNT(AT14,AZ14,BG14)=0,"",SUM(AT14,AZ14,BG14)/COUNT(AT14,AZ14,BG14))</f>
        <v/>
      </c>
      <c r="BJ14" s="205" t="str">
        <f t="shared" si="11"/>
        <v/>
      </c>
      <c r="BK14" s="123"/>
      <c r="BL14" s="124"/>
      <c r="BM14" s="125"/>
      <c r="BN14" s="180" t="str">
        <f>IFERROR((((COUNTIF('Elève (4ème5)'!BK14:BM14,"A"))*4)+((COUNTIF('Elève (4ème5)'!BK14:BM14,"B"))*3)+((COUNTIF('Elève (4ème5)'!BK14:BM14,"C"))*2)+((COUNTIF('Elève (4ème5)'!BK14:BM14,"D"))*1))/(COUNTA(BK14:BM14)),"")</f>
        <v/>
      </c>
      <c r="BO14" s="181" t="str">
        <f t="shared" si="12"/>
        <v/>
      </c>
      <c r="BP14" s="123"/>
      <c r="BQ14" s="124"/>
      <c r="BR14" s="125"/>
      <c r="BS14" s="125"/>
      <c r="BT14" s="180" t="str">
        <f>IFERROR((((COUNTIF('Elève (4ème5)'!BP14:BS14,"A"))*4)+((COUNTIF('Elève (4ème5)'!BP14:BS14,"B"))*3)+((COUNTIF('Elève (4ème5)'!BP14:BS14,"C"))*2)+((COUNTIF('Elève (4ème5)'!BP14:BS14,"D"))*1))/(COUNTA(BP14:BS14)),"")</f>
        <v/>
      </c>
      <c r="BU14" s="181" t="str">
        <f t="shared" si="13"/>
        <v/>
      </c>
      <c r="BV14" s="123"/>
      <c r="BW14" s="124"/>
      <c r="BX14" s="125"/>
      <c r="BY14" s="125"/>
      <c r="BZ14" s="125"/>
      <c r="CA14" s="180" t="str">
        <f>IFERROR((((COUNTIF('Elève (4ème5)'!BV14:BZ14,"A"))*4)+((COUNTIF('Elève (4ème5)'!BV14:BZ14,"B"))*3)+((COUNTIF('Elève (4ème5)'!BV14:BZ14,"C"))*2)+((COUNTIF('Elève (4ème5)'!BV14:BZ14,"D"))*1))/(COUNTA(BV14:BZ14)),"")</f>
        <v/>
      </c>
      <c r="CB14" s="181" t="str">
        <f t="shared" si="14"/>
        <v/>
      </c>
      <c r="CC14" s="180" t="str">
        <f>IF(COUNT(BN14,BT14,CA14)=0,"",SUM(BN14,BT14,CA14)/COUNT(BN14,BT14,CA14))</f>
        <v/>
      </c>
      <c r="CD14" s="205" t="str">
        <f t="shared" si="15"/>
        <v/>
      </c>
      <c r="CE14" s="123"/>
      <c r="CF14" s="124"/>
      <c r="CG14" s="125"/>
      <c r="CH14" s="180" t="str">
        <f>IFERROR((((COUNTIF('Elève (4ème5)'!CE14:CG14,"A"))*4)+((COUNTIF('Elève (4ème5)'!CE14:CG14,"B"))*3)+((COUNTIF('Elève (4ème5)'!CE14:CG14,"C"))*2)+((COUNTIF('Elève (4ème5)'!CE14:CG14,"D"))*1))/(COUNTA(CE14:CG14)),"")</f>
        <v/>
      </c>
      <c r="CI14" s="181" t="str">
        <f t="shared" si="16"/>
        <v/>
      </c>
      <c r="CJ14" s="123"/>
      <c r="CK14" s="124"/>
      <c r="CL14" s="125"/>
      <c r="CM14" s="125"/>
      <c r="CN14" s="180" t="str">
        <f>IFERROR((((COUNTIF('Elève (4ème5)'!CJ14:CM14,"A"))*4)+((COUNTIF('Elève (4ème5)'!CJ14:CM14,"B"))*3)+((COUNTIF('Elève (4ème5)'!CJ14:CM14,"C"))*2)+((COUNTIF('Elève (4ème5)'!CJ14:CM14,"D"))*1))/(COUNTA(CJ14:CM14)),"")</f>
        <v/>
      </c>
      <c r="CO14" s="181" t="str">
        <f t="shared" si="17"/>
        <v/>
      </c>
      <c r="CP14" s="123"/>
      <c r="CQ14" s="124"/>
      <c r="CR14" s="125"/>
      <c r="CS14" s="125"/>
      <c r="CT14" s="125"/>
      <c r="CU14" s="180" t="str">
        <f>IFERROR((((COUNTIF('Elève (4ème5)'!CP14:CT14,"A"))*4)+((COUNTIF('Elève (4ème5)'!CP14:CT14,"B"))*3)+((COUNTIF('Elève (4ème5)'!CP14:CT14,"C"))*2)+((COUNTIF('Elève (4ème5)'!CP14:CT14,"D"))*1))/(COUNTA(CP14:CT14)),"")</f>
        <v/>
      </c>
      <c r="CV14" s="181" t="str">
        <f t="shared" si="18"/>
        <v/>
      </c>
      <c r="CW14" s="180" t="str">
        <f>IF(COUNT(CH14,CN14,CU14)=0,"",SUM(CH14,CN14,CU14)/COUNT(CH14,CN14,CU14))</f>
        <v/>
      </c>
      <c r="CX14" s="205" t="str">
        <f t="shared" si="19"/>
        <v/>
      </c>
      <c r="CY14" s="123"/>
      <c r="CZ14" s="124"/>
      <c r="DA14" s="125"/>
      <c r="DB14" s="180" t="str">
        <f>IFERROR((((COUNTIF('Elève (4ème5)'!CY14:DA14,"A"))*4)+((COUNTIF('Elève (4ème5)'!CY14:DA14,"B"))*3)+((COUNTIF('Elève (4ème5)'!CY14:DA14,"C"))*2)+((COUNTIF('Elève (4ème5)'!CY14:DA14,"D"))*1))/(COUNTA(CY14:DA14)),"")</f>
        <v/>
      </c>
      <c r="DC14" s="181" t="str">
        <f t="shared" si="20"/>
        <v/>
      </c>
      <c r="DD14" s="123"/>
      <c r="DE14" s="124"/>
      <c r="DF14" s="125"/>
      <c r="DG14" s="125"/>
      <c r="DH14" s="180" t="str">
        <f>IFERROR((((COUNTIF('Elève (4ème5)'!DD14:DG14,"A"))*4)+((COUNTIF('Elève (4ème5)'!DD14:DG14,"B"))*3)+((COUNTIF('Elève (4ème5)'!DD14:DG14,"C"))*2)+((COUNTIF('Elève (4ème5)'!DD14:DG14,"D"))*1))/(COUNTA(DD14:DG14)),"")</f>
        <v/>
      </c>
      <c r="DI14" s="181" t="str">
        <f t="shared" si="21"/>
        <v/>
      </c>
      <c r="DJ14" s="123"/>
      <c r="DK14" s="124"/>
      <c r="DL14" s="125"/>
      <c r="DM14" s="125"/>
      <c r="DN14" s="125"/>
      <c r="DO14" s="180" t="str">
        <f>IFERROR((((COUNTIF('Elève (4ème5)'!DJ14:DN14,"A"))*4)+((COUNTIF('Elève (4ème5)'!DJ14:DN14,"B"))*3)+((COUNTIF('Elève (4ème5)'!DJ14:DN14,"C"))*2)+((COUNTIF('Elève (4ème5)'!DJ14:DN14,"D"))*1))/(COUNTA(DJ14:DN14)),"")</f>
        <v/>
      </c>
      <c r="DP14" s="181" t="str">
        <f t="shared" si="22"/>
        <v/>
      </c>
      <c r="DQ14" s="180" t="str">
        <f>IF(COUNT(DB14,DH14,DO14)=0,"",SUM(DB14,DH14,DO14)/COUNT(DB14,DH14,DO14))</f>
        <v/>
      </c>
      <c r="DR14" s="205" t="str">
        <f t="shared" si="23"/>
        <v/>
      </c>
      <c r="DS14" s="123"/>
      <c r="DT14" s="124"/>
      <c r="DU14" s="125"/>
      <c r="DV14" s="180" t="str">
        <f>IFERROR((((COUNTIF('Elève (4ème5)'!DS14:DU14,"A"))*4)+((COUNTIF('Elève (4ème5)'!DS14:DU14,"B"))*3)+((COUNTIF('Elève (4ème5)'!DS14:DU14,"C"))*2)+((COUNTIF('Elève (4ème5)'!DS14:DU14,"D"))*1))/(COUNTA(DS14:DU14)),"")</f>
        <v/>
      </c>
      <c r="DW14" s="181" t="str">
        <f t="shared" si="24"/>
        <v/>
      </c>
      <c r="DX14" s="123"/>
      <c r="DY14" s="124"/>
      <c r="DZ14" s="125"/>
      <c r="EA14" s="125"/>
      <c r="EB14" s="180" t="str">
        <f>IFERROR((((COUNTIF('Elève (4ème5)'!DX14:EA14,"A"))*4)+((COUNTIF('Elève (4ème5)'!DX14:EA14,"B"))*3)+((COUNTIF('Elève (4ème5)'!DX14:EA14,"C"))*2)+((COUNTIF('Elève (4ème5)'!DX14:EA14,"D"))*1))/(COUNTA(DX14:EA14)),"")</f>
        <v/>
      </c>
      <c r="EC14" s="181" t="str">
        <f t="shared" si="25"/>
        <v/>
      </c>
      <c r="ED14" s="123"/>
      <c r="EE14" s="124"/>
      <c r="EF14" s="125"/>
      <c r="EG14" s="125"/>
      <c r="EH14" s="125"/>
      <c r="EI14" s="180" t="str">
        <f>IFERROR((((COUNTIF('Elève (4ème5)'!ED14:EH14,"A"))*4)+((COUNTIF('Elève (4ème5)'!ED14:EH14,"B"))*3)+((COUNTIF('Elève (4ème5)'!ED14:EH14,"C"))*2)+((COUNTIF('Elève (4ème5)'!ED14:EH14,"D"))*1))/(COUNTA(ED14:EH14)),"")</f>
        <v/>
      </c>
      <c r="EJ14" s="181" t="str">
        <f t="shared" si="26"/>
        <v/>
      </c>
      <c r="EK14" s="180" t="str">
        <f>IF(COUNT(DV14,EB14,EI14)=0,"",SUM(DV14,EB14,EI14)/COUNT(DV14,EB14,EI14))</f>
        <v/>
      </c>
      <c r="EL14" s="205" t="str">
        <f t="shared" si="27"/>
        <v/>
      </c>
      <c r="EM14" s="123"/>
      <c r="EN14" s="124"/>
      <c r="EO14" s="125"/>
      <c r="EP14" s="180" t="str">
        <f>IFERROR((((COUNTIF('Elève (4ème5)'!EM14:EO14,"A"))*4)+((COUNTIF('Elève (4ème5)'!EM14:EO14,"B"))*3)+((COUNTIF('Elève (4ème5)'!EM14:EO14,"C"))*2)+((COUNTIF('Elève (4ème5)'!EM14:EO14,"D"))*1))/(COUNTA(EM14:EO14)),"")</f>
        <v/>
      </c>
      <c r="EQ14" s="181" t="str">
        <f t="shared" si="28"/>
        <v/>
      </c>
      <c r="ER14" s="123"/>
      <c r="ES14" s="124"/>
      <c r="ET14" s="125"/>
      <c r="EU14" s="125"/>
      <c r="EV14" s="180" t="str">
        <f>IFERROR((((COUNTIF('Elève (4ème5)'!ER14:EU14,"A"))*4)+((COUNTIF('Elève (4ème5)'!ER14:EU14,"B"))*3)+((COUNTIF('Elève (4ème5)'!ER14:EU14,"C"))*2)+((COUNTIF('Elève (4ème5)'!ER14:EU14,"D"))*1))/(COUNTA(ER14:EU14)),"")</f>
        <v/>
      </c>
      <c r="EW14" s="181" t="str">
        <f t="shared" si="29"/>
        <v/>
      </c>
      <c r="EX14" s="123"/>
      <c r="EY14" s="124"/>
      <c r="EZ14" s="125"/>
      <c r="FA14" s="125"/>
      <c r="FB14" s="125"/>
      <c r="FC14" s="180" t="str">
        <f>IFERROR((((COUNTIF('Elève (4ème5)'!EX14:FB14,"A"))*4)+((COUNTIF('Elève (4ème5)'!EX14:FB14,"B"))*3)+((COUNTIF('Elève (4ème5)'!EX14:FB14,"C"))*2)+((COUNTIF('Elève (4ème5)'!EX14:FB14,"D"))*1))/(COUNTA(EX14:FB14)),"")</f>
        <v/>
      </c>
      <c r="FD14" s="181" t="str">
        <f t="shared" si="30"/>
        <v/>
      </c>
      <c r="FE14" s="180" t="str">
        <f>IF(COUNT(EP14,EV14,FC14)=0,"",SUM(EP14,EV14,FC14)/COUNT(EP14,EV14,FC14))</f>
        <v/>
      </c>
      <c r="FF14" s="205" t="str">
        <f t="shared" si="31"/>
        <v/>
      </c>
      <c r="FG14" s="123"/>
      <c r="FH14" s="124"/>
      <c r="FI14" s="125"/>
      <c r="FJ14" s="180" t="str">
        <f>IFERROR((((COUNTIF('Elève (4ème5)'!FG14:FI14,"A"))*4)+((COUNTIF('Elève (4ème5)'!FG14:FI14,"B"))*3)+((COUNTIF('Elève (4ème5)'!FG14:FI14,"C"))*2)+((COUNTIF('Elève (4ème5)'!FG14:FI14,"D"))*1))/(COUNTA(FG14:FI14)),"")</f>
        <v/>
      </c>
      <c r="FK14" s="181" t="str">
        <f t="shared" si="32"/>
        <v/>
      </c>
      <c r="FL14" s="123"/>
      <c r="FM14" s="124"/>
      <c r="FN14" s="125"/>
      <c r="FO14" s="125"/>
      <c r="FP14" s="180" t="str">
        <f>IFERROR((((COUNTIF('Elève (4ème5)'!FL14:FO14,"A"))*4)+((COUNTIF('Elève (4ème5)'!FL14:FO14,"B"))*3)+((COUNTIF('Elève (4ème5)'!FL14:FO14,"C"))*2)+((COUNTIF('Elève (4ème5)'!FL14:FO14,"D"))*1))/(COUNTA(FL14:FO14)),"")</f>
        <v/>
      </c>
      <c r="FQ14" s="181" t="str">
        <f t="shared" si="33"/>
        <v/>
      </c>
      <c r="FR14" s="123"/>
      <c r="FS14" s="124"/>
      <c r="FT14" s="125"/>
      <c r="FU14" s="125"/>
      <c r="FV14" s="125"/>
      <c r="FW14" s="180" t="str">
        <f>IFERROR((((COUNTIF('Elève (4ème5)'!FR14:FV14,"A"))*4)+((COUNTIF('Elève (4ème5)'!FR14:FV14,"B"))*3)+((COUNTIF('Elève (4ème5)'!FR14:FV14,"C"))*2)+((COUNTIF('Elève (4ème5)'!FR14:FV14,"D"))*1))/(COUNTA(FR14:FV14)),"")</f>
        <v/>
      </c>
      <c r="FX14" s="181" t="str">
        <f t="shared" si="34"/>
        <v/>
      </c>
      <c r="FY14" s="180" t="str">
        <f>IF(COUNT(FJ14,FP14,FW14)=0,"",SUM(FJ14,FP14,FW14)/COUNT(FJ14,FP14,FW14))</f>
        <v/>
      </c>
      <c r="FZ14" s="205" t="str">
        <f t="shared" si="35"/>
        <v/>
      </c>
      <c r="GA14" s="123"/>
      <c r="GB14" s="124"/>
      <c r="GC14" s="125"/>
      <c r="GD14" s="180" t="str">
        <f>IFERROR((((COUNTIF('Elève (4ème5)'!GA14:GC14,"A"))*4)+((COUNTIF('Elève (4ème5)'!GA14:GC14,"B"))*3)+((COUNTIF('Elève (4ème5)'!GA14:GC14,"C"))*2)+((COUNTIF('Elève (4ème5)'!GA14:GC14,"D"))*1))/(COUNTA(GA14:GC14)),"")</f>
        <v/>
      </c>
      <c r="GE14" s="181" t="str">
        <f t="shared" si="36"/>
        <v/>
      </c>
      <c r="GF14" s="123"/>
      <c r="GG14" s="124"/>
      <c r="GH14" s="125"/>
      <c r="GI14" s="125"/>
      <c r="GJ14" s="180" t="str">
        <f>IFERROR((((COUNTIF('Elève (4ème5)'!GF14:GI14,"A"))*4)+((COUNTIF('Elève (4ème5)'!GF14:GI14,"B"))*3)+((COUNTIF('Elève (4ème5)'!GF14:GI14,"C"))*2)+((COUNTIF('Elève (4ème5)'!GF14:GI14,"D"))*1))/(COUNTA(GF14:GI14)),"")</f>
        <v/>
      </c>
      <c r="GK14" s="181" t="str">
        <f t="shared" si="37"/>
        <v/>
      </c>
      <c r="GL14" s="123"/>
      <c r="GM14" s="124"/>
      <c r="GN14" s="125"/>
      <c r="GO14" s="125"/>
      <c r="GP14" s="125"/>
      <c r="GQ14" s="180" t="str">
        <f>IFERROR((((COUNTIF('Elève (4ème5)'!GL14:GP14,"A"))*4)+((COUNTIF('Elève (4ème5)'!GL14:GP14,"B"))*3)+((COUNTIF('Elève (4ème5)'!GL14:GP14,"C"))*2)+((COUNTIF('Elève (4ème5)'!GL14:GP14,"D"))*1))/(COUNTA(GL14:GP14)),"")</f>
        <v/>
      </c>
      <c r="GR14" s="181" t="str">
        <f t="shared" si="38"/>
        <v/>
      </c>
      <c r="GS14" s="180" t="str">
        <f>IF(COUNT(GD14,GJ14,GQ14)=0,"",SUM(GD14,GJ14,GQ14)/COUNT(GD14,GJ14,GQ14))</f>
        <v/>
      </c>
      <c r="GT14" s="205" t="str">
        <f t="shared" si="39"/>
        <v/>
      </c>
      <c r="GU14" s="123"/>
      <c r="GV14" s="124"/>
      <c r="GW14" s="125"/>
      <c r="GX14" s="180" t="str">
        <f>IFERROR((((COUNTIF('Elève (4ème5)'!GU14:GW14,"A"))*4)+((COUNTIF('Elève (4ème5)'!GU14:GW14,"B"))*3)+((COUNTIF('Elève (4ème5)'!GU14:GW14,"C"))*2)+((COUNTIF('Elève (4ème5)'!GU14:GW14,"D"))*1))/(COUNTA(GU14:GW14)),"")</f>
        <v/>
      </c>
      <c r="GY14" s="181" t="str">
        <f t="shared" si="40"/>
        <v/>
      </c>
      <c r="GZ14" s="123"/>
      <c r="HA14" s="124"/>
      <c r="HB14" s="125"/>
      <c r="HC14" s="125"/>
      <c r="HD14" s="180" t="str">
        <f>IFERROR((((COUNTIF('Elève (4ème5)'!GZ14:HC14,"A"))*4)+((COUNTIF('Elève (4ème5)'!GZ14:HC14,"B"))*3)+((COUNTIF('Elève (4ème5)'!GZ14:HC14,"C"))*2)+((COUNTIF('Elève (4ème5)'!GZ14:HC14,"D"))*1))/(COUNTA(GZ14:HC14)),"")</f>
        <v/>
      </c>
      <c r="HE14" s="181" t="str">
        <f t="shared" si="41"/>
        <v/>
      </c>
      <c r="HF14" s="123"/>
      <c r="HG14" s="124"/>
      <c r="HH14" s="125"/>
      <c r="HI14" s="125"/>
      <c r="HJ14" s="125"/>
      <c r="HK14" s="180" t="str">
        <f>IFERROR((((COUNTIF('Elève (4ème5)'!HF14:HJ14,"A"))*4)+((COUNTIF('Elève (4ème5)'!HF14:HJ14,"B"))*3)+((COUNTIF('Elève (4ème5)'!HF14:HJ14,"C"))*2)+((COUNTIF('Elève (4ème5)'!HF14:HJ14,"D"))*1))/(COUNTA(HF14:HJ14)),"")</f>
        <v/>
      </c>
      <c r="HL14" s="181" t="str">
        <f t="shared" si="42"/>
        <v/>
      </c>
      <c r="HM14" s="180" t="str">
        <f>IF(COUNT(GX14,HD14,HK14)=0,"",SUM(GX14,HD14,HK14)/COUNT(GX14,HD14,HK14))</f>
        <v/>
      </c>
      <c r="HN14" s="205" t="str">
        <f t="shared" si="43"/>
        <v/>
      </c>
      <c r="HO14" s="123"/>
      <c r="HP14" s="124"/>
      <c r="HQ14" s="125"/>
      <c r="HR14" s="180" t="str">
        <f>IFERROR((((COUNTIF('Elève (4ème5)'!HO14:HQ14,"A"))*4)+((COUNTIF('Elève (4ème5)'!HO14:HQ14,"B"))*3)+((COUNTIF('Elève (4ème5)'!HO14:HQ14,"C"))*2)+((COUNTIF('Elève (4ème5)'!HO14:HQ14,"D"))*1))/(COUNTA(HO14:HQ14)),"")</f>
        <v/>
      </c>
      <c r="HS14" s="181" t="str">
        <f t="shared" si="44"/>
        <v/>
      </c>
      <c r="HT14" s="123"/>
      <c r="HU14" s="124"/>
      <c r="HV14" s="125"/>
      <c r="HW14" s="125"/>
      <c r="HX14" s="180" t="str">
        <f>IFERROR((((COUNTIF('Elève (4ème5)'!HT14:HW14,"A"))*4)+((COUNTIF('Elève (4ème5)'!HT14:HW14,"B"))*3)+((COUNTIF('Elève (4ème5)'!HT14:HW14,"C"))*2)+((COUNTIF('Elève (4ème5)'!HT14:HW14,"D"))*1))/(COUNTA(HT14:HW14)),"")</f>
        <v/>
      </c>
      <c r="HY14" s="181" t="str">
        <f t="shared" si="45"/>
        <v/>
      </c>
      <c r="HZ14" s="123"/>
      <c r="IA14" s="124"/>
      <c r="IB14" s="125"/>
      <c r="IC14" s="125"/>
      <c r="ID14" s="125"/>
      <c r="IE14" s="180" t="str">
        <f>IFERROR((((COUNTIF('Elève (4ème5)'!HZ14:ID14,"A"))*4)+((COUNTIF('Elève (4ème5)'!HZ14:ID14,"B"))*3)+((COUNTIF('Elève (4ème5)'!HZ14:ID14,"C"))*2)+((COUNTIF('Elève (4ème5)'!HZ14:ID14,"D"))*1))/(COUNTA(HZ14:ID14)),"")</f>
        <v/>
      </c>
      <c r="IF14" s="181" t="str">
        <f t="shared" si="46"/>
        <v/>
      </c>
      <c r="IG14" s="180" t="str">
        <f>IF(COUNT(HR14,HX14,IE14)=0,"",SUM(HR14,HX14,IE14)/COUNT(HR14,HX14,IE14))</f>
        <v/>
      </c>
      <c r="IH14" s="205" t="str">
        <f t="shared" si="47"/>
        <v/>
      </c>
      <c r="II14" s="123"/>
      <c r="IJ14" s="124"/>
      <c r="IK14" s="125"/>
      <c r="IL14" s="180" t="str">
        <f>IFERROR((((COUNTIF('Elève (4ème5)'!II14:IK14,"A"))*4)+((COUNTIF('Elève (4ème5)'!II14:IK14,"B"))*3)+((COUNTIF('Elève (4ème5)'!II14:IK14,"C"))*2)+((COUNTIF('Elève (4ème5)'!II14:IK14,"D"))*1))/(COUNTA(II14:IK14)),"")</f>
        <v/>
      </c>
      <c r="IM14" s="181" t="str">
        <f t="shared" si="48"/>
        <v/>
      </c>
      <c r="IN14" s="123"/>
      <c r="IO14" s="124"/>
      <c r="IP14" s="125"/>
      <c r="IQ14" s="125"/>
      <c r="IR14" s="180" t="str">
        <f>IFERROR((((COUNTIF('Elève (4ème5)'!IN14:IQ14,"A"))*4)+((COUNTIF('Elève (4ème5)'!IN14:IQ14,"B"))*3)+((COUNTIF('Elève (4ème5)'!IN14:IQ14,"C"))*2)+((COUNTIF('Elève (4ème5)'!IN14:IQ14,"D"))*1))/(COUNTA(IN14:IQ14)),"")</f>
        <v/>
      </c>
      <c r="IS14" s="181" t="str">
        <f t="shared" si="49"/>
        <v/>
      </c>
      <c r="IT14" s="123"/>
      <c r="IU14" s="124"/>
      <c r="IV14" s="125"/>
      <c r="IW14" s="125"/>
      <c r="IX14" s="125"/>
      <c r="IY14" s="180" t="str">
        <f>IFERROR((((COUNTIF('Elève (4ème5)'!IT14:IX14,"A"))*4)+((COUNTIF('Elève (4ème5)'!IT14:IX14,"B"))*3)+((COUNTIF('Elève (4ème5)'!IT14:IX14,"C"))*2)+((COUNTIF('Elève (4ème5)'!IT14:IX14,"D"))*1))/(COUNTA(IT14:IX14)),"")</f>
        <v/>
      </c>
      <c r="IZ14" s="181" t="str">
        <f t="shared" si="50"/>
        <v/>
      </c>
      <c r="JA14" s="180" t="str">
        <f>IF(COUNT(IL14,IR14,IY14)=0,"",SUM(IL14,IR14,IY14)/COUNT(IL14,IR14,IY14))</f>
        <v/>
      </c>
      <c r="JB14" s="205" t="str">
        <f t="shared" si="51"/>
        <v/>
      </c>
      <c r="JC14" s="123"/>
      <c r="JD14" s="124"/>
      <c r="JE14" s="125"/>
      <c r="JF14" s="180" t="str">
        <f>IFERROR((((COUNTIF('Elève (4ème5)'!JC14:JE14,"A"))*4)+((COUNTIF('Elève (4ème5)'!JC14:JE14,"B"))*3)+((COUNTIF('Elève (4ème5)'!JC14:JE14,"C"))*2)+((COUNTIF('Elève (4ème5)'!JC14:JE14,"D"))*1))/(COUNTA(JC14:JE14)),"")</f>
        <v/>
      </c>
      <c r="JG14" s="181" t="str">
        <f t="shared" si="52"/>
        <v/>
      </c>
      <c r="JH14" s="123"/>
      <c r="JI14" s="124"/>
      <c r="JJ14" s="125"/>
      <c r="JK14" s="125"/>
      <c r="JL14" s="180" t="str">
        <f>IFERROR((((COUNTIF('Elève (4ème5)'!JH14:JK14,"A"))*4)+((COUNTIF('Elève (4ème5)'!JH14:JK14,"B"))*3)+((COUNTIF('Elève (4ème5)'!JH14:JK14,"C"))*2)+((COUNTIF('Elève (4ème5)'!JH14:JK14,"D"))*1))/(COUNTA(JH14:JK14)),"")</f>
        <v/>
      </c>
      <c r="JM14" s="181" t="str">
        <f t="shared" si="53"/>
        <v/>
      </c>
      <c r="JN14" s="123"/>
      <c r="JO14" s="124"/>
      <c r="JP14" s="125"/>
      <c r="JQ14" s="125"/>
      <c r="JR14" s="125"/>
      <c r="JS14" s="180" t="str">
        <f>IFERROR((((COUNTIF('Elève (4ème5)'!JN14:JR14,"A"))*4)+((COUNTIF('Elève (4ème5)'!JN14:JR14,"B"))*3)+((COUNTIF('Elève (4ème5)'!JN14:JR14,"C"))*2)+((COUNTIF('Elève (4ème5)'!JN14:JR14,"D"))*1))/(COUNTA(JN14:JR14)),"")</f>
        <v/>
      </c>
      <c r="JT14" s="181" t="str">
        <f t="shared" si="54"/>
        <v/>
      </c>
      <c r="JU14" s="180" t="str">
        <f>IF(COUNT(JF14,JL14,JS14)=0,"",SUM(JF14,JL14,JS14)/COUNT(JF14,JL14,JS14))</f>
        <v/>
      </c>
      <c r="JV14" s="205" t="str">
        <f t="shared" si="55"/>
        <v/>
      </c>
      <c r="JW14" s="123"/>
      <c r="JX14" s="124"/>
      <c r="JY14" s="125"/>
      <c r="JZ14" s="180" t="str">
        <f>IFERROR((((COUNTIF('Elève (4ème5)'!JW14:JY14,"A"))*4)+((COUNTIF('Elève (4ème5)'!JW14:JY14,"B"))*3)+((COUNTIF('Elève (4ème5)'!JW14:JY14,"C"))*2)+((COUNTIF('Elève (4ème5)'!JW14:JY14,"D"))*1))/(COUNTA(JW14:JY14)),"")</f>
        <v/>
      </c>
      <c r="KA14" s="181" t="str">
        <f t="shared" si="56"/>
        <v/>
      </c>
      <c r="KB14" s="123"/>
      <c r="KC14" s="124"/>
      <c r="KD14" s="125"/>
      <c r="KE14" s="125"/>
      <c r="KF14" s="180" t="str">
        <f>IFERROR((((COUNTIF('Elève (4ème5)'!KB14:KE14,"A"))*4)+((COUNTIF('Elève (4ème5)'!KB14:KE14,"B"))*3)+((COUNTIF('Elève (4ème5)'!KB14:KE14,"C"))*2)+((COUNTIF('Elève (4ème5)'!KB14:KE14,"D"))*1))/(COUNTA(KB14:KE14)),"")</f>
        <v/>
      </c>
      <c r="KG14" s="181" t="str">
        <f t="shared" si="57"/>
        <v/>
      </c>
      <c r="KH14" s="123"/>
      <c r="KI14" s="124"/>
      <c r="KJ14" s="125"/>
      <c r="KK14" s="125"/>
      <c r="KL14" s="125"/>
      <c r="KM14" s="180" t="str">
        <f>IFERROR((((COUNTIF('Elève (4ème5)'!KH14:KL14,"A"))*4)+((COUNTIF('Elève (4ème5)'!KH14:KL14,"B"))*3)+((COUNTIF('Elève (4ème5)'!KH14:KL14,"C"))*2)+((COUNTIF('Elève (4ème5)'!KH14:KL14,"D"))*1))/(COUNTA(KH14:KL14)),"")</f>
        <v/>
      </c>
      <c r="KN14" s="181" t="str">
        <f t="shared" si="58"/>
        <v/>
      </c>
      <c r="KO14" s="180" t="str">
        <f>IF(COUNT(JZ14,KF14,KM14)=0,"",SUM(JZ14,KF14,KM14)/COUNT(JZ14,KF14,KM14))</f>
        <v/>
      </c>
      <c r="KP14" s="205" t="str">
        <f t="shared" si="59"/>
        <v/>
      </c>
      <c r="KQ14" s="123"/>
      <c r="KR14" s="124"/>
      <c r="KS14" s="125"/>
      <c r="KT14" s="180" t="str">
        <f>IFERROR((((COUNTIF('Elève (4ème5)'!KQ14:KS14,"A"))*4)+((COUNTIF('Elève (4ème5)'!KQ14:KS14,"B"))*3)+((COUNTIF('Elève (4ème5)'!KQ14:KS14,"C"))*2)+((COUNTIF('Elève (4ème5)'!KQ14:KS14,"D"))*1))/(COUNTA(KQ14:KS14)),"")</f>
        <v/>
      </c>
      <c r="KU14" s="181" t="str">
        <f t="shared" si="60"/>
        <v/>
      </c>
      <c r="KV14" s="123"/>
      <c r="KW14" s="124"/>
      <c r="KX14" s="125"/>
      <c r="KY14" s="125"/>
      <c r="KZ14" s="180" t="str">
        <f>IFERROR((((COUNTIF('Elève (4ème5)'!KV14:KY14,"A"))*4)+((COUNTIF('Elève (4ème5)'!KV14:KY14,"B"))*3)+((COUNTIF('Elève (4ème5)'!KV14:KY14,"C"))*2)+((COUNTIF('Elève (4ème5)'!KV14:KY14,"D"))*1))/(COUNTA(KV14:KY14)),"")</f>
        <v/>
      </c>
      <c r="LA14" s="181" t="str">
        <f t="shared" si="61"/>
        <v/>
      </c>
      <c r="LB14" s="123"/>
      <c r="LC14" s="124"/>
      <c r="LD14" s="125"/>
      <c r="LE14" s="125"/>
      <c r="LF14" s="125"/>
      <c r="LG14" s="180" t="str">
        <f>IFERROR((((COUNTIF('Elève (4ème5)'!LB14:LF14,"A"))*4)+((COUNTIF('Elève (4ème5)'!LB14:LF14,"B"))*3)+((COUNTIF('Elève (4ème5)'!LB14:LF14,"C"))*2)+((COUNTIF('Elève (4ème5)'!LB14:LF14,"D"))*1))/(COUNTA(LB14:LF14)),"")</f>
        <v/>
      </c>
      <c r="LH14" s="181" t="str">
        <f t="shared" si="62"/>
        <v/>
      </c>
      <c r="LI14" s="180" t="str">
        <f>IF(COUNT(KT14,KZ14,LG14)=0,"",SUM(KT14,KZ14,LG14)/COUNT(KT14,KZ14,LG14))</f>
        <v/>
      </c>
      <c r="LJ14" s="205" t="str">
        <f t="shared" si="63"/>
        <v/>
      </c>
      <c r="LK14" s="123"/>
      <c r="LL14" s="124"/>
      <c r="LM14" s="125"/>
      <c r="LN14" s="180" t="str">
        <f>IFERROR((((COUNTIF('Elève (4ème5)'!LK14:LM14,"A"))*4)+((COUNTIF('Elève (4ème5)'!LK14:LM14,"B"))*3)+((COUNTIF('Elève (4ème5)'!LK14:LM14,"C"))*2)+((COUNTIF('Elève (4ème5)'!LK14:LM14,"D"))*1))/(COUNTA(LK14:LM14)),"")</f>
        <v/>
      </c>
      <c r="LO14" s="181" t="str">
        <f t="shared" si="64"/>
        <v/>
      </c>
      <c r="LP14" s="123"/>
      <c r="LQ14" s="124"/>
      <c r="LR14" s="125"/>
      <c r="LS14" s="125"/>
      <c r="LT14" s="180" t="str">
        <f>IFERROR((((COUNTIF('Elève (4ème5)'!LP14:LS14,"A"))*4)+((COUNTIF('Elève (4ème5)'!LP14:LS14,"B"))*3)+((COUNTIF('Elève (4ème5)'!LP14:LS14,"C"))*2)+((COUNTIF('Elève (4ème5)'!LP14:LS14,"D"))*1))/(COUNTA(LP14:LS14)),"")</f>
        <v/>
      </c>
      <c r="LU14" s="181" t="str">
        <f t="shared" si="65"/>
        <v/>
      </c>
      <c r="LV14" s="123"/>
      <c r="LW14" s="124"/>
      <c r="LX14" s="125"/>
      <c r="LY14" s="125"/>
      <c r="LZ14" s="125"/>
      <c r="MA14" s="180" t="str">
        <f>IFERROR((((COUNTIF('Elève (4ème5)'!LV14:LZ14,"A"))*4)+((COUNTIF('Elève (4ème5)'!LV14:LZ14,"B"))*3)+((COUNTIF('Elève (4ème5)'!LV14:LZ14,"C"))*2)+((COUNTIF('Elève (4ème5)'!LV14:LZ14,"D"))*1))/(COUNTA(LV14:LZ14)),"")</f>
        <v/>
      </c>
      <c r="MB14" s="181" t="str">
        <f t="shared" si="66"/>
        <v/>
      </c>
      <c r="MC14" s="180" t="str">
        <f>IF(COUNT(LN14,LT14,MA14)=0,"",SUM(LN14,LT14,MA14)/COUNT(LN14,LT14,MA14))</f>
        <v/>
      </c>
      <c r="MD14" s="205" t="str">
        <f t="shared" si="67"/>
        <v/>
      </c>
      <c r="ME14" s="123"/>
      <c r="MF14" s="124"/>
      <c r="MG14" s="125"/>
      <c r="MH14" s="180" t="str">
        <f>IFERROR((((COUNTIF('Elève (4ème5)'!ME14:MG14,"A"))*4)+((COUNTIF('Elève (4ème5)'!ME14:MG14,"B"))*3)+((COUNTIF('Elève (4ème5)'!ME14:MG14,"C"))*2)+((COUNTIF('Elève (4ème5)'!ME14:MG14,"D"))*1))/(COUNTA(ME14:MG14)),"")</f>
        <v/>
      </c>
      <c r="MI14" s="181" t="str">
        <f t="shared" si="68"/>
        <v/>
      </c>
      <c r="MJ14" s="123"/>
      <c r="MK14" s="124"/>
      <c r="ML14" s="125"/>
      <c r="MM14" s="125"/>
      <c r="MN14" s="180" t="str">
        <f>IFERROR((((COUNTIF('Elève (4ème5)'!MJ14:MM14,"A"))*4)+((COUNTIF('Elève (4ème5)'!MJ14:MM14,"B"))*3)+((COUNTIF('Elève (4ème5)'!MJ14:MM14,"C"))*2)+((COUNTIF('Elève (4ème5)'!MJ14:MM14,"D"))*1))/(COUNTA(MJ14:MM14)),"")</f>
        <v/>
      </c>
      <c r="MO14" s="181" t="str">
        <f t="shared" si="69"/>
        <v/>
      </c>
      <c r="MP14" s="123"/>
      <c r="MQ14" s="124"/>
      <c r="MR14" s="125"/>
      <c r="MS14" s="125"/>
      <c r="MT14" s="125"/>
      <c r="MU14" s="180" t="str">
        <f>IFERROR((((COUNTIF('Elève (4ème5)'!MP14:MT14,"A"))*4)+((COUNTIF('Elève (4ème5)'!MP14:MT14,"B"))*3)+((COUNTIF('Elève (4ème5)'!MP14:MT14,"C"))*2)+((COUNTIF('Elève (4ème5)'!MP14:MT14,"D"))*1))/(COUNTA(MP14:MT14)),"")</f>
        <v/>
      </c>
      <c r="MV14" s="181" t="str">
        <f t="shared" si="70"/>
        <v/>
      </c>
      <c r="MW14" s="180" t="str">
        <f>IF(COUNT(MH14,MN14,MU14)=0,"",SUM(MH14,MN14,MU14)/COUNT(MH14,MN14,MU14))</f>
        <v/>
      </c>
      <c r="MX14" s="205" t="str">
        <f t="shared" si="71"/>
        <v/>
      </c>
      <c r="MY14" s="123"/>
      <c r="MZ14" s="124"/>
      <c r="NA14" s="125"/>
      <c r="NB14" s="180" t="str">
        <f>IFERROR((((COUNTIF('Elève (4ème5)'!MY14:NA14,"A"))*4)+((COUNTIF('Elève (4ème5)'!MY14:NA14,"B"))*3)+((COUNTIF('Elève (4ème5)'!MY14:NA14,"C"))*2)+((COUNTIF('Elève (4ème5)'!MY14:NA14,"D"))*1))/(COUNTA(MY14:NA14)),"")</f>
        <v/>
      </c>
      <c r="NC14" s="181" t="str">
        <f t="shared" si="72"/>
        <v/>
      </c>
      <c r="ND14" s="123"/>
      <c r="NE14" s="124"/>
      <c r="NF14" s="125"/>
      <c r="NG14" s="125"/>
      <c r="NH14" s="180" t="str">
        <f>IFERROR((((COUNTIF('Elève (4ème5)'!ND14:NG14,"A"))*4)+((COUNTIF('Elève (4ème5)'!ND14:NG14,"B"))*3)+((COUNTIF('Elève (4ème5)'!ND14:NG14,"C"))*2)+((COUNTIF('Elève (4ème5)'!ND14:NG14,"D"))*1))/(COUNTA(ND14:NG14)),"")</f>
        <v/>
      </c>
      <c r="NI14" s="181" t="str">
        <f t="shared" si="73"/>
        <v/>
      </c>
      <c r="NJ14" s="123"/>
      <c r="NK14" s="124"/>
      <c r="NL14" s="125"/>
      <c r="NM14" s="125"/>
      <c r="NN14" s="125"/>
      <c r="NO14" s="180" t="str">
        <f>IFERROR((((COUNTIF('Elève (4ème5)'!NJ14:NN14,"A"))*4)+((COUNTIF('Elève (4ème5)'!NJ14:NN14,"B"))*3)+((COUNTIF('Elève (4ème5)'!NJ14:NN14,"C"))*2)+((COUNTIF('Elève (4ème5)'!NJ14:NN14,"D"))*1))/(COUNTA(NJ14:NN14)),"")</f>
        <v/>
      </c>
      <c r="NP14" s="181" t="str">
        <f t="shared" si="74"/>
        <v/>
      </c>
      <c r="NQ14" s="180" t="str">
        <f>IF(COUNT(NB14,NH14,NO14)=0,"",SUM(NB14,NH14,NO14)/COUNT(NB14,NH14,NO14))</f>
        <v/>
      </c>
      <c r="NR14" s="205" t="str">
        <f t="shared" si="75"/>
        <v/>
      </c>
      <c r="NS14" s="123"/>
      <c r="NT14" s="124"/>
      <c r="NU14" s="125"/>
      <c r="NV14" s="180" t="str">
        <f>IFERROR((((COUNTIF('Elève (4ème5)'!NS14:NU14,"A"))*4)+((COUNTIF('Elève (4ème5)'!NS14:NU14,"B"))*3)+((COUNTIF('Elève (4ème5)'!NS14:NU14,"C"))*2)+((COUNTIF('Elève (4ème5)'!NS14:NU14,"D"))*1))/(COUNTA(NS14:NU14)),"")</f>
        <v/>
      </c>
      <c r="NW14" s="181" t="str">
        <f t="shared" si="76"/>
        <v/>
      </c>
      <c r="NX14" s="123"/>
      <c r="NY14" s="124"/>
      <c r="NZ14" s="125"/>
      <c r="OA14" s="125"/>
      <c r="OB14" s="180" t="str">
        <f>IFERROR((((COUNTIF('Elève (4ème5)'!NX14:OA14,"A"))*4)+((COUNTIF('Elève (4ème5)'!NX14:OA14,"B"))*3)+((COUNTIF('Elève (4ème5)'!NX14:OA14,"C"))*2)+((COUNTIF('Elève (4ème5)'!NX14:OA14,"D"))*1))/(COUNTA(NX14:OA14)),"")</f>
        <v/>
      </c>
      <c r="OC14" s="181" t="str">
        <f t="shared" si="77"/>
        <v/>
      </c>
      <c r="OD14" s="123"/>
      <c r="OE14" s="124"/>
      <c r="OF14" s="125"/>
      <c r="OG14" s="125"/>
      <c r="OH14" s="125"/>
      <c r="OI14" s="180" t="str">
        <f>IFERROR((((COUNTIF('Elève (4ème5)'!OD14:OH14,"A"))*4)+((COUNTIF('Elève (4ème5)'!OD14:OH14,"B"))*3)+((COUNTIF('Elève (4ème5)'!OD14:OH14,"C"))*2)+((COUNTIF('Elève (4ème5)'!OD14:OH14,"D"))*1))/(COUNTA(OD14:OH14)),"")</f>
        <v/>
      </c>
      <c r="OJ14" s="181" t="str">
        <f t="shared" si="78"/>
        <v/>
      </c>
      <c r="OK14" s="180" t="str">
        <f>IF(COUNT(NV14,OB14,OI14)=0,"",SUM(NV14,OB14,OI14)/COUNT(NV14,OB14,OI14))</f>
        <v/>
      </c>
      <c r="OL14" s="205" t="str">
        <f t="shared" si="79"/>
        <v/>
      </c>
      <c r="OM14" s="123"/>
      <c r="ON14" s="124"/>
      <c r="OO14" s="125"/>
      <c r="OP14" s="180" t="str">
        <f>IFERROR((((COUNTIF('Elève (4ème5)'!OM14:OO14,"A"))*4)+((COUNTIF('Elève (4ème5)'!OM14:OO14,"B"))*3)+((COUNTIF('Elève (4ème5)'!OM14:OO14,"C"))*2)+((COUNTIF('Elève (4ème5)'!OM14:OO14,"D"))*1))/(COUNTA(OM14:OO14)),"")</f>
        <v/>
      </c>
      <c r="OQ14" s="181" t="str">
        <f t="shared" si="80"/>
        <v/>
      </c>
      <c r="OR14" s="123"/>
      <c r="OS14" s="124"/>
      <c r="OT14" s="125"/>
      <c r="OU14" s="125"/>
      <c r="OV14" s="180" t="str">
        <f>IFERROR((((COUNTIF('Elève (4ème5)'!OR14:OU14,"A"))*4)+((COUNTIF('Elève (4ème5)'!OR14:OU14,"B"))*3)+((COUNTIF('Elève (4ème5)'!OR14:OU14,"C"))*2)+((COUNTIF('Elève (4ème5)'!OR14:OU14,"D"))*1))/(COUNTA(OR14:OU14)),"")</f>
        <v/>
      </c>
      <c r="OW14" s="181" t="str">
        <f t="shared" si="81"/>
        <v/>
      </c>
      <c r="OX14" s="123"/>
      <c r="OY14" s="124"/>
      <c r="OZ14" s="125"/>
      <c r="PA14" s="125"/>
      <c r="PB14" s="125"/>
      <c r="PC14" s="180" t="str">
        <f>IFERROR((((COUNTIF('Elève (4ème5)'!OX14:PB14,"A"))*4)+((COUNTIF('Elève (4ème5)'!OX14:PB14,"B"))*3)+((COUNTIF('Elève (4ème5)'!OX14:PB14,"C"))*2)+((COUNTIF('Elève (4ème5)'!OX14:PB14,"D"))*1))/(COUNTA(OX14:PB14)),"")</f>
        <v/>
      </c>
      <c r="PD14" s="181" t="str">
        <f t="shared" si="82"/>
        <v/>
      </c>
      <c r="PE14" s="180" t="str">
        <f>IF(COUNT(OP14,OV14,PC14)=0,"",SUM(OP14,OV14,PC14)/COUNT(OP14,OV14,PC14))</f>
        <v/>
      </c>
      <c r="PF14" s="205" t="str">
        <f t="shared" si="83"/>
        <v/>
      </c>
      <c r="PG14" s="123"/>
      <c r="PH14" s="124"/>
      <c r="PI14" s="125"/>
      <c r="PJ14" s="180" t="str">
        <f>IFERROR((((COUNTIF('Elève (4ème5)'!PG14:PI14,"A"))*4)+((COUNTIF('Elève (4ème5)'!PG14:PI14,"B"))*3)+((COUNTIF('Elève (4ème5)'!PG14:PI14,"C"))*2)+((COUNTIF('Elève (4ème5)'!PG14:PI14,"D"))*1))/(COUNTA(PG14:PI14)),"")</f>
        <v/>
      </c>
      <c r="PK14" s="181" t="str">
        <f t="shared" si="84"/>
        <v/>
      </c>
      <c r="PL14" s="123"/>
      <c r="PM14" s="124"/>
      <c r="PN14" s="125"/>
      <c r="PO14" s="125"/>
      <c r="PP14" s="180" t="str">
        <f>IFERROR((((COUNTIF('Elève (4ème5)'!PL14:PO14,"A"))*4)+((COUNTIF('Elève (4ème5)'!PL14:PO14,"B"))*3)+((COUNTIF('Elève (4ème5)'!PL14:PO14,"C"))*2)+((COUNTIF('Elève (4ème5)'!PL14:PO14,"D"))*1))/(COUNTA(PL14:PO14)),"")</f>
        <v/>
      </c>
      <c r="PQ14" s="181" t="str">
        <f t="shared" si="85"/>
        <v/>
      </c>
      <c r="PR14" s="123"/>
      <c r="PS14" s="124"/>
      <c r="PT14" s="125"/>
      <c r="PU14" s="125"/>
      <c r="PV14" s="125"/>
      <c r="PW14" s="180" t="str">
        <f>IFERROR((((COUNTIF('Elève (4ème5)'!PR14:PV14,"A"))*4)+((COUNTIF('Elève (4ème5)'!PR14:PV14,"B"))*3)+((COUNTIF('Elève (4ème5)'!PR14:PV14,"C"))*2)+((COUNTIF('Elève (4ème5)'!PR14:PV14,"D"))*1))/(COUNTA(PR14:PV14)),"")</f>
        <v/>
      </c>
      <c r="PX14" s="181" t="str">
        <f t="shared" si="86"/>
        <v/>
      </c>
      <c r="PY14" s="180" t="str">
        <f>IF(COUNT(PJ14,PP14,PW14)=0,"",SUM(PJ14,PP14,PW14)/COUNT(PJ14,PP14,PW14))</f>
        <v/>
      </c>
      <c r="PZ14" s="205" t="str">
        <f t="shared" si="87"/>
        <v/>
      </c>
      <c r="QA14" s="123"/>
      <c r="QB14" s="124"/>
      <c r="QC14" s="125"/>
      <c r="QD14" s="180" t="str">
        <f>IFERROR((((COUNTIF('Elève (4ème5)'!QA14:QC14,"A"))*4)+((COUNTIF('Elève (4ème5)'!QA14:QC14,"B"))*3)+((COUNTIF('Elève (4ème5)'!QA14:QC14,"C"))*2)+((COUNTIF('Elève (4ème5)'!QA14:QC14,"D"))*1))/(COUNTA(QA14:QC14)),"")</f>
        <v/>
      </c>
      <c r="QE14" s="181" t="str">
        <f t="shared" si="88"/>
        <v/>
      </c>
      <c r="QF14" s="123"/>
      <c r="QG14" s="124"/>
      <c r="QH14" s="125"/>
      <c r="QI14" s="125"/>
      <c r="QJ14" s="180" t="str">
        <f>IFERROR((((COUNTIF('Elève (4ème5)'!QF14:QI14,"A"))*4)+((COUNTIF('Elève (4ème5)'!QF14:QI14,"B"))*3)+((COUNTIF('Elève (4ème5)'!QF14:QI14,"C"))*2)+((COUNTIF('Elève (4ème5)'!QF14:QI14,"D"))*1))/(COUNTA(QF14:QI14)),"")</f>
        <v/>
      </c>
      <c r="QK14" s="181" t="str">
        <f t="shared" si="89"/>
        <v/>
      </c>
      <c r="QL14" s="123"/>
      <c r="QM14" s="124"/>
      <c r="QN14" s="125"/>
      <c r="QO14" s="125"/>
      <c r="QP14" s="125"/>
      <c r="QQ14" s="180" t="str">
        <f>IFERROR((((COUNTIF('Elève (4ème5)'!QL14:QP14,"A"))*4)+((COUNTIF('Elève (4ème5)'!QL14:QP14,"B"))*3)+((COUNTIF('Elève (4ème5)'!QL14:QP14,"C"))*2)+((COUNTIF('Elève (4ème5)'!QL14:QP14,"D"))*1))/(COUNTA(QL14:QP14)),"")</f>
        <v/>
      </c>
      <c r="QR14" s="181" t="str">
        <f t="shared" si="90"/>
        <v/>
      </c>
      <c r="QS14" s="180" t="str">
        <f>IF(COUNT(QD14,QJ14,QQ14)=0,"",SUM(QD14,QJ14,QQ14)/COUNT(QD14,QJ14,QQ14))</f>
        <v/>
      </c>
      <c r="QT14" s="205" t="str">
        <f t="shared" si="91"/>
        <v/>
      </c>
      <c r="QU14" s="123"/>
      <c r="QV14" s="124"/>
      <c r="QW14" s="125"/>
      <c r="QX14" s="180" t="str">
        <f>IFERROR((((COUNTIF('Elève (4ème5)'!QU14:QW14,"A"))*4)+((COUNTIF('Elève (4ème5)'!QU14:QW14,"B"))*3)+((COUNTIF('Elève (4ème5)'!QU14:QW14,"C"))*2)+((COUNTIF('Elève (4ème5)'!QU14:QW14,"D"))*1))/(COUNTA(QU14:QW14)),"")</f>
        <v/>
      </c>
      <c r="QY14" s="181" t="str">
        <f t="shared" si="92"/>
        <v/>
      </c>
      <c r="QZ14" s="123"/>
      <c r="RA14" s="124"/>
      <c r="RB14" s="125"/>
      <c r="RC14" s="125"/>
      <c r="RD14" s="180" t="str">
        <f>IFERROR((((COUNTIF('Elève (4ème5)'!QZ14:RC14,"A"))*4)+((COUNTIF('Elève (4ème5)'!QZ14:RC14,"B"))*3)+((COUNTIF('Elève (4ème5)'!QZ14:RC14,"C"))*2)+((COUNTIF('Elève (4ème5)'!QZ14:RC14,"D"))*1))/(COUNTA(QZ14:RC14)),"")</f>
        <v/>
      </c>
      <c r="RE14" s="181" t="str">
        <f t="shared" si="93"/>
        <v/>
      </c>
      <c r="RF14" s="123"/>
      <c r="RG14" s="124"/>
      <c r="RH14" s="125"/>
      <c r="RI14" s="125"/>
      <c r="RJ14" s="125"/>
      <c r="RK14" s="180" t="str">
        <f>IFERROR((((COUNTIF('Elève (4ème5)'!RF14:RJ14,"A"))*4)+((COUNTIF('Elève (4ème5)'!RF14:RJ14,"B"))*3)+((COUNTIF('Elève (4ème5)'!RF14:RJ14,"C"))*2)+((COUNTIF('Elève (4ème5)'!RF14:RJ14,"D"))*1))/(COUNTA(RF14:RJ14)),"")</f>
        <v/>
      </c>
      <c r="RL14" s="181" t="str">
        <f t="shared" si="94"/>
        <v/>
      </c>
      <c r="RM14" s="180" t="str">
        <f>IF(COUNT(QX14,RD14,RK14)=0,"",SUM(QX14,RD14,RK14)/COUNT(QX14,RD14,RK14))</f>
        <v/>
      </c>
      <c r="RN14" s="205" t="str">
        <f t="shared" si="95"/>
        <v/>
      </c>
      <c r="RO14" s="123"/>
      <c r="RP14" s="124"/>
      <c r="RQ14" s="125"/>
      <c r="RR14" s="180" t="str">
        <f>IFERROR((((COUNTIF('Elève (4ème5)'!RO14:RQ14,"A"))*4)+((COUNTIF('Elève (4ème5)'!RO14:RQ14,"B"))*3)+((COUNTIF('Elève (4ème5)'!RO14:RQ14,"C"))*2)+((COUNTIF('Elève (4ème5)'!RO14:RQ14,"D"))*1))/(COUNTA(RO14:RQ14)),"")</f>
        <v/>
      </c>
      <c r="RS14" s="181" t="str">
        <f t="shared" si="96"/>
        <v/>
      </c>
      <c r="RT14" s="123"/>
      <c r="RU14" s="124"/>
      <c r="RV14" s="125"/>
      <c r="RW14" s="125"/>
      <c r="RX14" s="180" t="str">
        <f>IFERROR((((COUNTIF('Elève (4ème5)'!RT14:RW14,"A"))*4)+((COUNTIF('Elève (4ème5)'!RT14:RW14,"B"))*3)+((COUNTIF('Elève (4ème5)'!RT14:RW14,"C"))*2)+((COUNTIF('Elève (4ème5)'!RT14:RW14,"D"))*1))/(COUNTA(RT14:RW14)),"")</f>
        <v/>
      </c>
      <c r="RY14" s="181" t="str">
        <f t="shared" si="97"/>
        <v/>
      </c>
      <c r="RZ14" s="123"/>
      <c r="SA14" s="124"/>
      <c r="SB14" s="125"/>
      <c r="SC14" s="125"/>
      <c r="SD14" s="125"/>
      <c r="SE14" s="180" t="str">
        <f>IFERROR((((COUNTIF('Elève (4ème5)'!RZ14:SD14,"A"))*4)+((COUNTIF('Elève (4ème5)'!RZ14:SD14,"B"))*3)+((COUNTIF('Elève (4ème5)'!RZ14:SD14,"C"))*2)+((COUNTIF('Elève (4ème5)'!RZ14:SD14,"D"))*1))/(COUNTA(RZ14:SD14)),"")</f>
        <v/>
      </c>
      <c r="SF14" s="181" t="str">
        <f t="shared" si="98"/>
        <v/>
      </c>
      <c r="SG14" s="180" t="str">
        <f>IF(COUNT(RR14,RX14,SE14)=0,"",SUM(RR14,RX14,SE14)/COUNT(RR14,RX14,SE14))</f>
        <v/>
      </c>
      <c r="SH14" s="205" t="str">
        <f t="shared" si="99"/>
        <v/>
      </c>
      <c r="SI14" s="123"/>
      <c r="SJ14" s="124"/>
      <c r="SK14" s="125"/>
      <c r="SL14" s="180" t="str">
        <f>IFERROR((((COUNTIF('Elève (4ème5)'!SI14:SK14,"A"))*4)+((COUNTIF('Elève (4ème5)'!SI14:SK14,"B"))*3)+((COUNTIF('Elève (4ème5)'!SI14:SK14,"C"))*2)+((COUNTIF('Elève (4ème5)'!SI14:SK14,"D"))*1))/(COUNTA(SI14:SK14)),"")</f>
        <v/>
      </c>
      <c r="SM14" s="181" t="str">
        <f t="shared" si="100"/>
        <v/>
      </c>
      <c r="SN14" s="123"/>
      <c r="SO14" s="124"/>
      <c r="SP14" s="125"/>
      <c r="SQ14" s="125"/>
      <c r="SR14" s="180" t="str">
        <f>IFERROR((((COUNTIF('Elève (4ème5)'!SN14:SQ14,"A"))*4)+((COUNTIF('Elève (4ème5)'!SN14:SQ14,"B"))*3)+((COUNTIF('Elève (4ème5)'!SN14:SQ14,"C"))*2)+((COUNTIF('Elève (4ème5)'!SN14:SQ14,"D"))*1))/(COUNTA(SN14:SQ14)),"")</f>
        <v/>
      </c>
      <c r="SS14" s="181" t="str">
        <f t="shared" si="101"/>
        <v/>
      </c>
      <c r="ST14" s="123"/>
      <c r="SU14" s="124"/>
      <c r="SV14" s="125"/>
      <c r="SW14" s="125"/>
      <c r="SX14" s="125"/>
      <c r="SY14" s="180" t="str">
        <f>IFERROR((((COUNTIF('Elève (4ème5)'!ST14:SX14,"A"))*4)+((COUNTIF('Elève (4ème5)'!ST14:SX14,"B"))*3)+((COUNTIF('Elève (4ème5)'!ST14:SX14,"C"))*2)+((COUNTIF('Elève (4ème5)'!ST14:SX14,"D"))*1))/(COUNTA(ST14:SX14)),"")</f>
        <v/>
      </c>
      <c r="SZ14" s="181" t="str">
        <f t="shared" si="102"/>
        <v/>
      </c>
      <c r="TA14" s="180" t="str">
        <f>IF(COUNT(SL14,SR14,SY14)=0,"",SUM(SL14,SR14,SY14)/COUNT(SL14,SR14,SY14))</f>
        <v/>
      </c>
      <c r="TB14" s="205" t="str">
        <f t="shared" si="103"/>
        <v/>
      </c>
      <c r="TC14" s="123"/>
      <c r="TD14" s="124"/>
      <c r="TE14" s="125"/>
      <c r="TF14" s="180" t="str">
        <f>IFERROR((((COUNTIF('Elève (4ème5)'!TC14:TE14,"A"))*4)+((COUNTIF('Elève (4ème5)'!TC14:TE14,"B"))*3)+((COUNTIF('Elève (4ème5)'!TC14:TE14,"C"))*2)+((COUNTIF('Elève (4ème5)'!TC14:TE14,"D"))*1))/(COUNTA(TC14:TE14)),"")</f>
        <v/>
      </c>
      <c r="TG14" s="181" t="str">
        <f t="shared" si="104"/>
        <v/>
      </c>
      <c r="TH14" s="123"/>
      <c r="TI14" s="124"/>
      <c r="TJ14" s="125"/>
      <c r="TK14" s="125"/>
      <c r="TL14" s="180" t="str">
        <f>IFERROR((((COUNTIF('Elève (4ème5)'!TH14:TK14,"A"))*4)+((COUNTIF('Elève (4ème5)'!TH14:TK14,"B"))*3)+((COUNTIF('Elève (4ème5)'!TH14:TK14,"C"))*2)+((COUNTIF('Elève (4ème5)'!TH14:TK14,"D"))*1))/(COUNTA(TH14:TK14)),"")</f>
        <v/>
      </c>
      <c r="TM14" s="181" t="str">
        <f t="shared" si="105"/>
        <v/>
      </c>
      <c r="TN14" s="123"/>
      <c r="TO14" s="124"/>
      <c r="TP14" s="125"/>
      <c r="TQ14" s="125"/>
      <c r="TR14" s="125"/>
      <c r="TS14" s="180" t="str">
        <f>IFERROR((((COUNTIF('Elève (4ème5)'!TN14:TR14,"A"))*4)+((COUNTIF('Elève (4ème5)'!TN14:TR14,"B"))*3)+((COUNTIF('Elève (4ème5)'!TN14:TR14,"C"))*2)+((COUNTIF('Elève (4ème5)'!TN14:TR14,"D"))*1))/(COUNTA(TN14:TR14)),"")</f>
        <v/>
      </c>
      <c r="TT14" s="181" t="str">
        <f t="shared" si="106"/>
        <v/>
      </c>
      <c r="TU14" s="180" t="str">
        <f>IF(COUNT(TF14,TL14,TS14)=0,"",SUM(TF14,TL14,TS14)/COUNT(TF14,TL14,TS14))</f>
        <v/>
      </c>
      <c r="TV14" s="205" t="str">
        <f t="shared" si="107"/>
        <v/>
      </c>
      <c r="TW14" s="123"/>
      <c r="TX14" s="124"/>
      <c r="TY14" s="125"/>
      <c r="TZ14" s="180" t="str">
        <f>IFERROR((((COUNTIF('Elève (4ème5)'!TW14:TY14,"A"))*4)+((COUNTIF('Elève (4ème5)'!TW14:TY14,"B"))*3)+((COUNTIF('Elève (4ème5)'!TW14:TY14,"C"))*2)+((COUNTIF('Elève (4ème5)'!TW14:TY14,"D"))*1))/(COUNTA(TW14:TY14)),"")</f>
        <v/>
      </c>
      <c r="UA14" s="181" t="str">
        <f t="shared" si="108"/>
        <v/>
      </c>
      <c r="UB14" s="123"/>
      <c r="UC14" s="124"/>
      <c r="UD14" s="125"/>
      <c r="UE14" s="125"/>
      <c r="UF14" s="180" t="str">
        <f>IFERROR((((COUNTIF('Elève (4ème5)'!UB14:UE14,"A"))*4)+((COUNTIF('Elève (4ème5)'!UB14:UE14,"B"))*3)+((COUNTIF('Elève (4ème5)'!UB14:UE14,"C"))*2)+((COUNTIF('Elève (4ème5)'!UB14:UE14,"D"))*1))/(COUNTA(UB14:UE14)),"")</f>
        <v/>
      </c>
      <c r="UG14" s="181" t="str">
        <f t="shared" si="109"/>
        <v/>
      </c>
      <c r="UH14" s="123"/>
      <c r="UI14" s="124"/>
      <c r="UJ14" s="125"/>
      <c r="UK14" s="125"/>
      <c r="UL14" s="125"/>
      <c r="UM14" s="180" t="str">
        <f>IFERROR((((COUNTIF('Elève (4ème5)'!UH14:UL14,"A"))*4)+((COUNTIF('Elève (4ème5)'!UH14:UL14,"B"))*3)+((COUNTIF('Elève (4ème5)'!UH14:UL14,"C"))*2)+((COUNTIF('Elève (4ème5)'!UH14:UL14,"D"))*1))/(COUNTA(UH14:UL14)),"")</f>
        <v/>
      </c>
      <c r="UN14" s="181" t="str">
        <f t="shared" si="110"/>
        <v/>
      </c>
      <c r="UO14" s="180" t="str">
        <f>IF(COUNT(TZ14,UF14,UM14)=0,"",SUM(TZ14,UF14,UM14)/COUNT(TZ14,UF14,UM14))</f>
        <v/>
      </c>
      <c r="UP14" s="205" t="str">
        <f t="shared" si="111"/>
        <v/>
      </c>
      <c r="UQ14" s="123"/>
      <c r="UR14" s="124"/>
      <c r="US14" s="125"/>
      <c r="UT14" s="119" t="str">
        <f>IFERROR((((COUNTIF('Elève (4ème5)'!UQ14:US14,"A"))*4)+((COUNTIF('Elève (4ème5)'!UQ14:US14,"B"))*3)+((COUNTIF('Elève (4ème5)'!UQ14:US14,"C"))*2)+((COUNTIF('Elève (4ème5)'!UQ14:US14,"D"))*1))/(COUNTA(UQ14:US14)),"")</f>
        <v/>
      </c>
      <c r="UU14" s="120" t="str">
        <f t="shared" si="112"/>
        <v/>
      </c>
      <c r="UV14" s="123"/>
      <c r="UW14" s="124"/>
      <c r="UX14" s="125"/>
      <c r="UY14" s="119" t="str">
        <f>IFERROR((((COUNTIF('Elève (4ème5)'!UV14:UX14,"A"))*4)+((COUNTIF('Elève (4ème5)'!UV14:UX14,"B"))*3)+((COUNTIF('Elève (4ème5)'!UV14:UX14,"C"))*2)+((COUNTIF('Elève (4ème5)'!UV14:UX14,"D"))*1))/(COUNTA(UV14:UX14)),"")</f>
        <v/>
      </c>
      <c r="UZ14" s="120" t="str">
        <f t="shared" si="113"/>
        <v/>
      </c>
      <c r="VA14" s="123"/>
      <c r="VB14" s="124"/>
      <c r="VC14" s="129"/>
      <c r="VD14" s="119" t="str">
        <f>IFERROR((((COUNTIF('Elève (4ème5)'!VA14:VC14,"A"))*4)+((COUNTIF('Elève (4ème5)'!VA14:VC14,"B"))*3)+((COUNTIF('Elève (4ème5)'!VA14:VC14,"C"))*2)+((COUNTIF('Elève (4ème5)'!VA14:VC14,"D"))*1))/(COUNTA(VA14:VC14)),"")</f>
        <v/>
      </c>
      <c r="VE14" s="120" t="str">
        <f t="shared" si="114"/>
        <v/>
      </c>
      <c r="VF14" s="119" t="str">
        <f>IF(COUNT(UT14,UY14,VD14)=0,"",SUM(UT14,UY14,VD14)/COUNT(UT14,UY14,VD14))</f>
        <v/>
      </c>
      <c r="VG14" s="121" t="str">
        <f t="shared" si="115"/>
        <v/>
      </c>
      <c r="VH14" s="123"/>
      <c r="VI14" s="124"/>
      <c r="VJ14" s="125"/>
      <c r="VK14" s="119" t="str">
        <f>IFERROR((((COUNTIF('Elève (4ème5)'!VH14:VJ14,"A"))*4)+((COUNTIF('Elève (4ème5)'!VH14:VJ14,"B"))*3)+((COUNTIF('Elève (4ème5)'!VH14:VJ14,"C"))*2)+((COUNTIF('Elève (4ème5)'!VH14:VJ14,"D"))*1))/(COUNTA(VH14:VJ14)),"")</f>
        <v/>
      </c>
      <c r="VL14" s="120" t="str">
        <f t="shared" si="116"/>
        <v/>
      </c>
      <c r="VM14" s="123"/>
      <c r="VN14" s="124"/>
      <c r="VO14" s="125"/>
      <c r="VP14" s="119" t="str">
        <f>IFERROR((((COUNTIF('Elève (4ème5)'!VM14:VO14,"A"))*4)+((COUNTIF('Elève (4ème5)'!VM14:VO14,"B"))*3)+((COUNTIF('Elève (4ème5)'!VM14:VO14,"C"))*2)+((COUNTIF('Elève (4ème5)'!VM14:VO14,"D"))*1))/(COUNTA(VM14:VO14)),"")</f>
        <v/>
      </c>
      <c r="VQ14" s="120" t="str">
        <f t="shared" si="117"/>
        <v/>
      </c>
      <c r="VR14" s="123"/>
      <c r="VS14" s="124"/>
      <c r="VT14" s="129"/>
      <c r="VU14" s="119" t="str">
        <f>IFERROR((((COUNTIF('Elève (4ème5)'!VR14:VT14,"A"))*4)+((COUNTIF('Elève (4ème5)'!VR14:VT14,"B"))*3)+((COUNTIF('Elève (4ème5)'!VR14:VT14,"C"))*2)+((COUNTIF('Elève (4ème5)'!VR14:VT14,"D"))*1))/(COUNTA(VR14:VT14)),"")</f>
        <v/>
      </c>
      <c r="VV14" s="120" t="str">
        <f t="shared" si="118"/>
        <v/>
      </c>
      <c r="VW14" s="119" t="str">
        <f>IF(COUNT(VK14,VP14,VU14)=0,"",SUM(VK14,VP14,VU14)/COUNT(VK14,VP14,VU14))</f>
        <v/>
      </c>
      <c r="VX14" s="121" t="str">
        <f t="shared" si="119"/>
        <v/>
      </c>
    </row>
    <row r="15" spans="1:596" ht="18" customHeight="1" thickBot="1" x14ac:dyDescent="0.6">
      <c r="A15" s="250" t="s">
        <v>21</v>
      </c>
      <c r="B15" s="251"/>
      <c r="C15" s="130" t="s">
        <v>32</v>
      </c>
      <c r="D15" s="131"/>
      <c r="E15" s="132"/>
      <c r="F15" s="184">
        <f>IFERROR((((COUNTIF('Elève (4ème5)'!C15:E15,"A"))*4)+((COUNTIF('Elève (4ème5)'!C15:E15,"B"))*3)+((COUNTIF('Elève (4ème5)'!C15:E15,"C"))*2)+((COUNTIF('Elève (4ème5)'!C15:E15,"D"))*1))/(COUNTA(C15:E15)),"")</f>
        <v>1</v>
      </c>
      <c r="G15" s="185" t="str">
        <f t="shared" si="0"/>
        <v>D</v>
      </c>
      <c r="H15" s="130"/>
      <c r="I15" s="131" t="s">
        <v>30</v>
      </c>
      <c r="J15" s="132"/>
      <c r="K15" s="132"/>
      <c r="L15" s="184">
        <f>IFERROR((((COUNTIF('Elève (4ème5)'!H15:K15,"A"))*4)+((COUNTIF('Elève (4ème5)'!H15:K15,"B"))*3)+((COUNTIF('Elève (4ème5)'!H15:K15,"C"))*2)+((COUNTIF('Elève (4ème5)'!H15:K15,"D"))*1))/(COUNTA(H15:K15)),"")</f>
        <v>3</v>
      </c>
      <c r="M15" s="185" t="str">
        <f t="shared" si="1"/>
        <v>B</v>
      </c>
      <c r="N15" s="130"/>
      <c r="O15" s="131"/>
      <c r="P15" s="132" t="s">
        <v>29</v>
      </c>
      <c r="Q15" s="132"/>
      <c r="R15" s="132"/>
      <c r="S15" s="184">
        <f>IFERROR((((COUNTIF('Elève (4ème5)'!N15:R15,"A"))*4)+((COUNTIF('Elève (4ème5)'!N15:R15,"B"))*3)+((COUNTIF('Elève (4ème5)'!N15:R15,"C"))*2)+((COUNTIF('Elève (4ème5)'!N15:R15,"D"))*1))/(COUNTA(N15:R15)),"")</f>
        <v>4</v>
      </c>
      <c r="T15" s="185" t="str">
        <f t="shared" si="2"/>
        <v>A</v>
      </c>
      <c r="U15" s="209">
        <f>IF(COUNT(F15,L15,S15)=0,"",SUM(F15,L15,S15)/COUNT(F15,L15,S15))</f>
        <v>2.6666666666666665</v>
      </c>
      <c r="V15" s="207" t="str">
        <f t="shared" si="3"/>
        <v>C</v>
      </c>
      <c r="W15" s="130" t="s">
        <v>30</v>
      </c>
      <c r="X15" s="131"/>
      <c r="Y15" s="132"/>
      <c r="Z15" s="184">
        <f>IFERROR((((COUNTIF('Elève (4ème5)'!W15:Y15,"A"))*4)+((COUNTIF('Elève (4ème5)'!W15:Y15,"B"))*3)+((COUNTIF('Elève (4ème5)'!W15:Y15,"C"))*2)+((COUNTIF('Elève (4ème5)'!W15:Y15,"D"))*1))/(COUNTA(W15:Y15)),"")</f>
        <v>3</v>
      </c>
      <c r="AA15" s="185" t="str">
        <f t="shared" si="4"/>
        <v>B</v>
      </c>
      <c r="AB15" s="130"/>
      <c r="AC15" s="131" t="s">
        <v>30</v>
      </c>
      <c r="AD15" s="132"/>
      <c r="AE15" s="132"/>
      <c r="AF15" s="184">
        <f>IFERROR((((COUNTIF('Elève (4ème5)'!AB15:AE15,"A"))*4)+((COUNTIF('Elève (4ème5)'!AB15:AE15,"B"))*3)+((COUNTIF('Elève (4ème5)'!AB15:AE15,"C"))*2)+((COUNTIF('Elève (4ème5)'!AB15:AE15,"D"))*1))/(COUNTA(AB15:AE15)),"")</f>
        <v>3</v>
      </c>
      <c r="AG15" s="185" t="str">
        <f t="shared" si="5"/>
        <v>B</v>
      </c>
      <c r="AH15" s="130"/>
      <c r="AI15" s="131"/>
      <c r="AJ15" s="132" t="s">
        <v>29</v>
      </c>
      <c r="AK15" s="132"/>
      <c r="AL15" s="132"/>
      <c r="AM15" s="184">
        <f>IFERROR((((COUNTIF('Elève (4ème5)'!AH15:AL15,"A"))*4)+((COUNTIF('Elève (4ème5)'!AH15:AL15,"B"))*3)+((COUNTIF('Elève (4ème5)'!AH15:AL15,"C"))*2)+((COUNTIF('Elève (4ème5)'!AH15:AL15,"D"))*1))/(COUNTA(AH15:AL15)),"")</f>
        <v>4</v>
      </c>
      <c r="AN15" s="185" t="str">
        <f t="shared" si="6"/>
        <v>A</v>
      </c>
      <c r="AO15" s="209">
        <f>IF(COUNT(Z15,AF15,AM15)=0,"",SUM(Z15,AF15,AM15)/COUNT(Z15,AF15,AM15))</f>
        <v>3.3333333333333335</v>
      </c>
      <c r="AP15" s="207" t="str">
        <f t="shared" si="7"/>
        <v>B</v>
      </c>
      <c r="AQ15" s="130" t="s">
        <v>31</v>
      </c>
      <c r="AR15" s="131"/>
      <c r="AS15" s="132"/>
      <c r="AT15" s="184">
        <f>IFERROR((((COUNTIF('Elève (4ème5)'!AQ15:AS15,"A"))*4)+((COUNTIF('Elève (4ème5)'!AQ15:AS15,"B"))*3)+((COUNTIF('Elève (4ème5)'!AQ15:AS15,"C"))*2)+((COUNTIF('Elève (4ème5)'!AQ15:AS15,"D"))*1))/(COUNTA(AQ15:AS15)),"")</f>
        <v>2</v>
      </c>
      <c r="AU15" s="185" t="str">
        <f t="shared" si="8"/>
        <v>C</v>
      </c>
      <c r="AV15" s="130"/>
      <c r="AW15" s="131" t="s">
        <v>30</v>
      </c>
      <c r="AX15" s="132"/>
      <c r="AY15" s="132"/>
      <c r="AZ15" s="184">
        <f>IFERROR((((COUNTIF('Elève (4ème5)'!AV15:AY15,"A"))*4)+((COUNTIF('Elève (4ème5)'!AV15:AY15,"B"))*3)+((COUNTIF('Elève (4ème5)'!AV15:AY15,"C"))*2)+((COUNTIF('Elève (4ème5)'!AV15:AY15,"D"))*1))/(COUNTA(AV15:AY15)),"")</f>
        <v>3</v>
      </c>
      <c r="BA15" s="185" t="str">
        <f t="shared" si="9"/>
        <v>B</v>
      </c>
      <c r="BB15" s="130"/>
      <c r="BC15" s="131"/>
      <c r="BD15" s="132" t="s">
        <v>29</v>
      </c>
      <c r="BE15" s="132"/>
      <c r="BF15" s="132"/>
      <c r="BG15" s="184">
        <f>IFERROR((((COUNTIF('Elève (4ème5)'!BB15:BF15,"A"))*4)+((COUNTIF('Elève (4ème5)'!BB15:BF15,"B"))*3)+((COUNTIF('Elève (4ème5)'!BB15:BF15,"C"))*2)+((COUNTIF('Elève (4ème5)'!BB15:BF15,"D"))*1))/(COUNTA(BB15:BF15)),"")</f>
        <v>4</v>
      </c>
      <c r="BH15" s="185" t="str">
        <f t="shared" si="10"/>
        <v>A</v>
      </c>
      <c r="BI15" s="209">
        <f>IF(COUNT(AT15,AZ15,BG15)=0,"",SUM(AT15,AZ15,BG15)/COUNT(AT15,AZ15,BG15))</f>
        <v>3</v>
      </c>
      <c r="BJ15" s="207" t="str">
        <f t="shared" si="11"/>
        <v>B</v>
      </c>
      <c r="BK15" s="130" t="s">
        <v>30</v>
      </c>
      <c r="BL15" s="131"/>
      <c r="BM15" s="132"/>
      <c r="BN15" s="184">
        <f>IFERROR((((COUNTIF('Elève (4ème5)'!BK15:BM15,"A"))*4)+((COUNTIF('Elève (4ème5)'!BK15:BM15,"B"))*3)+((COUNTIF('Elève (4ème5)'!BK15:BM15,"C"))*2)+((COUNTIF('Elève (4ème5)'!BK15:BM15,"D"))*1))/(COUNTA(BK15:BM15)),"")</f>
        <v>3</v>
      </c>
      <c r="BO15" s="185" t="str">
        <f t="shared" si="12"/>
        <v>B</v>
      </c>
      <c r="BP15" s="130"/>
      <c r="BQ15" s="131" t="s">
        <v>30</v>
      </c>
      <c r="BR15" s="132"/>
      <c r="BS15" s="132"/>
      <c r="BT15" s="184">
        <f>IFERROR((((COUNTIF('Elève (4ème5)'!BP15:BS15,"A"))*4)+((COUNTIF('Elève (4ème5)'!BP15:BS15,"B"))*3)+((COUNTIF('Elève (4ème5)'!BP15:BS15,"C"))*2)+((COUNTIF('Elève (4ème5)'!BP15:BS15,"D"))*1))/(COUNTA(BP15:BS15)),"")</f>
        <v>3</v>
      </c>
      <c r="BU15" s="185" t="str">
        <f t="shared" si="13"/>
        <v>B</v>
      </c>
      <c r="BV15" s="130"/>
      <c r="BW15" s="131"/>
      <c r="BX15" s="132" t="s">
        <v>29</v>
      </c>
      <c r="BY15" s="132"/>
      <c r="BZ15" s="132"/>
      <c r="CA15" s="184">
        <f>IFERROR((((COUNTIF('Elève (4ème5)'!BV15:BZ15,"A"))*4)+((COUNTIF('Elève (4ème5)'!BV15:BZ15,"B"))*3)+((COUNTIF('Elève (4ème5)'!BV15:BZ15,"C"))*2)+((COUNTIF('Elève (4ème5)'!BV15:BZ15,"D"))*1))/(COUNTA(BV15:BZ15)),"")</f>
        <v>4</v>
      </c>
      <c r="CB15" s="185" t="str">
        <f t="shared" si="14"/>
        <v>A</v>
      </c>
      <c r="CC15" s="209">
        <f>IF(COUNT(BN15,BT15,CA15)=0,"",SUM(BN15,BT15,CA15)/COUNT(BN15,BT15,CA15))</f>
        <v>3.3333333333333335</v>
      </c>
      <c r="CD15" s="207" t="str">
        <f t="shared" si="15"/>
        <v>B</v>
      </c>
      <c r="CE15" s="130" t="s">
        <v>30</v>
      </c>
      <c r="CF15" s="131"/>
      <c r="CG15" s="132"/>
      <c r="CH15" s="184">
        <f>IFERROR((((COUNTIF('Elève (4ème5)'!CE15:CG15,"A"))*4)+((COUNTIF('Elève (4ème5)'!CE15:CG15,"B"))*3)+((COUNTIF('Elève (4ème5)'!CE15:CG15,"C"))*2)+((COUNTIF('Elève (4ème5)'!CE15:CG15,"D"))*1))/(COUNTA(CE15:CG15)),"")</f>
        <v>3</v>
      </c>
      <c r="CI15" s="185" t="str">
        <f t="shared" si="16"/>
        <v>B</v>
      </c>
      <c r="CJ15" s="130"/>
      <c r="CK15" s="131" t="s">
        <v>30</v>
      </c>
      <c r="CL15" s="132"/>
      <c r="CM15" s="132"/>
      <c r="CN15" s="184">
        <f>IFERROR((((COUNTIF('Elève (4ème5)'!CJ15:CM15,"A"))*4)+((COUNTIF('Elève (4ème5)'!CJ15:CM15,"B"))*3)+((COUNTIF('Elève (4ème5)'!CJ15:CM15,"C"))*2)+((COUNTIF('Elève (4ème5)'!CJ15:CM15,"D"))*1))/(COUNTA(CJ15:CM15)),"")</f>
        <v>3</v>
      </c>
      <c r="CO15" s="185" t="str">
        <f t="shared" si="17"/>
        <v>B</v>
      </c>
      <c r="CP15" s="130"/>
      <c r="CQ15" s="131"/>
      <c r="CR15" s="132" t="s">
        <v>29</v>
      </c>
      <c r="CS15" s="132"/>
      <c r="CT15" s="132"/>
      <c r="CU15" s="184">
        <f>IFERROR((((COUNTIF('Elève (4ème5)'!CP15:CT15,"A"))*4)+((COUNTIF('Elève (4ème5)'!CP15:CT15,"B"))*3)+((COUNTIF('Elève (4ème5)'!CP15:CT15,"C"))*2)+((COUNTIF('Elève (4ème5)'!CP15:CT15,"D"))*1))/(COUNTA(CP15:CT15)),"")</f>
        <v>4</v>
      </c>
      <c r="CV15" s="185" t="str">
        <f t="shared" si="18"/>
        <v>A</v>
      </c>
      <c r="CW15" s="209">
        <f>IF(COUNT(CH15,CN15,CU15)=0,"",SUM(CH15,CN15,CU15)/COUNT(CH15,CN15,CU15))</f>
        <v>3.3333333333333335</v>
      </c>
      <c r="CX15" s="207" t="str">
        <f t="shared" si="19"/>
        <v>B</v>
      </c>
      <c r="CY15" s="130" t="s">
        <v>31</v>
      </c>
      <c r="CZ15" s="131"/>
      <c r="DA15" s="132"/>
      <c r="DB15" s="184">
        <f>IFERROR((((COUNTIF('Elève (4ème5)'!CY15:DA15,"A"))*4)+((COUNTIF('Elève (4ème5)'!CY15:DA15,"B"))*3)+((COUNTIF('Elève (4ème5)'!CY15:DA15,"C"))*2)+((COUNTIF('Elève (4ème5)'!CY15:DA15,"D"))*1))/(COUNTA(CY15:DA15)),"")</f>
        <v>2</v>
      </c>
      <c r="DC15" s="185" t="str">
        <f t="shared" si="20"/>
        <v>C</v>
      </c>
      <c r="DD15" s="130"/>
      <c r="DE15" s="131" t="s">
        <v>30</v>
      </c>
      <c r="DF15" s="132"/>
      <c r="DG15" s="132"/>
      <c r="DH15" s="184">
        <f>IFERROR((((COUNTIF('Elève (4ème5)'!DD15:DG15,"A"))*4)+((COUNTIF('Elève (4ème5)'!DD15:DG15,"B"))*3)+((COUNTIF('Elève (4ème5)'!DD15:DG15,"C"))*2)+((COUNTIF('Elève (4ème5)'!DD15:DG15,"D"))*1))/(COUNTA(DD15:DG15)),"")</f>
        <v>3</v>
      </c>
      <c r="DI15" s="185" t="str">
        <f t="shared" si="21"/>
        <v>B</v>
      </c>
      <c r="DJ15" s="130"/>
      <c r="DK15" s="131"/>
      <c r="DL15" s="132" t="s">
        <v>29</v>
      </c>
      <c r="DM15" s="132"/>
      <c r="DN15" s="132"/>
      <c r="DO15" s="184">
        <f>IFERROR((((COUNTIF('Elève (4ème5)'!DJ15:DN15,"A"))*4)+((COUNTIF('Elève (4ème5)'!DJ15:DN15,"B"))*3)+((COUNTIF('Elève (4ème5)'!DJ15:DN15,"C"))*2)+((COUNTIF('Elève (4ème5)'!DJ15:DN15,"D"))*1))/(COUNTA(DJ15:DN15)),"")</f>
        <v>4</v>
      </c>
      <c r="DP15" s="185" t="str">
        <f t="shared" si="22"/>
        <v>A</v>
      </c>
      <c r="DQ15" s="209">
        <f>IF(COUNT(DB15,DH15,DO15)=0,"",SUM(DB15,DH15,DO15)/COUNT(DB15,DH15,DO15))</f>
        <v>3</v>
      </c>
      <c r="DR15" s="207" t="str">
        <f t="shared" si="23"/>
        <v>B</v>
      </c>
      <c r="DS15" s="130" t="s">
        <v>31</v>
      </c>
      <c r="DT15" s="131"/>
      <c r="DU15" s="132"/>
      <c r="DV15" s="184">
        <f>IFERROR((((COUNTIF('Elève (4ème5)'!DS15:DU15,"A"))*4)+((COUNTIF('Elève (4ème5)'!DS15:DU15,"B"))*3)+((COUNTIF('Elève (4ème5)'!DS15:DU15,"C"))*2)+((COUNTIF('Elève (4ème5)'!DS15:DU15,"D"))*1))/(COUNTA(DS15:DU15)),"")</f>
        <v>2</v>
      </c>
      <c r="DW15" s="185" t="str">
        <f t="shared" si="24"/>
        <v>C</v>
      </c>
      <c r="DX15" s="130"/>
      <c r="DY15" s="131" t="s">
        <v>30</v>
      </c>
      <c r="DZ15" s="132"/>
      <c r="EA15" s="132"/>
      <c r="EB15" s="184">
        <f>IFERROR((((COUNTIF('Elève (4ème5)'!DX15:EA15,"A"))*4)+((COUNTIF('Elève (4ème5)'!DX15:EA15,"B"))*3)+((COUNTIF('Elève (4ème5)'!DX15:EA15,"C"))*2)+((COUNTIF('Elève (4ème5)'!DX15:EA15,"D"))*1))/(COUNTA(DX15:EA15)),"")</f>
        <v>3</v>
      </c>
      <c r="EC15" s="185" t="str">
        <f t="shared" si="25"/>
        <v>B</v>
      </c>
      <c r="ED15" s="130"/>
      <c r="EE15" s="131"/>
      <c r="EF15" s="132" t="s">
        <v>29</v>
      </c>
      <c r="EG15" s="132"/>
      <c r="EH15" s="132"/>
      <c r="EI15" s="184">
        <f>IFERROR((((COUNTIF('Elève (4ème5)'!ED15:EH15,"A"))*4)+((COUNTIF('Elève (4ème5)'!ED15:EH15,"B"))*3)+((COUNTIF('Elève (4ème5)'!ED15:EH15,"C"))*2)+((COUNTIF('Elève (4ème5)'!ED15:EH15,"D"))*1))/(COUNTA(ED15:EH15)),"")</f>
        <v>4</v>
      </c>
      <c r="EJ15" s="185" t="str">
        <f t="shared" si="26"/>
        <v>A</v>
      </c>
      <c r="EK15" s="209">
        <f>IF(COUNT(DV15,EB15,EI15)=0,"",SUM(DV15,EB15,EI15)/COUNT(DV15,EB15,EI15))</f>
        <v>3</v>
      </c>
      <c r="EL15" s="207" t="str">
        <f t="shared" si="27"/>
        <v>B</v>
      </c>
      <c r="EM15" s="130" t="s">
        <v>30</v>
      </c>
      <c r="EN15" s="131"/>
      <c r="EO15" s="132"/>
      <c r="EP15" s="184">
        <f>IFERROR((((COUNTIF('Elève (4ème5)'!EM15:EO15,"A"))*4)+((COUNTIF('Elève (4ème5)'!EM15:EO15,"B"))*3)+((COUNTIF('Elève (4ème5)'!EM15:EO15,"C"))*2)+((COUNTIF('Elève (4ème5)'!EM15:EO15,"D"))*1))/(COUNTA(EM15:EO15)),"")</f>
        <v>3</v>
      </c>
      <c r="EQ15" s="185" t="str">
        <f t="shared" si="28"/>
        <v>B</v>
      </c>
      <c r="ER15" s="130"/>
      <c r="ES15" s="131"/>
      <c r="ET15" s="132"/>
      <c r="EU15" s="132"/>
      <c r="EV15" s="184" t="str">
        <f>IFERROR((((COUNTIF('Elève (4ème5)'!ER15:EU15,"A"))*4)+((COUNTIF('Elève (4ème5)'!ER15:EU15,"B"))*3)+((COUNTIF('Elève (4ème5)'!ER15:EU15,"C"))*2)+((COUNTIF('Elève (4ème5)'!ER15:EU15,"D"))*1))/(COUNTA(ER15:EU15)),"")</f>
        <v/>
      </c>
      <c r="EW15" s="185" t="str">
        <f t="shared" si="29"/>
        <v/>
      </c>
      <c r="EX15" s="130"/>
      <c r="EY15" s="131"/>
      <c r="EZ15" s="132" t="s">
        <v>29</v>
      </c>
      <c r="FA15" s="132"/>
      <c r="FB15" s="132"/>
      <c r="FC15" s="184">
        <f>IFERROR((((COUNTIF('Elève (4ème5)'!EX15:FB15,"A"))*4)+((COUNTIF('Elève (4ème5)'!EX15:FB15,"B"))*3)+((COUNTIF('Elève (4ème5)'!EX15:FB15,"C"))*2)+((COUNTIF('Elève (4ème5)'!EX15:FB15,"D"))*1))/(COUNTA(EX15:FB15)),"")</f>
        <v>4</v>
      </c>
      <c r="FD15" s="185" t="str">
        <f t="shared" si="30"/>
        <v>A</v>
      </c>
      <c r="FE15" s="209">
        <f>IF(COUNT(EP15,EV15,FC15)=0,"",SUM(EP15,EV15,FC15)/COUNT(EP15,EV15,FC15))</f>
        <v>3.5</v>
      </c>
      <c r="FF15" s="207" t="str">
        <f t="shared" si="31"/>
        <v>B</v>
      </c>
      <c r="FG15" s="130" t="s">
        <v>32</v>
      </c>
      <c r="FH15" s="131"/>
      <c r="FI15" s="132"/>
      <c r="FJ15" s="184">
        <f>IFERROR((((COUNTIF('Elève (4ème5)'!FG15:FI15,"A"))*4)+((COUNTIF('Elève (4ème5)'!FG15:FI15,"B"))*3)+((COUNTIF('Elève (4ème5)'!FG15:FI15,"C"))*2)+((COUNTIF('Elève (4ème5)'!FG15:FI15,"D"))*1))/(COUNTA(FG15:FI15)),"")</f>
        <v>1</v>
      </c>
      <c r="FK15" s="185" t="str">
        <f t="shared" si="32"/>
        <v>D</v>
      </c>
      <c r="FL15" s="130"/>
      <c r="FM15" s="131" t="s">
        <v>30</v>
      </c>
      <c r="FN15" s="132"/>
      <c r="FO15" s="132"/>
      <c r="FP15" s="184">
        <f>IFERROR((((COUNTIF('Elève (4ème5)'!FL15:FO15,"A"))*4)+((COUNTIF('Elève (4ème5)'!FL15:FO15,"B"))*3)+((COUNTIF('Elève (4ème5)'!FL15:FO15,"C"))*2)+((COUNTIF('Elève (4ème5)'!FL15:FO15,"D"))*1))/(COUNTA(FL15:FO15)),"")</f>
        <v>3</v>
      </c>
      <c r="FQ15" s="185" t="str">
        <f t="shared" si="33"/>
        <v>B</v>
      </c>
      <c r="FR15" s="130"/>
      <c r="FS15" s="131"/>
      <c r="FT15" s="132" t="s">
        <v>29</v>
      </c>
      <c r="FU15" s="132"/>
      <c r="FV15" s="132"/>
      <c r="FW15" s="184">
        <f>IFERROR((((COUNTIF('Elève (4ème5)'!FR15:FV15,"A"))*4)+((COUNTIF('Elève (4ème5)'!FR15:FV15,"B"))*3)+((COUNTIF('Elève (4ème5)'!FR15:FV15,"C"))*2)+((COUNTIF('Elève (4ème5)'!FR15:FV15,"D"))*1))/(COUNTA(FR15:FV15)),"")</f>
        <v>4</v>
      </c>
      <c r="FX15" s="185" t="str">
        <f t="shared" si="34"/>
        <v>A</v>
      </c>
      <c r="FY15" s="209">
        <f>IF(COUNT(FJ15,FP15,FW15)=0,"",SUM(FJ15,FP15,FW15)/COUNT(FJ15,FP15,FW15))</f>
        <v>2.6666666666666665</v>
      </c>
      <c r="FZ15" s="207" t="str">
        <f t="shared" si="35"/>
        <v>C</v>
      </c>
      <c r="GA15" s="130" t="s">
        <v>30</v>
      </c>
      <c r="GB15" s="131"/>
      <c r="GC15" s="132"/>
      <c r="GD15" s="184">
        <f>IFERROR((((COUNTIF('Elève (4ème5)'!GA15:GC15,"A"))*4)+((COUNTIF('Elève (4ème5)'!GA15:GC15,"B"))*3)+((COUNTIF('Elève (4ème5)'!GA15:GC15,"C"))*2)+((COUNTIF('Elève (4ème5)'!GA15:GC15,"D"))*1))/(COUNTA(GA15:GC15)),"")</f>
        <v>3</v>
      </c>
      <c r="GE15" s="185" t="str">
        <f t="shared" si="36"/>
        <v>B</v>
      </c>
      <c r="GF15" s="130"/>
      <c r="GG15" s="131" t="s">
        <v>30</v>
      </c>
      <c r="GH15" s="132"/>
      <c r="GI15" s="132"/>
      <c r="GJ15" s="184">
        <f>IFERROR((((COUNTIF('Elève (4ème5)'!GF15:GI15,"A"))*4)+((COUNTIF('Elève (4ème5)'!GF15:GI15,"B"))*3)+((COUNTIF('Elève (4ème5)'!GF15:GI15,"C"))*2)+((COUNTIF('Elève (4ème5)'!GF15:GI15,"D"))*1))/(COUNTA(GF15:GI15)),"")</f>
        <v>3</v>
      </c>
      <c r="GK15" s="185" t="str">
        <f t="shared" si="37"/>
        <v>B</v>
      </c>
      <c r="GL15" s="130"/>
      <c r="GM15" s="131"/>
      <c r="GN15" s="132" t="s">
        <v>29</v>
      </c>
      <c r="GO15" s="132"/>
      <c r="GP15" s="132"/>
      <c r="GQ15" s="184">
        <f>IFERROR((((COUNTIF('Elève (4ème5)'!GL15:GP15,"A"))*4)+((COUNTIF('Elève (4ème5)'!GL15:GP15,"B"))*3)+((COUNTIF('Elève (4ème5)'!GL15:GP15,"C"))*2)+((COUNTIF('Elève (4ème5)'!GL15:GP15,"D"))*1))/(COUNTA(GL15:GP15)),"")</f>
        <v>4</v>
      </c>
      <c r="GR15" s="185" t="str">
        <f t="shared" si="38"/>
        <v>A</v>
      </c>
      <c r="GS15" s="209">
        <f>IF(COUNT(GD15,GJ15,GQ15)=0,"",SUM(GD15,GJ15,GQ15)/COUNT(GD15,GJ15,GQ15))</f>
        <v>3.3333333333333335</v>
      </c>
      <c r="GT15" s="207" t="str">
        <f t="shared" si="39"/>
        <v>B</v>
      </c>
      <c r="GU15" s="130" t="s">
        <v>32</v>
      </c>
      <c r="GV15" s="131"/>
      <c r="GW15" s="132"/>
      <c r="GX15" s="184">
        <f>IFERROR((((COUNTIF('Elève (4ème5)'!GU15:GW15,"A"))*4)+((COUNTIF('Elève (4ème5)'!GU15:GW15,"B"))*3)+((COUNTIF('Elève (4ème5)'!GU15:GW15,"C"))*2)+((COUNTIF('Elève (4ème5)'!GU15:GW15,"D"))*1))/(COUNTA(GU15:GW15)),"")</f>
        <v>1</v>
      </c>
      <c r="GY15" s="185" t="str">
        <f t="shared" si="40"/>
        <v>D</v>
      </c>
      <c r="GZ15" s="130"/>
      <c r="HA15" s="131"/>
      <c r="HB15" s="132"/>
      <c r="HC15" s="132"/>
      <c r="HD15" s="184" t="str">
        <f>IFERROR((((COUNTIF('Elève (4ème5)'!GZ15:HC15,"A"))*4)+((COUNTIF('Elève (4ème5)'!GZ15:HC15,"B"))*3)+((COUNTIF('Elève (4ème5)'!GZ15:HC15,"C"))*2)+((COUNTIF('Elève (4ème5)'!GZ15:HC15,"D"))*1))/(COUNTA(GZ15:HC15)),"")</f>
        <v/>
      </c>
      <c r="HE15" s="185" t="str">
        <f t="shared" si="41"/>
        <v/>
      </c>
      <c r="HF15" s="130"/>
      <c r="HG15" s="131"/>
      <c r="HH15" s="132" t="s">
        <v>29</v>
      </c>
      <c r="HI15" s="132"/>
      <c r="HJ15" s="132"/>
      <c r="HK15" s="184">
        <f>IFERROR((((COUNTIF('Elève (4ème5)'!HF15:HJ15,"A"))*4)+((COUNTIF('Elève (4ème5)'!HF15:HJ15,"B"))*3)+((COUNTIF('Elève (4ème5)'!HF15:HJ15,"C"))*2)+((COUNTIF('Elève (4ème5)'!HF15:HJ15,"D"))*1))/(COUNTA(HF15:HJ15)),"")</f>
        <v>4</v>
      </c>
      <c r="HL15" s="185" t="str">
        <f t="shared" si="42"/>
        <v>A</v>
      </c>
      <c r="HM15" s="209">
        <f>IF(COUNT(GX15,HD15,HK15)=0,"",SUM(GX15,HD15,HK15)/COUNT(GX15,HD15,HK15))</f>
        <v>2.5</v>
      </c>
      <c r="HN15" s="207" t="str">
        <f t="shared" si="43"/>
        <v>C</v>
      </c>
      <c r="HO15" s="130" t="s">
        <v>31</v>
      </c>
      <c r="HP15" s="131"/>
      <c r="HQ15" s="132"/>
      <c r="HR15" s="184">
        <f>IFERROR((((COUNTIF('Elève (4ème5)'!HO15:HQ15,"A"))*4)+((COUNTIF('Elève (4ème5)'!HO15:HQ15,"B"))*3)+((COUNTIF('Elève (4ème5)'!HO15:HQ15,"C"))*2)+((COUNTIF('Elève (4ème5)'!HO15:HQ15,"D"))*1))/(COUNTA(HO15:HQ15)),"")</f>
        <v>2</v>
      </c>
      <c r="HS15" s="185" t="str">
        <f t="shared" si="44"/>
        <v>C</v>
      </c>
      <c r="HT15" s="130"/>
      <c r="HU15" s="131" t="s">
        <v>30</v>
      </c>
      <c r="HV15" s="132"/>
      <c r="HW15" s="132"/>
      <c r="HX15" s="184">
        <f>IFERROR((((COUNTIF('Elève (4ème5)'!HT15:HW15,"A"))*4)+((COUNTIF('Elève (4ème5)'!HT15:HW15,"B"))*3)+((COUNTIF('Elève (4ème5)'!HT15:HW15,"C"))*2)+((COUNTIF('Elève (4ème5)'!HT15:HW15,"D"))*1))/(COUNTA(HT15:HW15)),"")</f>
        <v>3</v>
      </c>
      <c r="HY15" s="185" t="str">
        <f t="shared" si="45"/>
        <v>B</v>
      </c>
      <c r="HZ15" s="130"/>
      <c r="IA15" s="131"/>
      <c r="IB15" s="132" t="s">
        <v>29</v>
      </c>
      <c r="IC15" s="132"/>
      <c r="ID15" s="132"/>
      <c r="IE15" s="184">
        <f>IFERROR((((COUNTIF('Elève (4ème5)'!HZ15:ID15,"A"))*4)+((COUNTIF('Elève (4ème5)'!HZ15:ID15,"B"))*3)+((COUNTIF('Elève (4ème5)'!HZ15:ID15,"C"))*2)+((COUNTIF('Elève (4ème5)'!HZ15:ID15,"D"))*1))/(COUNTA(HZ15:ID15)),"")</f>
        <v>4</v>
      </c>
      <c r="IF15" s="185" t="str">
        <f t="shared" si="46"/>
        <v>A</v>
      </c>
      <c r="IG15" s="209">
        <f>IF(COUNT(HR15,HX15,IE15)=0,"",SUM(HR15,HX15,IE15)/COUNT(HR15,HX15,IE15))</f>
        <v>3</v>
      </c>
      <c r="IH15" s="207" t="str">
        <f t="shared" si="47"/>
        <v>B</v>
      </c>
      <c r="II15" s="130" t="s">
        <v>31</v>
      </c>
      <c r="IJ15" s="131"/>
      <c r="IK15" s="132"/>
      <c r="IL15" s="184">
        <f>IFERROR((((COUNTIF('Elève (4ème5)'!II15:IK15,"A"))*4)+((COUNTIF('Elève (4ème5)'!II15:IK15,"B"))*3)+((COUNTIF('Elève (4ème5)'!II15:IK15,"C"))*2)+((COUNTIF('Elève (4ème5)'!II15:IK15,"D"))*1))/(COUNTA(II15:IK15)),"")</f>
        <v>2</v>
      </c>
      <c r="IM15" s="185" t="str">
        <f t="shared" si="48"/>
        <v>C</v>
      </c>
      <c r="IN15" s="130"/>
      <c r="IO15" s="131" t="s">
        <v>30</v>
      </c>
      <c r="IP15" s="132"/>
      <c r="IQ15" s="132"/>
      <c r="IR15" s="184">
        <f>IFERROR((((COUNTIF('Elève (4ème5)'!IN15:IQ15,"A"))*4)+((COUNTIF('Elève (4ème5)'!IN15:IQ15,"B"))*3)+((COUNTIF('Elève (4ème5)'!IN15:IQ15,"C"))*2)+((COUNTIF('Elève (4ème5)'!IN15:IQ15,"D"))*1))/(COUNTA(IN15:IQ15)),"")</f>
        <v>3</v>
      </c>
      <c r="IS15" s="185" t="str">
        <f t="shared" si="49"/>
        <v>B</v>
      </c>
      <c r="IT15" s="130"/>
      <c r="IU15" s="131"/>
      <c r="IV15" s="132" t="s">
        <v>29</v>
      </c>
      <c r="IW15" s="132"/>
      <c r="IX15" s="132"/>
      <c r="IY15" s="184">
        <f>IFERROR((((COUNTIF('Elève (4ème5)'!IT15:IX15,"A"))*4)+((COUNTIF('Elève (4ème5)'!IT15:IX15,"B"))*3)+((COUNTIF('Elève (4ème5)'!IT15:IX15,"C"))*2)+((COUNTIF('Elève (4ème5)'!IT15:IX15,"D"))*1))/(COUNTA(IT15:IX15)),"")</f>
        <v>4</v>
      </c>
      <c r="IZ15" s="185" t="str">
        <f t="shared" si="50"/>
        <v>A</v>
      </c>
      <c r="JA15" s="209">
        <f>IF(COUNT(IL15,IR15,IY15)=0,"",SUM(IL15,IR15,IY15)/COUNT(IL15,IR15,IY15))</f>
        <v>3</v>
      </c>
      <c r="JB15" s="207" t="str">
        <f t="shared" si="51"/>
        <v>B</v>
      </c>
      <c r="JC15" s="130" t="s">
        <v>30</v>
      </c>
      <c r="JD15" s="131"/>
      <c r="JE15" s="132"/>
      <c r="JF15" s="184">
        <f>IFERROR((((COUNTIF('Elève (4ème5)'!JC15:JE15,"A"))*4)+((COUNTIF('Elève (4ème5)'!JC15:JE15,"B"))*3)+((COUNTIF('Elève (4ème5)'!JC15:JE15,"C"))*2)+((COUNTIF('Elève (4ème5)'!JC15:JE15,"D"))*1))/(COUNTA(JC15:JE15)),"")</f>
        <v>3</v>
      </c>
      <c r="JG15" s="185" t="str">
        <f t="shared" si="52"/>
        <v>B</v>
      </c>
      <c r="JH15" s="130"/>
      <c r="JI15" s="131" t="s">
        <v>30</v>
      </c>
      <c r="JJ15" s="132"/>
      <c r="JK15" s="132"/>
      <c r="JL15" s="184">
        <f>IFERROR((((COUNTIF('Elève (4ème5)'!JH15:JK15,"A"))*4)+((COUNTIF('Elève (4ème5)'!JH15:JK15,"B"))*3)+((COUNTIF('Elève (4ème5)'!JH15:JK15,"C"))*2)+((COUNTIF('Elève (4ème5)'!JH15:JK15,"D"))*1))/(COUNTA(JH15:JK15)),"")</f>
        <v>3</v>
      </c>
      <c r="JM15" s="185" t="str">
        <f t="shared" si="53"/>
        <v>B</v>
      </c>
      <c r="JN15" s="130"/>
      <c r="JO15" s="131"/>
      <c r="JP15" s="132" t="s">
        <v>29</v>
      </c>
      <c r="JQ15" s="132"/>
      <c r="JR15" s="132"/>
      <c r="JS15" s="184">
        <f>IFERROR((((COUNTIF('Elève (4ème5)'!JN15:JR15,"A"))*4)+((COUNTIF('Elève (4ème5)'!JN15:JR15,"B"))*3)+((COUNTIF('Elève (4ème5)'!JN15:JR15,"C"))*2)+((COUNTIF('Elève (4ème5)'!JN15:JR15,"D"))*1))/(COUNTA(JN15:JR15)),"")</f>
        <v>4</v>
      </c>
      <c r="JT15" s="185" t="str">
        <f t="shared" si="54"/>
        <v>A</v>
      </c>
      <c r="JU15" s="209">
        <f>IF(COUNT(JF15,JL15,JS15)=0,"",SUM(JF15,JL15,JS15)/COUNT(JF15,JL15,JS15))</f>
        <v>3.3333333333333335</v>
      </c>
      <c r="JV15" s="207" t="str">
        <f t="shared" si="55"/>
        <v>B</v>
      </c>
      <c r="JW15" s="130" t="s">
        <v>30</v>
      </c>
      <c r="JX15" s="131"/>
      <c r="JY15" s="132"/>
      <c r="JZ15" s="184">
        <f>IFERROR((((COUNTIF('Elève (4ème5)'!JW15:JY15,"A"))*4)+((COUNTIF('Elève (4ème5)'!JW15:JY15,"B"))*3)+((COUNTIF('Elève (4ème5)'!JW15:JY15,"C"))*2)+((COUNTIF('Elève (4ème5)'!JW15:JY15,"D"))*1))/(COUNTA(JW15:JY15)),"")</f>
        <v>3</v>
      </c>
      <c r="KA15" s="185" t="str">
        <f t="shared" si="56"/>
        <v>B</v>
      </c>
      <c r="KB15" s="130"/>
      <c r="KC15" s="131" t="s">
        <v>30</v>
      </c>
      <c r="KD15" s="132"/>
      <c r="KE15" s="132"/>
      <c r="KF15" s="184">
        <f>IFERROR((((COUNTIF('Elève (4ème5)'!KB15:KE15,"A"))*4)+((COUNTIF('Elève (4ème5)'!KB15:KE15,"B"))*3)+((COUNTIF('Elève (4ème5)'!KB15:KE15,"C"))*2)+((COUNTIF('Elève (4ème5)'!KB15:KE15,"D"))*1))/(COUNTA(KB15:KE15)),"")</f>
        <v>3</v>
      </c>
      <c r="KG15" s="185" t="str">
        <f t="shared" si="57"/>
        <v>B</v>
      </c>
      <c r="KH15" s="130"/>
      <c r="KI15" s="131"/>
      <c r="KJ15" s="132" t="s">
        <v>29</v>
      </c>
      <c r="KK15" s="132"/>
      <c r="KL15" s="132"/>
      <c r="KM15" s="184">
        <f>IFERROR((((COUNTIF('Elève (4ème5)'!KH15:KL15,"A"))*4)+((COUNTIF('Elève (4ème5)'!KH15:KL15,"B"))*3)+((COUNTIF('Elève (4ème5)'!KH15:KL15,"C"))*2)+((COUNTIF('Elève (4ème5)'!KH15:KL15,"D"))*1))/(COUNTA(KH15:KL15)),"")</f>
        <v>4</v>
      </c>
      <c r="KN15" s="185" t="str">
        <f t="shared" si="58"/>
        <v>A</v>
      </c>
      <c r="KO15" s="209">
        <f>IF(COUNT(JZ15,KF15,KM15)=0,"",SUM(JZ15,KF15,KM15)/COUNT(JZ15,KF15,KM15))</f>
        <v>3.3333333333333335</v>
      </c>
      <c r="KP15" s="207" t="str">
        <f t="shared" si="59"/>
        <v>B</v>
      </c>
      <c r="KQ15" s="130" t="s">
        <v>32</v>
      </c>
      <c r="KR15" s="131"/>
      <c r="KS15" s="132"/>
      <c r="KT15" s="184">
        <f>IFERROR((((COUNTIF('Elève (4ème5)'!KQ15:KS15,"A"))*4)+((COUNTIF('Elève (4ème5)'!KQ15:KS15,"B"))*3)+((COUNTIF('Elève (4ème5)'!KQ15:KS15,"C"))*2)+((COUNTIF('Elève (4ème5)'!KQ15:KS15,"D"))*1))/(COUNTA(KQ15:KS15)),"")</f>
        <v>1</v>
      </c>
      <c r="KU15" s="185" t="str">
        <f t="shared" si="60"/>
        <v>D</v>
      </c>
      <c r="KV15" s="130"/>
      <c r="KW15" s="131" t="s">
        <v>30</v>
      </c>
      <c r="KX15" s="132"/>
      <c r="KY15" s="132"/>
      <c r="KZ15" s="184">
        <f>IFERROR((((COUNTIF('Elève (4ème5)'!KV15:KY15,"A"))*4)+((COUNTIF('Elève (4ème5)'!KV15:KY15,"B"))*3)+((COUNTIF('Elève (4ème5)'!KV15:KY15,"C"))*2)+((COUNTIF('Elève (4ème5)'!KV15:KY15,"D"))*1))/(COUNTA(KV15:KY15)),"")</f>
        <v>3</v>
      </c>
      <c r="LA15" s="185" t="str">
        <f t="shared" si="61"/>
        <v>B</v>
      </c>
      <c r="LB15" s="130"/>
      <c r="LC15" s="131"/>
      <c r="LD15" s="132" t="s">
        <v>29</v>
      </c>
      <c r="LE15" s="132"/>
      <c r="LF15" s="132"/>
      <c r="LG15" s="184">
        <f>IFERROR((((COUNTIF('Elève (4ème5)'!LB15:LF15,"A"))*4)+((COUNTIF('Elève (4ème5)'!LB15:LF15,"B"))*3)+((COUNTIF('Elève (4ème5)'!LB15:LF15,"C"))*2)+((COUNTIF('Elève (4ème5)'!LB15:LF15,"D"))*1))/(COUNTA(LB15:LF15)),"")</f>
        <v>4</v>
      </c>
      <c r="LH15" s="185" t="str">
        <f t="shared" si="62"/>
        <v>A</v>
      </c>
      <c r="LI15" s="209">
        <f>IF(COUNT(KT15,KZ15,LG15)=0,"",SUM(KT15,KZ15,LG15)/COUNT(KT15,KZ15,LG15))</f>
        <v>2.6666666666666665</v>
      </c>
      <c r="LJ15" s="207" t="str">
        <f t="shared" si="63"/>
        <v>C</v>
      </c>
      <c r="LK15" s="130"/>
      <c r="LL15" s="131"/>
      <c r="LM15" s="132"/>
      <c r="LN15" s="184" t="str">
        <f>IFERROR((((COUNTIF('Elève (4ème5)'!LK15:LM15,"A"))*4)+((COUNTIF('Elève (4ème5)'!LK15:LM15,"B"))*3)+((COUNTIF('Elève (4ème5)'!LK15:LM15,"C"))*2)+((COUNTIF('Elève (4ème5)'!LK15:LM15,"D"))*1))/(COUNTA(LK15:LM15)),"")</f>
        <v/>
      </c>
      <c r="LO15" s="185" t="str">
        <f t="shared" si="64"/>
        <v/>
      </c>
      <c r="LP15" s="130"/>
      <c r="LQ15" s="131"/>
      <c r="LR15" s="132"/>
      <c r="LS15" s="132"/>
      <c r="LT15" s="184" t="str">
        <f>IFERROR((((COUNTIF('Elève (4ème5)'!LP15:LS15,"A"))*4)+((COUNTIF('Elève (4ème5)'!LP15:LS15,"B"))*3)+((COUNTIF('Elève (4ème5)'!LP15:LS15,"C"))*2)+((COUNTIF('Elève (4ème5)'!LP15:LS15,"D"))*1))/(COUNTA(LP15:LS15)),"")</f>
        <v/>
      </c>
      <c r="LU15" s="185" t="str">
        <f t="shared" si="65"/>
        <v/>
      </c>
      <c r="LV15" s="130"/>
      <c r="LW15" s="131"/>
      <c r="LX15" s="132"/>
      <c r="LY15" s="132"/>
      <c r="LZ15" s="132"/>
      <c r="MA15" s="184" t="str">
        <f>IFERROR((((COUNTIF('Elève (4ème5)'!LV15:LZ15,"A"))*4)+((COUNTIF('Elève (4ème5)'!LV15:LZ15,"B"))*3)+((COUNTIF('Elève (4ème5)'!LV15:LZ15,"C"))*2)+((COUNTIF('Elève (4ème5)'!LV15:LZ15,"D"))*1))/(COUNTA(LV15:LZ15)),"")</f>
        <v/>
      </c>
      <c r="MB15" s="185" t="str">
        <f t="shared" si="66"/>
        <v/>
      </c>
      <c r="MC15" s="209" t="str">
        <f>IF(COUNT(LN15,LT15,MA15)=0,"",SUM(LN15,LT15,MA15)/COUNT(LN15,LT15,MA15))</f>
        <v/>
      </c>
      <c r="MD15" s="207" t="str">
        <f t="shared" si="67"/>
        <v/>
      </c>
      <c r="ME15" s="130" t="s">
        <v>31</v>
      </c>
      <c r="MF15" s="131"/>
      <c r="MG15" s="132"/>
      <c r="MH15" s="184">
        <f>IFERROR((((COUNTIF('Elève (4ème5)'!ME15:MG15,"A"))*4)+((COUNTIF('Elève (4ème5)'!ME15:MG15,"B"))*3)+((COUNTIF('Elève (4ème5)'!ME15:MG15,"C"))*2)+((COUNTIF('Elève (4ème5)'!ME15:MG15,"D"))*1))/(COUNTA(ME15:MG15)),"")</f>
        <v>2</v>
      </c>
      <c r="MI15" s="185" t="str">
        <f t="shared" si="68"/>
        <v>C</v>
      </c>
      <c r="MJ15" s="130"/>
      <c r="MK15" s="131" t="s">
        <v>30</v>
      </c>
      <c r="ML15" s="132"/>
      <c r="MM15" s="132"/>
      <c r="MN15" s="184">
        <f>IFERROR((((COUNTIF('Elève (4ème5)'!MJ15:MM15,"A"))*4)+((COUNTIF('Elève (4ème5)'!MJ15:MM15,"B"))*3)+((COUNTIF('Elève (4ème5)'!MJ15:MM15,"C"))*2)+((COUNTIF('Elève (4ème5)'!MJ15:MM15,"D"))*1))/(COUNTA(MJ15:MM15)),"")</f>
        <v>3</v>
      </c>
      <c r="MO15" s="185" t="str">
        <f t="shared" si="69"/>
        <v>B</v>
      </c>
      <c r="MP15" s="130"/>
      <c r="MQ15" s="131"/>
      <c r="MR15" s="132" t="s">
        <v>29</v>
      </c>
      <c r="MS15" s="132"/>
      <c r="MT15" s="132"/>
      <c r="MU15" s="184">
        <f>IFERROR((((COUNTIF('Elève (4ème5)'!MP15:MT15,"A"))*4)+((COUNTIF('Elève (4ème5)'!MP15:MT15,"B"))*3)+((COUNTIF('Elève (4ème5)'!MP15:MT15,"C"))*2)+((COUNTIF('Elève (4ème5)'!MP15:MT15,"D"))*1))/(COUNTA(MP15:MT15)),"")</f>
        <v>4</v>
      </c>
      <c r="MV15" s="185" t="str">
        <f t="shared" si="70"/>
        <v>A</v>
      </c>
      <c r="MW15" s="209">
        <f>IF(COUNT(MH15,MN15,MU15)=0,"",SUM(MH15,MN15,MU15)/COUNT(MH15,MN15,MU15))</f>
        <v>3</v>
      </c>
      <c r="MX15" s="207" t="str">
        <f t="shared" si="71"/>
        <v>B</v>
      </c>
      <c r="MY15" s="130" t="s">
        <v>32</v>
      </c>
      <c r="MZ15" s="131"/>
      <c r="NA15" s="132"/>
      <c r="NB15" s="184">
        <f>IFERROR((((COUNTIF('Elève (4ème5)'!MY15:NA15,"A"))*4)+((COUNTIF('Elève (4ème5)'!MY15:NA15,"B"))*3)+((COUNTIF('Elève (4ème5)'!MY15:NA15,"C"))*2)+((COUNTIF('Elève (4ème5)'!MY15:NA15,"D"))*1))/(COUNTA(MY15:NA15)),"")</f>
        <v>1</v>
      </c>
      <c r="NC15" s="185" t="str">
        <f t="shared" si="72"/>
        <v>D</v>
      </c>
      <c r="ND15" s="130"/>
      <c r="NE15" s="131" t="s">
        <v>30</v>
      </c>
      <c r="NF15" s="132"/>
      <c r="NG15" s="132"/>
      <c r="NH15" s="184">
        <f>IFERROR((((COUNTIF('Elève (4ème5)'!ND15:NG15,"A"))*4)+((COUNTIF('Elève (4ème5)'!ND15:NG15,"B"))*3)+((COUNTIF('Elève (4ème5)'!ND15:NG15,"C"))*2)+((COUNTIF('Elève (4ème5)'!ND15:NG15,"D"))*1))/(COUNTA(ND15:NG15)),"")</f>
        <v>3</v>
      </c>
      <c r="NI15" s="185" t="str">
        <f t="shared" si="73"/>
        <v>B</v>
      </c>
      <c r="NJ15" s="130"/>
      <c r="NK15" s="131"/>
      <c r="NL15" s="132" t="s">
        <v>29</v>
      </c>
      <c r="NM15" s="132"/>
      <c r="NN15" s="132"/>
      <c r="NO15" s="184">
        <f>IFERROR((((COUNTIF('Elève (4ème5)'!NJ15:NN15,"A"))*4)+((COUNTIF('Elève (4ème5)'!NJ15:NN15,"B"))*3)+((COUNTIF('Elève (4ème5)'!NJ15:NN15,"C"))*2)+((COUNTIF('Elève (4ème5)'!NJ15:NN15,"D"))*1))/(COUNTA(NJ15:NN15)),"")</f>
        <v>4</v>
      </c>
      <c r="NP15" s="185" t="str">
        <f t="shared" si="74"/>
        <v>A</v>
      </c>
      <c r="NQ15" s="209">
        <f>IF(COUNT(NB15,NH15,NO15)=0,"",SUM(NB15,NH15,NO15)/COUNT(NB15,NH15,NO15))</f>
        <v>2.6666666666666665</v>
      </c>
      <c r="NR15" s="207" t="str">
        <f t="shared" si="75"/>
        <v>C</v>
      </c>
      <c r="NS15" s="130" t="s">
        <v>31</v>
      </c>
      <c r="NT15" s="131"/>
      <c r="NU15" s="132"/>
      <c r="NV15" s="184">
        <f>IFERROR((((COUNTIF('Elève (4ème5)'!NS15:NU15,"A"))*4)+((COUNTIF('Elève (4ème5)'!NS15:NU15,"B"))*3)+((COUNTIF('Elève (4ème5)'!NS15:NU15,"C"))*2)+((COUNTIF('Elève (4ème5)'!NS15:NU15,"D"))*1))/(COUNTA(NS15:NU15)),"")</f>
        <v>2</v>
      </c>
      <c r="NW15" s="185" t="str">
        <f t="shared" si="76"/>
        <v>C</v>
      </c>
      <c r="NX15" s="130"/>
      <c r="NY15" s="131" t="s">
        <v>30</v>
      </c>
      <c r="NZ15" s="132"/>
      <c r="OA15" s="132"/>
      <c r="OB15" s="184">
        <f>IFERROR((((COUNTIF('Elève (4ème5)'!NX15:OA15,"A"))*4)+((COUNTIF('Elève (4ème5)'!NX15:OA15,"B"))*3)+((COUNTIF('Elève (4ème5)'!NX15:OA15,"C"))*2)+((COUNTIF('Elève (4ème5)'!NX15:OA15,"D"))*1))/(COUNTA(NX15:OA15)),"")</f>
        <v>3</v>
      </c>
      <c r="OC15" s="185" t="str">
        <f t="shared" si="77"/>
        <v>B</v>
      </c>
      <c r="OD15" s="130"/>
      <c r="OE15" s="131"/>
      <c r="OF15" s="132" t="s">
        <v>29</v>
      </c>
      <c r="OG15" s="132"/>
      <c r="OH15" s="132"/>
      <c r="OI15" s="184">
        <f>IFERROR((((COUNTIF('Elève (4ème5)'!OD15:OH15,"A"))*4)+((COUNTIF('Elève (4ème5)'!OD15:OH15,"B"))*3)+((COUNTIF('Elève (4ème5)'!OD15:OH15,"C"))*2)+((COUNTIF('Elève (4ème5)'!OD15:OH15,"D"))*1))/(COUNTA(OD15:OH15)),"")</f>
        <v>4</v>
      </c>
      <c r="OJ15" s="185" t="str">
        <f t="shared" si="78"/>
        <v>A</v>
      </c>
      <c r="OK15" s="209">
        <f>IF(COUNT(NV15,OB15,OI15)=0,"",SUM(NV15,OB15,OI15)/COUNT(NV15,OB15,OI15))</f>
        <v>3</v>
      </c>
      <c r="OL15" s="207" t="str">
        <f t="shared" si="79"/>
        <v>B</v>
      </c>
      <c r="OM15" s="130" t="s">
        <v>31</v>
      </c>
      <c r="ON15" s="131"/>
      <c r="OO15" s="132"/>
      <c r="OP15" s="184">
        <f>IFERROR((((COUNTIF('Elève (4ème5)'!OM15:OO15,"A"))*4)+((COUNTIF('Elève (4ème5)'!OM15:OO15,"B"))*3)+((COUNTIF('Elève (4ème5)'!OM15:OO15,"C"))*2)+((COUNTIF('Elève (4ème5)'!OM15:OO15,"D"))*1))/(COUNTA(OM15:OO15)),"")</f>
        <v>2</v>
      </c>
      <c r="OQ15" s="185" t="str">
        <f t="shared" si="80"/>
        <v>C</v>
      </c>
      <c r="OR15" s="130"/>
      <c r="OS15" s="131" t="s">
        <v>30</v>
      </c>
      <c r="OT15" s="132"/>
      <c r="OU15" s="132"/>
      <c r="OV15" s="184">
        <f>IFERROR((((COUNTIF('Elève (4ème5)'!OR15:OU15,"A"))*4)+((COUNTIF('Elève (4ème5)'!OR15:OU15,"B"))*3)+((COUNTIF('Elève (4ème5)'!OR15:OU15,"C"))*2)+((COUNTIF('Elève (4ème5)'!OR15:OU15,"D"))*1))/(COUNTA(OR15:OU15)),"")</f>
        <v>3</v>
      </c>
      <c r="OW15" s="185" t="str">
        <f t="shared" si="81"/>
        <v>B</v>
      </c>
      <c r="OX15" s="130"/>
      <c r="OY15" s="131"/>
      <c r="OZ15" s="132" t="s">
        <v>29</v>
      </c>
      <c r="PA15" s="132"/>
      <c r="PB15" s="132"/>
      <c r="PC15" s="184">
        <f>IFERROR((((COUNTIF('Elève (4ème5)'!OX15:PB15,"A"))*4)+((COUNTIF('Elève (4ème5)'!OX15:PB15,"B"))*3)+((COUNTIF('Elève (4ème5)'!OX15:PB15,"C"))*2)+((COUNTIF('Elève (4ème5)'!OX15:PB15,"D"))*1))/(COUNTA(OX15:PB15)),"")</f>
        <v>4</v>
      </c>
      <c r="PD15" s="185" t="str">
        <f t="shared" si="82"/>
        <v>A</v>
      </c>
      <c r="PE15" s="209">
        <f>IF(COUNT(OP15,OV15,PC15)=0,"",SUM(OP15,OV15,PC15)/COUNT(OP15,OV15,PC15))</f>
        <v>3</v>
      </c>
      <c r="PF15" s="207" t="str">
        <f t="shared" si="83"/>
        <v>B</v>
      </c>
      <c r="PG15" s="130" t="s">
        <v>30</v>
      </c>
      <c r="PH15" s="131"/>
      <c r="PI15" s="132"/>
      <c r="PJ15" s="184">
        <f>IFERROR((((COUNTIF('Elève (4ème5)'!PG15:PI15,"A"))*4)+((COUNTIF('Elève (4ème5)'!PG15:PI15,"B"))*3)+((COUNTIF('Elève (4ème5)'!PG15:PI15,"C"))*2)+((COUNTIF('Elève (4ème5)'!PG15:PI15,"D"))*1))/(COUNTA(PG15:PI15)),"")</f>
        <v>3</v>
      </c>
      <c r="PK15" s="185" t="str">
        <f t="shared" si="84"/>
        <v>B</v>
      </c>
      <c r="PL15" s="130"/>
      <c r="PM15" s="131" t="s">
        <v>30</v>
      </c>
      <c r="PN15" s="132"/>
      <c r="PO15" s="132"/>
      <c r="PP15" s="184">
        <f>IFERROR((((COUNTIF('Elève (4ème5)'!PL15:PO15,"A"))*4)+((COUNTIF('Elève (4ème5)'!PL15:PO15,"B"))*3)+((COUNTIF('Elève (4ème5)'!PL15:PO15,"C"))*2)+((COUNTIF('Elève (4ème5)'!PL15:PO15,"D"))*1))/(COUNTA(PL15:PO15)),"")</f>
        <v>3</v>
      </c>
      <c r="PQ15" s="185" t="str">
        <f t="shared" si="85"/>
        <v>B</v>
      </c>
      <c r="PR15" s="130"/>
      <c r="PS15" s="131"/>
      <c r="PT15" s="132" t="s">
        <v>29</v>
      </c>
      <c r="PU15" s="132"/>
      <c r="PV15" s="132"/>
      <c r="PW15" s="184">
        <f>IFERROR((((COUNTIF('Elève (4ème5)'!PR15:PV15,"A"))*4)+((COUNTIF('Elève (4ème5)'!PR15:PV15,"B"))*3)+((COUNTIF('Elève (4ème5)'!PR15:PV15,"C"))*2)+((COUNTIF('Elève (4ème5)'!PR15:PV15,"D"))*1))/(COUNTA(PR15:PV15)),"")</f>
        <v>4</v>
      </c>
      <c r="PX15" s="185" t="str">
        <f t="shared" si="86"/>
        <v>A</v>
      </c>
      <c r="PY15" s="209">
        <f>IF(COUNT(PJ15,PP15,PW15)=0,"",SUM(PJ15,PP15,PW15)/COUNT(PJ15,PP15,PW15))</f>
        <v>3.3333333333333335</v>
      </c>
      <c r="PZ15" s="207" t="str">
        <f t="shared" si="87"/>
        <v>B</v>
      </c>
      <c r="QA15" s="130" t="s">
        <v>29</v>
      </c>
      <c r="QB15" s="131"/>
      <c r="QC15" s="132"/>
      <c r="QD15" s="184">
        <f>IFERROR((((COUNTIF('Elève (4ème5)'!QA15:QC15,"A"))*4)+((COUNTIF('Elève (4ème5)'!QA15:QC15,"B"))*3)+((COUNTIF('Elève (4ème5)'!QA15:QC15,"C"))*2)+((COUNTIF('Elève (4ème5)'!QA15:QC15,"D"))*1))/(COUNTA(QA15:QC15)),"")</f>
        <v>4</v>
      </c>
      <c r="QE15" s="185" t="str">
        <f t="shared" si="88"/>
        <v>A</v>
      </c>
      <c r="QF15" s="130"/>
      <c r="QG15" s="131" t="s">
        <v>30</v>
      </c>
      <c r="QH15" s="132"/>
      <c r="QI15" s="132"/>
      <c r="QJ15" s="184">
        <f>IFERROR((((COUNTIF('Elève (4ème5)'!QF15:QI15,"A"))*4)+((COUNTIF('Elève (4ème5)'!QF15:QI15,"B"))*3)+((COUNTIF('Elève (4ème5)'!QF15:QI15,"C"))*2)+((COUNTIF('Elève (4ème5)'!QF15:QI15,"D"))*1))/(COUNTA(QF15:QI15)),"")</f>
        <v>3</v>
      </c>
      <c r="QK15" s="185" t="str">
        <f t="shared" si="89"/>
        <v>B</v>
      </c>
      <c r="QL15" s="130"/>
      <c r="QM15" s="131"/>
      <c r="QN15" s="132" t="s">
        <v>29</v>
      </c>
      <c r="QO15" s="132"/>
      <c r="QP15" s="132"/>
      <c r="QQ15" s="184">
        <f>IFERROR((((COUNTIF('Elève (4ème5)'!QL15:QP15,"A"))*4)+((COUNTIF('Elève (4ème5)'!QL15:QP15,"B"))*3)+((COUNTIF('Elève (4ème5)'!QL15:QP15,"C"))*2)+((COUNTIF('Elève (4ème5)'!QL15:QP15,"D"))*1))/(COUNTA(QL15:QP15)),"")</f>
        <v>4</v>
      </c>
      <c r="QR15" s="185" t="str">
        <f t="shared" si="90"/>
        <v>A</v>
      </c>
      <c r="QS15" s="209">
        <f>IF(COUNT(QD15,QJ15,QQ15)=0,"",SUM(QD15,QJ15,QQ15)/COUNT(QD15,QJ15,QQ15))</f>
        <v>3.6666666666666665</v>
      </c>
      <c r="QT15" s="207" t="str">
        <f t="shared" si="91"/>
        <v>B</v>
      </c>
      <c r="QU15" s="130" t="s">
        <v>31</v>
      </c>
      <c r="QV15" s="131"/>
      <c r="QW15" s="132"/>
      <c r="QX15" s="184">
        <f>IFERROR((((COUNTIF('Elève (4ème5)'!QU15:QW15,"A"))*4)+((COUNTIF('Elève (4ème5)'!QU15:QW15,"B"))*3)+((COUNTIF('Elève (4ème5)'!QU15:QW15,"C"))*2)+((COUNTIF('Elève (4ème5)'!QU15:QW15,"D"))*1))/(COUNTA(QU15:QW15)),"")</f>
        <v>2</v>
      </c>
      <c r="QY15" s="185" t="str">
        <f t="shared" si="92"/>
        <v>C</v>
      </c>
      <c r="QZ15" s="130"/>
      <c r="RA15" s="131" t="s">
        <v>30</v>
      </c>
      <c r="RB15" s="132"/>
      <c r="RC15" s="132"/>
      <c r="RD15" s="184">
        <f>IFERROR((((COUNTIF('Elève (4ème5)'!QZ15:RC15,"A"))*4)+((COUNTIF('Elève (4ème5)'!QZ15:RC15,"B"))*3)+((COUNTIF('Elève (4ème5)'!QZ15:RC15,"C"))*2)+((COUNTIF('Elève (4ème5)'!QZ15:RC15,"D"))*1))/(COUNTA(QZ15:RC15)),"")</f>
        <v>3</v>
      </c>
      <c r="RE15" s="185" t="str">
        <f t="shared" si="93"/>
        <v>B</v>
      </c>
      <c r="RF15" s="130"/>
      <c r="RG15" s="131"/>
      <c r="RH15" s="132" t="s">
        <v>29</v>
      </c>
      <c r="RI15" s="132"/>
      <c r="RJ15" s="132"/>
      <c r="RK15" s="184">
        <f>IFERROR((((COUNTIF('Elève (4ème5)'!RF15:RJ15,"A"))*4)+((COUNTIF('Elève (4ème5)'!RF15:RJ15,"B"))*3)+((COUNTIF('Elève (4ème5)'!RF15:RJ15,"C"))*2)+((COUNTIF('Elève (4ème5)'!RF15:RJ15,"D"))*1))/(COUNTA(RF15:RJ15)),"")</f>
        <v>4</v>
      </c>
      <c r="RL15" s="185" t="str">
        <f t="shared" si="94"/>
        <v>A</v>
      </c>
      <c r="RM15" s="209">
        <f>IF(COUNT(QX15,RD15,RK15)=0,"",SUM(QX15,RD15,RK15)/COUNT(QX15,RD15,RK15))</f>
        <v>3</v>
      </c>
      <c r="RN15" s="207" t="str">
        <f t="shared" si="95"/>
        <v>B</v>
      </c>
      <c r="RO15" s="130" t="s">
        <v>31</v>
      </c>
      <c r="RP15" s="131"/>
      <c r="RQ15" s="132"/>
      <c r="RR15" s="184">
        <f>IFERROR((((COUNTIF('Elève (4ème5)'!RO15:RQ15,"A"))*4)+((COUNTIF('Elève (4ème5)'!RO15:RQ15,"B"))*3)+((COUNTIF('Elève (4ème5)'!RO15:RQ15,"C"))*2)+((COUNTIF('Elève (4ème5)'!RO15:RQ15,"D"))*1))/(COUNTA(RO15:RQ15)),"")</f>
        <v>2</v>
      </c>
      <c r="RS15" s="185" t="str">
        <f t="shared" si="96"/>
        <v>C</v>
      </c>
      <c r="RT15" s="130"/>
      <c r="RU15" s="131" t="s">
        <v>30</v>
      </c>
      <c r="RV15" s="132"/>
      <c r="RW15" s="132"/>
      <c r="RX15" s="184">
        <f>IFERROR((((COUNTIF('Elève (4ème5)'!RT15:RW15,"A"))*4)+((COUNTIF('Elève (4ème5)'!RT15:RW15,"B"))*3)+((COUNTIF('Elève (4ème5)'!RT15:RW15,"C"))*2)+((COUNTIF('Elève (4ème5)'!RT15:RW15,"D"))*1))/(COUNTA(RT15:RW15)),"")</f>
        <v>3</v>
      </c>
      <c r="RY15" s="185" t="str">
        <f t="shared" si="97"/>
        <v>B</v>
      </c>
      <c r="RZ15" s="130"/>
      <c r="SA15" s="131"/>
      <c r="SB15" s="132" t="s">
        <v>29</v>
      </c>
      <c r="SC15" s="132"/>
      <c r="SD15" s="132"/>
      <c r="SE15" s="184">
        <f>IFERROR((((COUNTIF('Elève (4ème5)'!RZ15:SD15,"A"))*4)+((COUNTIF('Elève (4ème5)'!RZ15:SD15,"B"))*3)+((COUNTIF('Elève (4ème5)'!RZ15:SD15,"C"))*2)+((COUNTIF('Elève (4ème5)'!RZ15:SD15,"D"))*1))/(COUNTA(RZ15:SD15)),"")</f>
        <v>4</v>
      </c>
      <c r="SF15" s="185" t="str">
        <f t="shared" si="98"/>
        <v>A</v>
      </c>
      <c r="SG15" s="209">
        <f>IF(COUNT(RR15,RX15,SE15)=0,"",SUM(RR15,RX15,SE15)/COUNT(RR15,RX15,SE15))</f>
        <v>3</v>
      </c>
      <c r="SH15" s="207" t="str">
        <f t="shared" si="99"/>
        <v>B</v>
      </c>
      <c r="SI15" s="130" t="s">
        <v>32</v>
      </c>
      <c r="SJ15" s="131"/>
      <c r="SK15" s="132"/>
      <c r="SL15" s="184">
        <f>IFERROR((((COUNTIF('Elève (4ème5)'!SI15:SK15,"A"))*4)+((COUNTIF('Elève (4ème5)'!SI15:SK15,"B"))*3)+((COUNTIF('Elève (4ème5)'!SI15:SK15,"C"))*2)+((COUNTIF('Elève (4ème5)'!SI15:SK15,"D"))*1))/(COUNTA(SI15:SK15)),"")</f>
        <v>1</v>
      </c>
      <c r="SM15" s="185" t="str">
        <f t="shared" si="100"/>
        <v>D</v>
      </c>
      <c r="SN15" s="130"/>
      <c r="SO15" s="131" t="s">
        <v>30</v>
      </c>
      <c r="SP15" s="132"/>
      <c r="SQ15" s="132"/>
      <c r="SR15" s="184">
        <f>IFERROR((((COUNTIF('Elève (4ème5)'!SN15:SQ15,"A"))*4)+((COUNTIF('Elève (4ème5)'!SN15:SQ15,"B"))*3)+((COUNTIF('Elève (4ème5)'!SN15:SQ15,"C"))*2)+((COUNTIF('Elève (4ème5)'!SN15:SQ15,"D"))*1))/(COUNTA(SN15:SQ15)),"")</f>
        <v>3</v>
      </c>
      <c r="SS15" s="185" t="str">
        <f t="shared" si="101"/>
        <v>B</v>
      </c>
      <c r="ST15" s="130"/>
      <c r="SU15" s="131"/>
      <c r="SV15" s="132" t="s">
        <v>29</v>
      </c>
      <c r="SW15" s="132"/>
      <c r="SX15" s="132"/>
      <c r="SY15" s="184">
        <f>IFERROR((((COUNTIF('Elève (4ème5)'!ST15:SX15,"A"))*4)+((COUNTIF('Elève (4ème5)'!ST15:SX15,"B"))*3)+((COUNTIF('Elève (4ème5)'!ST15:SX15,"C"))*2)+((COUNTIF('Elève (4ème5)'!ST15:SX15,"D"))*1))/(COUNTA(ST15:SX15)),"")</f>
        <v>4</v>
      </c>
      <c r="SZ15" s="185" t="str">
        <f t="shared" si="102"/>
        <v>A</v>
      </c>
      <c r="TA15" s="209">
        <f>IF(COUNT(SL15,SR15,SY15)=0,"",SUM(SL15,SR15,SY15)/COUNT(SL15,SR15,SY15))</f>
        <v>2.6666666666666665</v>
      </c>
      <c r="TB15" s="207" t="str">
        <f t="shared" si="103"/>
        <v>C</v>
      </c>
      <c r="TC15" s="130" t="s">
        <v>31</v>
      </c>
      <c r="TD15" s="131"/>
      <c r="TE15" s="132"/>
      <c r="TF15" s="184">
        <f>IFERROR((((COUNTIF('Elève (4ème5)'!TC15:TE15,"A"))*4)+((COUNTIF('Elève (4ème5)'!TC15:TE15,"B"))*3)+((COUNTIF('Elève (4ème5)'!TC15:TE15,"C"))*2)+((COUNTIF('Elève (4ème5)'!TC15:TE15,"D"))*1))/(COUNTA(TC15:TE15)),"")</f>
        <v>2</v>
      </c>
      <c r="TG15" s="185" t="str">
        <f t="shared" si="104"/>
        <v>C</v>
      </c>
      <c r="TH15" s="130"/>
      <c r="TI15" s="131"/>
      <c r="TJ15" s="132"/>
      <c r="TK15" s="132"/>
      <c r="TL15" s="184" t="str">
        <f>IFERROR((((COUNTIF('Elève (4ème5)'!TH15:TK15,"A"))*4)+((COUNTIF('Elève (4ème5)'!TH15:TK15,"B"))*3)+((COUNTIF('Elève (4ème5)'!TH15:TK15,"C"))*2)+((COUNTIF('Elève (4ème5)'!TH15:TK15,"D"))*1))/(COUNTA(TH15:TK15)),"")</f>
        <v/>
      </c>
      <c r="TM15" s="185" t="str">
        <f t="shared" si="105"/>
        <v/>
      </c>
      <c r="TN15" s="130"/>
      <c r="TO15" s="131"/>
      <c r="TP15" s="132"/>
      <c r="TQ15" s="132"/>
      <c r="TR15" s="132"/>
      <c r="TS15" s="184" t="str">
        <f>IFERROR((((COUNTIF('Elève (4ème5)'!TN15:TR15,"A"))*4)+((COUNTIF('Elève (4ème5)'!TN15:TR15,"B"))*3)+((COUNTIF('Elève (4ème5)'!TN15:TR15,"C"))*2)+((COUNTIF('Elève (4ème5)'!TN15:TR15,"D"))*1))/(COUNTA(TN15:TR15)),"")</f>
        <v/>
      </c>
      <c r="TT15" s="185" t="str">
        <f t="shared" si="106"/>
        <v/>
      </c>
      <c r="TU15" s="209">
        <f>IF(COUNT(TF15,TL15,TS15)=0,"",SUM(TF15,TL15,TS15)/COUNT(TF15,TL15,TS15))</f>
        <v>2</v>
      </c>
      <c r="TV15" s="207" t="str">
        <f t="shared" si="107"/>
        <v>C</v>
      </c>
      <c r="TW15" s="130" t="s">
        <v>31</v>
      </c>
      <c r="TX15" s="131"/>
      <c r="TY15" s="132"/>
      <c r="TZ15" s="184">
        <f>IFERROR((((COUNTIF('Elève (4ème5)'!TW15:TY15,"A"))*4)+((COUNTIF('Elève (4ème5)'!TW15:TY15,"B"))*3)+((COUNTIF('Elève (4ème5)'!TW15:TY15,"C"))*2)+((COUNTIF('Elève (4ème5)'!TW15:TY15,"D"))*1))/(COUNTA(TW15:TY15)),"")</f>
        <v>2</v>
      </c>
      <c r="UA15" s="185" t="str">
        <f t="shared" si="108"/>
        <v>C</v>
      </c>
      <c r="UB15" s="130"/>
      <c r="UC15" s="131" t="s">
        <v>30</v>
      </c>
      <c r="UD15" s="132"/>
      <c r="UE15" s="132"/>
      <c r="UF15" s="184">
        <f>IFERROR((((COUNTIF('Elève (4ème5)'!UB15:UE15,"A"))*4)+((COUNTIF('Elève (4ème5)'!UB15:UE15,"B"))*3)+((COUNTIF('Elève (4ème5)'!UB15:UE15,"C"))*2)+((COUNTIF('Elève (4ème5)'!UB15:UE15,"D"))*1))/(COUNTA(UB15:UE15)),"")</f>
        <v>3</v>
      </c>
      <c r="UG15" s="185" t="str">
        <f t="shared" si="109"/>
        <v>B</v>
      </c>
      <c r="UH15" s="130"/>
      <c r="UI15" s="131"/>
      <c r="UJ15" s="132" t="s">
        <v>29</v>
      </c>
      <c r="UK15" s="132"/>
      <c r="UL15" s="132"/>
      <c r="UM15" s="184">
        <f>IFERROR((((COUNTIF('Elève (4ème5)'!UH15:UL15,"A"))*4)+((COUNTIF('Elève (4ème5)'!UH15:UL15,"B"))*3)+((COUNTIF('Elève (4ème5)'!UH15:UL15,"C"))*2)+((COUNTIF('Elève (4ème5)'!UH15:UL15,"D"))*1))/(COUNTA(UH15:UL15)),"")</f>
        <v>4</v>
      </c>
      <c r="UN15" s="185" t="str">
        <f t="shared" si="110"/>
        <v>A</v>
      </c>
      <c r="UO15" s="209">
        <f>IF(COUNT(TZ15,UF15,UM15)=0,"",SUM(TZ15,UF15,UM15)/COUNT(TZ15,UF15,UM15))</f>
        <v>3</v>
      </c>
      <c r="UP15" s="207" t="str">
        <f t="shared" si="111"/>
        <v>B</v>
      </c>
      <c r="UQ15" s="130"/>
      <c r="UR15" s="131"/>
      <c r="US15" s="132"/>
      <c r="UT15" s="133" t="str">
        <f>IFERROR((((COUNTIF('Elève (4ème5)'!UQ15:US15,"A"))*4)+((COUNTIF('Elève (4ème5)'!UQ15:US15,"B"))*3)+((COUNTIF('Elève (4ème5)'!UQ15:US15,"C"))*2)+((COUNTIF('Elève (4ème5)'!UQ15:US15,"D"))*1))/(COUNTA(UQ15:US15)),"")</f>
        <v/>
      </c>
      <c r="UU15" s="134" t="str">
        <f t="shared" si="112"/>
        <v/>
      </c>
      <c r="UV15" s="130"/>
      <c r="UW15" s="131"/>
      <c r="UX15" s="132"/>
      <c r="UY15" s="133" t="str">
        <f>IFERROR((((COUNTIF('Elève (4ème5)'!UV15:UX15,"A"))*4)+((COUNTIF('Elève (4ème5)'!UV15:UX15,"B"))*3)+((COUNTIF('Elève (4ème5)'!UV15:UX15,"C"))*2)+((COUNTIF('Elève (4ème5)'!UV15:UX15,"D"))*1))/(COUNTA(UV15:UX15)),"")</f>
        <v/>
      </c>
      <c r="UZ15" s="134" t="str">
        <f t="shared" si="113"/>
        <v/>
      </c>
      <c r="VA15" s="130"/>
      <c r="VB15" s="131"/>
      <c r="VC15" s="136"/>
      <c r="VD15" s="133" t="str">
        <f>IFERROR((((COUNTIF('Elève (4ème5)'!VA15:VC15,"A"))*4)+((COUNTIF('Elève (4ème5)'!VA15:VC15,"B"))*3)+((COUNTIF('Elève (4ème5)'!VA15:VC15,"C"))*2)+((COUNTIF('Elève (4ème5)'!VA15:VC15,"D"))*1))/(COUNTA(VA15:VC15)),"")</f>
        <v/>
      </c>
      <c r="VE15" s="134" t="str">
        <f t="shared" si="114"/>
        <v/>
      </c>
      <c r="VF15" s="142" t="str">
        <f>IF(COUNT(UT15,UY15,VD15)=0,"",SUM(UT15,UY15,VD15)/COUNT(UT15,UY15,VD15))</f>
        <v/>
      </c>
      <c r="VG15" s="135" t="str">
        <f t="shared" si="115"/>
        <v/>
      </c>
      <c r="VH15" s="130"/>
      <c r="VI15" s="131"/>
      <c r="VJ15" s="132"/>
      <c r="VK15" s="133" t="str">
        <f>IFERROR((((COUNTIF('Elève (4ème5)'!VH15:VJ15,"A"))*4)+((COUNTIF('Elève (4ème5)'!VH15:VJ15,"B"))*3)+((COUNTIF('Elève (4ème5)'!VH15:VJ15,"C"))*2)+((COUNTIF('Elève (4ème5)'!VH15:VJ15,"D"))*1))/(COUNTA(VH15:VJ15)),"")</f>
        <v/>
      </c>
      <c r="VL15" s="134" t="str">
        <f t="shared" si="116"/>
        <v/>
      </c>
      <c r="VM15" s="130"/>
      <c r="VN15" s="131"/>
      <c r="VO15" s="132"/>
      <c r="VP15" s="133" t="str">
        <f>IFERROR((((COUNTIF('Elève (4ème5)'!VM15:VO15,"A"))*4)+((COUNTIF('Elève (4ème5)'!VM15:VO15,"B"))*3)+((COUNTIF('Elève (4ème5)'!VM15:VO15,"C"))*2)+((COUNTIF('Elève (4ème5)'!VM15:VO15,"D"))*1))/(COUNTA(VM15:VO15)),"")</f>
        <v/>
      </c>
      <c r="VQ15" s="134" t="str">
        <f t="shared" si="117"/>
        <v/>
      </c>
      <c r="VR15" s="130"/>
      <c r="VS15" s="131"/>
      <c r="VT15" s="136"/>
      <c r="VU15" s="133" t="str">
        <f>IFERROR((((COUNTIF('Elève (4ème5)'!VR15:VT15,"A"))*4)+((COUNTIF('Elève (4ème5)'!VR15:VT15,"B"))*3)+((COUNTIF('Elève (4ème5)'!VR15:VT15,"C"))*2)+((COUNTIF('Elève (4ème5)'!VR15:VT15,"D"))*1))/(COUNTA(VR15:VT15)),"")</f>
        <v/>
      </c>
      <c r="VV15" s="134" t="str">
        <f t="shared" si="118"/>
        <v/>
      </c>
      <c r="VW15" s="142" t="str">
        <f>IF(COUNT(VK15,VP15,VU15)=0,"",SUM(VK15,VP15,VU15)/COUNT(VK15,VP15,VU15))</f>
        <v/>
      </c>
      <c r="VX15" s="135" t="str">
        <f t="shared" si="119"/>
        <v/>
      </c>
    </row>
    <row r="16" spans="1:596" s="115" customFormat="1" ht="16.5" customHeight="1" thickBot="1" x14ac:dyDescent="0.6">
      <c r="A16" s="165" t="s">
        <v>22</v>
      </c>
      <c r="B16" s="140">
        <v>2</v>
      </c>
      <c r="C16" s="225"/>
      <c r="D16" s="85"/>
      <c r="E16" s="105"/>
      <c r="F16" s="178">
        <f>IF(COUNT(F17:F19)=0,"",SUM(F17:F19)/COUNT(F17:F19))</f>
        <v>2.5</v>
      </c>
      <c r="G16" s="179" t="str">
        <f t="shared" si="0"/>
        <v>C</v>
      </c>
      <c r="H16" s="225"/>
      <c r="I16" s="85"/>
      <c r="J16" s="85"/>
      <c r="K16" s="105"/>
      <c r="L16" s="178">
        <f>IF(COUNT(L17:L19)=0,"",SUM(L17:L19)/COUNT(L17:L19))</f>
        <v>2.6666666666666665</v>
      </c>
      <c r="M16" s="194" t="str">
        <f t="shared" si="1"/>
        <v>C</v>
      </c>
      <c r="N16" s="172"/>
      <c r="O16" s="110"/>
      <c r="P16" s="110"/>
      <c r="Q16" s="110"/>
      <c r="R16" s="110"/>
      <c r="S16" s="178">
        <f>IF(COUNT(S17:S19)=0,"",SUM(S17:S19)/COUNT(S17:S19))</f>
        <v>2.2222222222222219</v>
      </c>
      <c r="T16" s="202" t="str">
        <f t="shared" si="2"/>
        <v>C</v>
      </c>
      <c r="U16" s="203">
        <f>IF(COUNT(U17:U19)=0,"",SUM(U17:U19)/COUNT(U17:U19))</f>
        <v>2.333333333333333</v>
      </c>
      <c r="V16" s="204" t="str">
        <f t="shared" si="3"/>
        <v>C</v>
      </c>
      <c r="W16" s="215"/>
      <c r="X16" s="85"/>
      <c r="Y16" s="105"/>
      <c r="Z16" s="178">
        <f>IF(COUNT(Z17:Z19)=0,"",SUM(Z17:Z19)/COUNT(Z17:Z19))</f>
        <v>3</v>
      </c>
      <c r="AA16" s="179" t="str">
        <f t="shared" si="4"/>
        <v>B</v>
      </c>
      <c r="AB16" s="225"/>
      <c r="AC16" s="85"/>
      <c r="AD16" s="85"/>
      <c r="AE16" s="105"/>
      <c r="AF16" s="178">
        <f>IF(COUNT(AF17:AF19)=0,"",SUM(AF17:AF19)/COUNT(AF17:AF19))</f>
        <v>2.6666666666666665</v>
      </c>
      <c r="AG16" s="194" t="str">
        <f t="shared" si="5"/>
        <v>C</v>
      </c>
      <c r="AH16" s="172"/>
      <c r="AI16" s="110"/>
      <c r="AJ16" s="110"/>
      <c r="AK16" s="110"/>
      <c r="AL16" s="110"/>
      <c r="AM16" s="178">
        <f>IF(COUNT(AM17:AM19)=0,"",SUM(AM17:AM19)/COUNT(AM17:AM19))</f>
        <v>2.5555555555555558</v>
      </c>
      <c r="AN16" s="202" t="str">
        <f t="shared" si="6"/>
        <v>C</v>
      </c>
      <c r="AO16" s="203">
        <f>IF(COUNT(AO17:AO19)=0,"",SUM(AO17:AO19)/COUNT(AO17:AO19))</f>
        <v>2.6111111111111112</v>
      </c>
      <c r="AP16" s="204" t="str">
        <f t="shared" si="7"/>
        <v>C</v>
      </c>
      <c r="AQ16" s="215"/>
      <c r="AR16" s="85"/>
      <c r="AS16" s="105"/>
      <c r="AT16" s="178">
        <f>IF(COUNT(AT17:AT19)=0,"",SUM(AT17:AT19)/COUNT(AT17:AT19))</f>
        <v>3</v>
      </c>
      <c r="AU16" s="179" t="str">
        <f t="shared" si="8"/>
        <v>B</v>
      </c>
      <c r="AV16" s="225"/>
      <c r="AW16" s="85"/>
      <c r="AX16" s="85"/>
      <c r="AY16" s="105"/>
      <c r="AZ16" s="178">
        <f>IF(COUNT(AZ17:AZ19)=0,"",SUM(AZ17:AZ19)/COUNT(AZ17:AZ19))</f>
        <v>2.3333333333333335</v>
      </c>
      <c r="BA16" s="194" t="str">
        <f t="shared" si="9"/>
        <v>C</v>
      </c>
      <c r="BB16" s="172"/>
      <c r="BC16" s="110"/>
      <c r="BD16" s="110"/>
      <c r="BE16" s="110"/>
      <c r="BF16" s="110"/>
      <c r="BG16" s="178">
        <f>IF(COUNT(BG17:BG19)=0,"",SUM(BG17:BG19)/COUNT(BG17:BG19))</f>
        <v>2.4444444444444446</v>
      </c>
      <c r="BH16" s="202" t="str">
        <f t="shared" si="10"/>
        <v>C</v>
      </c>
      <c r="BI16" s="203">
        <f>IF(COUNT(BI17:BI19)=0,"",SUM(BI17:BI19)/COUNT(BI17:BI19))</f>
        <v>2.4444444444444442</v>
      </c>
      <c r="BJ16" s="204" t="str">
        <f t="shared" si="11"/>
        <v>C</v>
      </c>
      <c r="BK16" s="215"/>
      <c r="BL16" s="85"/>
      <c r="BM16" s="105"/>
      <c r="BN16" s="178">
        <f>IF(COUNT(BN17:BN19)=0,"",SUM(BN17:BN19)/COUNT(BN17:BN19))</f>
        <v>3.5</v>
      </c>
      <c r="BO16" s="179" t="str">
        <f t="shared" si="12"/>
        <v>B</v>
      </c>
      <c r="BP16" s="225"/>
      <c r="BQ16" s="85"/>
      <c r="BR16" s="85"/>
      <c r="BS16" s="105"/>
      <c r="BT16" s="178">
        <f>IF(COUNT(BT17:BT19)=0,"",SUM(BT17:BT19)/COUNT(BT17:BT19))</f>
        <v>3.3333333333333335</v>
      </c>
      <c r="BU16" s="194" t="str">
        <f t="shared" si="13"/>
        <v>B</v>
      </c>
      <c r="BV16" s="172"/>
      <c r="BW16" s="110"/>
      <c r="BX16" s="110"/>
      <c r="BY16" s="110"/>
      <c r="BZ16" s="110"/>
      <c r="CA16" s="178">
        <f>IF(COUNT(CA17:CA19)=0,"",SUM(CA17:CA19)/COUNT(CA17:CA19))</f>
        <v>2.5555555555555554</v>
      </c>
      <c r="CB16" s="202" t="str">
        <f t="shared" si="14"/>
        <v>C</v>
      </c>
      <c r="CC16" s="203">
        <f>IF(COUNT(CC17:CC19)=0,"",SUM(CC17:CC19)/COUNT(CC17:CC19))</f>
        <v>3.0555555555555558</v>
      </c>
      <c r="CD16" s="204" t="str">
        <f t="shared" si="15"/>
        <v>B</v>
      </c>
      <c r="CE16" s="215"/>
      <c r="CF16" s="85"/>
      <c r="CG16" s="105"/>
      <c r="CH16" s="178">
        <f>IF(COUNT(CH17:CH19)=0,"",SUM(CH17:CH19)/COUNT(CH17:CH19))</f>
        <v>3</v>
      </c>
      <c r="CI16" s="179" t="str">
        <f t="shared" si="16"/>
        <v>B</v>
      </c>
      <c r="CJ16" s="225"/>
      <c r="CK16" s="85"/>
      <c r="CL16" s="85"/>
      <c r="CM16" s="105"/>
      <c r="CN16" s="178">
        <f>IF(COUNT(CN17:CN19)=0,"",SUM(CN17:CN19)/COUNT(CN17:CN19))</f>
        <v>3</v>
      </c>
      <c r="CO16" s="194" t="str">
        <f t="shared" si="17"/>
        <v>B</v>
      </c>
      <c r="CP16" s="172"/>
      <c r="CQ16" s="110"/>
      <c r="CR16" s="110"/>
      <c r="CS16" s="110"/>
      <c r="CT16" s="110"/>
      <c r="CU16" s="178">
        <f>IF(COUNT(CU17:CU19)=0,"",SUM(CU17:CU19)/COUNT(CU17:CU19))</f>
        <v>2.8888888888888888</v>
      </c>
      <c r="CV16" s="202" t="str">
        <f t="shared" si="18"/>
        <v>B</v>
      </c>
      <c r="CW16" s="203">
        <f>IF(COUNT(CW17:CW19)=0,"",SUM(CW17:CW19)/COUNT(CW17:CW19))</f>
        <v>2.9444444444444446</v>
      </c>
      <c r="CX16" s="204" t="str">
        <f t="shared" si="19"/>
        <v>B</v>
      </c>
      <c r="CY16" s="215"/>
      <c r="CZ16" s="85"/>
      <c r="DA16" s="105"/>
      <c r="DB16" s="178">
        <f>IF(COUNT(DB17:DB19)=0,"",SUM(DB17:DB19)/COUNT(DB17:DB19))</f>
        <v>2</v>
      </c>
      <c r="DC16" s="179" t="str">
        <f t="shared" si="20"/>
        <v>C</v>
      </c>
      <c r="DD16" s="225"/>
      <c r="DE16" s="85"/>
      <c r="DF16" s="85"/>
      <c r="DG16" s="105"/>
      <c r="DH16" s="178">
        <f>IF(COUNT(DH17:DH19)=0,"",SUM(DH17:DH19)/COUNT(DH17:DH19))</f>
        <v>2.6666666666666665</v>
      </c>
      <c r="DI16" s="194" t="str">
        <f t="shared" si="21"/>
        <v>C</v>
      </c>
      <c r="DJ16" s="172"/>
      <c r="DK16" s="110"/>
      <c r="DL16" s="110"/>
      <c r="DM16" s="110"/>
      <c r="DN16" s="110"/>
      <c r="DO16" s="178">
        <f>IF(COUNT(DO17:DO19)=0,"",SUM(DO17:DO19)/COUNT(DO17:DO19))</f>
        <v>2.6666666666666665</v>
      </c>
      <c r="DP16" s="202" t="str">
        <f t="shared" si="22"/>
        <v>C</v>
      </c>
      <c r="DQ16" s="203">
        <f>IF(COUNT(DQ17:DQ19)=0,"",SUM(DQ17:DQ19)/COUNT(DQ17:DQ19))</f>
        <v>2.5555555555555554</v>
      </c>
      <c r="DR16" s="204" t="str">
        <f t="shared" si="23"/>
        <v>C</v>
      </c>
      <c r="DS16" s="215"/>
      <c r="DT16" s="85"/>
      <c r="DU16" s="105"/>
      <c r="DV16" s="178">
        <f>IF(COUNT(DV17:DV19)=0,"",SUM(DV17:DV19)/COUNT(DV17:DV19))</f>
        <v>2</v>
      </c>
      <c r="DW16" s="179" t="str">
        <f t="shared" si="24"/>
        <v>C</v>
      </c>
      <c r="DX16" s="225"/>
      <c r="DY16" s="85"/>
      <c r="DZ16" s="85"/>
      <c r="EA16" s="105"/>
      <c r="EB16" s="178">
        <f>IF(COUNT(EB17:EB19)=0,"",SUM(EB17:EB19)/COUNT(EB17:EB19))</f>
        <v>1.6666666666666667</v>
      </c>
      <c r="EC16" s="194" t="str">
        <f t="shared" si="25"/>
        <v>C</v>
      </c>
      <c r="ED16" s="172"/>
      <c r="EE16" s="110"/>
      <c r="EF16" s="110"/>
      <c r="EG16" s="110"/>
      <c r="EH16" s="110"/>
      <c r="EI16" s="178">
        <f>IF(COUNT(EI17:EI19)=0,"",SUM(EI17:EI19)/COUNT(EI17:EI19))</f>
        <v>2.2222222222222223</v>
      </c>
      <c r="EJ16" s="202" t="str">
        <f t="shared" si="26"/>
        <v>C</v>
      </c>
      <c r="EK16" s="203">
        <f>IF(COUNT(EK17:EK19)=0,"",SUM(EK17:EK19)/COUNT(EK17:EK19))</f>
        <v>1.8888888888888893</v>
      </c>
      <c r="EL16" s="204" t="str">
        <f t="shared" si="27"/>
        <v>C</v>
      </c>
      <c r="EM16" s="215"/>
      <c r="EN16" s="85"/>
      <c r="EO16" s="105"/>
      <c r="EP16" s="178">
        <f>IF(COUNT(EP17:EP19)=0,"",SUM(EP17:EP19)/COUNT(EP17:EP19))</f>
        <v>3.5</v>
      </c>
      <c r="EQ16" s="179" t="str">
        <f t="shared" si="28"/>
        <v>B</v>
      </c>
      <c r="ER16" s="225"/>
      <c r="ES16" s="85"/>
      <c r="ET16" s="85"/>
      <c r="EU16" s="105"/>
      <c r="EV16" s="178">
        <f>IF(COUNT(EV17:EV19)=0,"",SUM(EV17:EV19)/COUNT(EV17:EV19))</f>
        <v>4</v>
      </c>
      <c r="EW16" s="194" t="str">
        <f t="shared" si="29"/>
        <v>A</v>
      </c>
      <c r="EX16" s="172"/>
      <c r="EY16" s="110"/>
      <c r="EZ16" s="110"/>
      <c r="FA16" s="110"/>
      <c r="FB16" s="110"/>
      <c r="FC16" s="178">
        <f>IF(COUNT(FC17:FC19)=0,"",SUM(FC17:FC19)/COUNT(FC17:FC19))</f>
        <v>2.6666666666666665</v>
      </c>
      <c r="FD16" s="202" t="str">
        <f t="shared" si="30"/>
        <v>C</v>
      </c>
      <c r="FE16" s="203">
        <f>IF(COUNT(FE17:FE19)=0,"",SUM(FE17:FE19)/COUNT(FE17:FE19))</f>
        <v>2.8333333333333335</v>
      </c>
      <c r="FF16" s="204" t="str">
        <f t="shared" si="31"/>
        <v>B</v>
      </c>
      <c r="FG16" s="215"/>
      <c r="FH16" s="85"/>
      <c r="FI16" s="105"/>
      <c r="FJ16" s="178">
        <f>IF(COUNT(FJ17:FJ19)=0,"",SUM(FJ17:FJ19)/COUNT(FJ17:FJ19))</f>
        <v>3</v>
      </c>
      <c r="FK16" s="179" t="str">
        <f t="shared" si="32"/>
        <v>B</v>
      </c>
      <c r="FL16" s="225"/>
      <c r="FM16" s="85"/>
      <c r="FN16" s="85"/>
      <c r="FO16" s="105"/>
      <c r="FP16" s="178">
        <f>IF(COUNT(FP17:FP19)=0,"",SUM(FP17:FP19)/COUNT(FP17:FP19))</f>
        <v>2.6666666666666665</v>
      </c>
      <c r="FQ16" s="194" t="str">
        <f t="shared" si="33"/>
        <v>C</v>
      </c>
      <c r="FR16" s="172"/>
      <c r="FS16" s="110"/>
      <c r="FT16" s="110"/>
      <c r="FU16" s="110"/>
      <c r="FV16" s="110"/>
      <c r="FW16" s="178">
        <f>IF(COUNT(FW17:FW19)=0,"",SUM(FW17:FW19)/COUNT(FW17:FW19))</f>
        <v>2.2222222222222223</v>
      </c>
      <c r="FX16" s="202" t="str">
        <f t="shared" si="34"/>
        <v>C</v>
      </c>
      <c r="FY16" s="203">
        <f>IF(COUNT(FY17:FY19)=0,"",SUM(FY17:FY19)/COUNT(FY17:FY19))</f>
        <v>2.5</v>
      </c>
      <c r="FZ16" s="204" t="str">
        <f t="shared" si="35"/>
        <v>C</v>
      </c>
      <c r="GA16" s="215"/>
      <c r="GB16" s="85"/>
      <c r="GC16" s="105"/>
      <c r="GD16" s="178">
        <f>IF(COUNT(GD17:GD19)=0,"",SUM(GD17:GD19)/COUNT(GD17:GD19))</f>
        <v>3</v>
      </c>
      <c r="GE16" s="179" t="str">
        <f t="shared" si="36"/>
        <v>B</v>
      </c>
      <c r="GF16" s="225"/>
      <c r="GG16" s="85"/>
      <c r="GH16" s="85"/>
      <c r="GI16" s="105"/>
      <c r="GJ16" s="178">
        <f>IF(COUNT(GJ17:GJ19)=0,"",SUM(GJ17:GJ19)/COUNT(GJ17:GJ19))</f>
        <v>3.3333333333333335</v>
      </c>
      <c r="GK16" s="194" t="str">
        <f t="shared" si="37"/>
        <v>B</v>
      </c>
      <c r="GL16" s="172"/>
      <c r="GM16" s="110"/>
      <c r="GN16" s="110"/>
      <c r="GO16" s="110"/>
      <c r="GP16" s="110"/>
      <c r="GQ16" s="178">
        <f>IF(COUNT(GQ17:GQ19)=0,"",SUM(GQ17:GQ19)/COUNT(GQ17:GQ19))</f>
        <v>3.3333333333333335</v>
      </c>
      <c r="GR16" s="202" t="str">
        <f t="shared" si="38"/>
        <v>B</v>
      </c>
      <c r="GS16" s="203">
        <f>IF(COUNT(GS17:GS19)=0,"",SUM(GS17:GS19)/COUNT(GS17:GS19))</f>
        <v>3.2777777777777781</v>
      </c>
      <c r="GT16" s="204" t="str">
        <f t="shared" si="39"/>
        <v>B</v>
      </c>
      <c r="GU16" s="215"/>
      <c r="GV16" s="85"/>
      <c r="GW16" s="105"/>
      <c r="GX16" s="178">
        <f>IF(COUNT(GX17:GX19)=0,"",SUM(GX17:GX19)/COUNT(GX17:GX19))</f>
        <v>1.5</v>
      </c>
      <c r="GY16" s="179" t="str">
        <f t="shared" si="40"/>
        <v>D</v>
      </c>
      <c r="GZ16" s="225"/>
      <c r="HA16" s="85"/>
      <c r="HB16" s="85"/>
      <c r="HC16" s="105"/>
      <c r="HD16" s="178">
        <f>IF(COUNT(HD17:HD19)=0,"",SUM(HD17:HD19)/COUNT(HD17:HD19))</f>
        <v>2</v>
      </c>
      <c r="HE16" s="194" t="str">
        <f t="shared" si="41"/>
        <v>C</v>
      </c>
      <c r="HF16" s="172"/>
      <c r="HG16" s="110"/>
      <c r="HH16" s="110"/>
      <c r="HI16" s="110"/>
      <c r="HJ16" s="110"/>
      <c r="HK16" s="178">
        <f>IF(COUNT(HK17:HK19)=0,"",SUM(HK17:HK19)/COUNT(HK17:HK19))</f>
        <v>1.8888888888888891</v>
      </c>
      <c r="HL16" s="202" t="str">
        <f t="shared" si="42"/>
        <v>C</v>
      </c>
      <c r="HM16" s="203">
        <f>IF(COUNT(HM17:HM19)=0,"",SUM(HM17:HM19)/COUNT(HM17:HM19))</f>
        <v>1.6111111111111109</v>
      </c>
      <c r="HN16" s="204" t="str">
        <f t="shared" si="43"/>
        <v>C</v>
      </c>
      <c r="HO16" s="215"/>
      <c r="HP16" s="85"/>
      <c r="HQ16" s="105"/>
      <c r="HR16" s="178">
        <f>IF(COUNT(HR17:HR19)=0,"",SUM(HR17:HR19)/COUNT(HR17:HR19))</f>
        <v>2.5</v>
      </c>
      <c r="HS16" s="179" t="str">
        <f t="shared" si="44"/>
        <v>C</v>
      </c>
      <c r="HT16" s="225"/>
      <c r="HU16" s="85"/>
      <c r="HV16" s="85"/>
      <c r="HW16" s="105"/>
      <c r="HX16" s="178">
        <f>IF(COUNT(HX17:HX19)=0,"",SUM(HX17:HX19)/COUNT(HX17:HX19))</f>
        <v>3</v>
      </c>
      <c r="HY16" s="194" t="str">
        <f t="shared" si="45"/>
        <v>B</v>
      </c>
      <c r="HZ16" s="172"/>
      <c r="IA16" s="110"/>
      <c r="IB16" s="110"/>
      <c r="IC16" s="110"/>
      <c r="ID16" s="110"/>
      <c r="IE16" s="178">
        <f>IF(COUNT(IE17:IE19)=0,"",SUM(IE17:IE19)/COUNT(IE17:IE19))</f>
        <v>2.8888888888888888</v>
      </c>
      <c r="IF16" s="202" t="str">
        <f t="shared" si="46"/>
        <v>B</v>
      </c>
      <c r="IG16" s="203">
        <f>IF(COUNT(IG17:IG19)=0,"",SUM(IG17:IG19)/COUNT(IG17:IG19))</f>
        <v>2.8888888888888893</v>
      </c>
      <c r="IH16" s="204" t="str">
        <f t="shared" si="47"/>
        <v>B</v>
      </c>
      <c r="II16" s="215"/>
      <c r="IJ16" s="85"/>
      <c r="IK16" s="105"/>
      <c r="IL16" s="178">
        <f>IF(COUNT(IL17:IL19)=0,"",SUM(IL17:IL19)/COUNT(IL17:IL19))</f>
        <v>4</v>
      </c>
      <c r="IM16" s="179" t="str">
        <f t="shared" si="48"/>
        <v>A</v>
      </c>
      <c r="IN16" s="225"/>
      <c r="IO16" s="85"/>
      <c r="IP16" s="85"/>
      <c r="IQ16" s="105"/>
      <c r="IR16" s="178">
        <f>IF(COUNT(IR17:IR19)=0,"",SUM(IR17:IR19)/COUNT(IR17:IR19))</f>
        <v>2.3333333333333335</v>
      </c>
      <c r="IS16" s="194" t="str">
        <f t="shared" si="49"/>
        <v>C</v>
      </c>
      <c r="IT16" s="172"/>
      <c r="IU16" s="110"/>
      <c r="IV16" s="110"/>
      <c r="IW16" s="110"/>
      <c r="IX16" s="110"/>
      <c r="IY16" s="178">
        <f>IF(COUNT(IY17:IY19)=0,"",SUM(IY17:IY19)/COUNT(IY17:IY19))</f>
        <v>3.1111111111111112</v>
      </c>
      <c r="IZ16" s="202" t="str">
        <f t="shared" si="50"/>
        <v>B</v>
      </c>
      <c r="JA16" s="203">
        <f>IF(COUNT(JA17:JA19)=0,"",SUM(JA17:JA19)/COUNT(JA17:JA19))</f>
        <v>2.7777777777777772</v>
      </c>
      <c r="JB16" s="204" t="str">
        <f t="shared" si="51"/>
        <v>C</v>
      </c>
      <c r="JC16" s="215"/>
      <c r="JD16" s="85"/>
      <c r="JE16" s="105"/>
      <c r="JF16" s="178">
        <f>IF(COUNT(JF17:JF19)=0,"",SUM(JF17:JF19)/COUNT(JF17:JF19))</f>
        <v>3.5</v>
      </c>
      <c r="JG16" s="179" t="str">
        <f t="shared" si="52"/>
        <v>B</v>
      </c>
      <c r="JH16" s="225"/>
      <c r="JI16" s="85"/>
      <c r="JJ16" s="85"/>
      <c r="JK16" s="105"/>
      <c r="JL16" s="178">
        <f>IF(COUNT(JL17:JL19)=0,"",SUM(JL17:JL19)/COUNT(JL17:JL19))</f>
        <v>3</v>
      </c>
      <c r="JM16" s="194" t="str">
        <f t="shared" si="53"/>
        <v>B</v>
      </c>
      <c r="JN16" s="172"/>
      <c r="JO16" s="110"/>
      <c r="JP16" s="110"/>
      <c r="JQ16" s="110"/>
      <c r="JR16" s="110"/>
      <c r="JS16" s="178">
        <f>IF(COUNT(JS17:JS19)=0,"",SUM(JS17:JS19)/COUNT(JS17:JS19))</f>
        <v>3.2222222222222219</v>
      </c>
      <c r="JT16" s="202" t="str">
        <f t="shared" si="54"/>
        <v>B</v>
      </c>
      <c r="JU16" s="203">
        <f>IF(COUNT(JU17:JU19)=0,"",SUM(JU17:JU19)/COUNT(JU17:JU19))</f>
        <v>3.0555555555555558</v>
      </c>
      <c r="JV16" s="204" t="str">
        <f t="shared" si="55"/>
        <v>B</v>
      </c>
      <c r="JW16" s="215"/>
      <c r="JX16" s="85"/>
      <c r="JY16" s="105"/>
      <c r="JZ16" s="178">
        <f>IF(COUNT(JZ17:JZ19)=0,"",SUM(JZ17:JZ19)/COUNT(JZ17:JZ19))</f>
        <v>3</v>
      </c>
      <c r="KA16" s="179" t="str">
        <f t="shared" si="56"/>
        <v>B</v>
      </c>
      <c r="KB16" s="225"/>
      <c r="KC16" s="85"/>
      <c r="KD16" s="85"/>
      <c r="KE16" s="105"/>
      <c r="KF16" s="178">
        <f>IF(COUNT(KF17:KF19)=0,"",SUM(KF17:KF19)/COUNT(KF17:KF19))</f>
        <v>2.3333333333333335</v>
      </c>
      <c r="KG16" s="194" t="str">
        <f t="shared" si="57"/>
        <v>C</v>
      </c>
      <c r="KH16" s="172"/>
      <c r="KI16" s="110"/>
      <c r="KJ16" s="110"/>
      <c r="KK16" s="110"/>
      <c r="KL16" s="110"/>
      <c r="KM16" s="178">
        <f>IF(COUNT(KM17:KM19)=0,"",SUM(KM17:KM19)/COUNT(KM17:KM19))</f>
        <v>3.1111111111111112</v>
      </c>
      <c r="KN16" s="202" t="str">
        <f t="shared" si="58"/>
        <v>B</v>
      </c>
      <c r="KO16" s="203">
        <f>IF(COUNT(KO17:KO19)=0,"",SUM(KO17:KO19)/COUNT(KO17:KO19))</f>
        <v>2.6666666666666665</v>
      </c>
      <c r="KP16" s="204" t="str">
        <f t="shared" si="59"/>
        <v>C</v>
      </c>
      <c r="KQ16" s="215"/>
      <c r="KR16" s="85"/>
      <c r="KS16" s="105"/>
      <c r="KT16" s="178">
        <f>IF(COUNT(KT17:KT19)=0,"",SUM(KT17:KT19)/COUNT(KT17:KT19))</f>
        <v>2.5</v>
      </c>
      <c r="KU16" s="179" t="str">
        <f t="shared" si="60"/>
        <v>C</v>
      </c>
      <c r="KV16" s="225"/>
      <c r="KW16" s="85"/>
      <c r="KX16" s="85"/>
      <c r="KY16" s="105"/>
      <c r="KZ16" s="178">
        <f>IF(COUNT(KZ17:KZ19)=0,"",SUM(KZ17:KZ19)/COUNT(KZ17:KZ19))</f>
        <v>2</v>
      </c>
      <c r="LA16" s="194" t="str">
        <f t="shared" si="61"/>
        <v>C</v>
      </c>
      <c r="LB16" s="172"/>
      <c r="LC16" s="110"/>
      <c r="LD16" s="110"/>
      <c r="LE16" s="110"/>
      <c r="LF16" s="110"/>
      <c r="LG16" s="178">
        <f>IF(COUNT(LG17:LG19)=0,"",SUM(LG17:LG19)/COUNT(LG17:LG19))</f>
        <v>2.2222222222222223</v>
      </c>
      <c r="LH16" s="202" t="str">
        <f t="shared" si="62"/>
        <v>C</v>
      </c>
      <c r="LI16" s="203">
        <f>IF(COUNT(LI17:LI19)=0,"",SUM(LI17:LI19)/COUNT(LI17:LI19))</f>
        <v>2.1111111111111112</v>
      </c>
      <c r="LJ16" s="204" t="str">
        <f t="shared" si="63"/>
        <v>C</v>
      </c>
      <c r="LK16" s="215"/>
      <c r="LL16" s="85"/>
      <c r="LM16" s="105"/>
      <c r="LN16" s="178" t="str">
        <f>IF(COUNT(LN17:LN19)=0,"",SUM(LN17:LN19)/COUNT(LN17:LN19))</f>
        <v/>
      </c>
      <c r="LO16" s="179" t="str">
        <f t="shared" si="64"/>
        <v/>
      </c>
      <c r="LP16" s="225"/>
      <c r="LQ16" s="85"/>
      <c r="LR16" s="85"/>
      <c r="LS16" s="105"/>
      <c r="LT16" s="178" t="str">
        <f>IF(COUNT(LT17:LT19)=0,"",SUM(LT17:LT19)/COUNT(LT17:LT19))</f>
        <v/>
      </c>
      <c r="LU16" s="194" t="str">
        <f t="shared" si="65"/>
        <v/>
      </c>
      <c r="LV16" s="172"/>
      <c r="LW16" s="110"/>
      <c r="LX16" s="110"/>
      <c r="LY16" s="110"/>
      <c r="LZ16" s="110"/>
      <c r="MA16" s="178" t="str">
        <f>IF(COUNT(MA17:MA19)=0,"",SUM(MA17:MA19)/COUNT(MA17:MA19))</f>
        <v/>
      </c>
      <c r="MB16" s="202" t="str">
        <f t="shared" si="66"/>
        <v/>
      </c>
      <c r="MC16" s="203" t="str">
        <f>IF(COUNT(MC17:MC19)=0,"",SUM(MC17:MC19)/COUNT(MC17:MC19))</f>
        <v/>
      </c>
      <c r="MD16" s="204" t="str">
        <f t="shared" si="67"/>
        <v/>
      </c>
      <c r="ME16" s="215"/>
      <c r="MF16" s="85"/>
      <c r="MG16" s="105"/>
      <c r="MH16" s="178">
        <f>IF(COUNT(MH17:MH19)=0,"",SUM(MH17:MH19)/COUNT(MH17:MH19))</f>
        <v>3</v>
      </c>
      <c r="MI16" s="179" t="str">
        <f t="shared" si="68"/>
        <v>B</v>
      </c>
      <c r="MJ16" s="225"/>
      <c r="MK16" s="85"/>
      <c r="ML16" s="85"/>
      <c r="MM16" s="105"/>
      <c r="MN16" s="178">
        <f>IF(COUNT(MN17:MN19)=0,"",SUM(MN17:MN19)/COUNT(MN17:MN19))</f>
        <v>2.3333333333333335</v>
      </c>
      <c r="MO16" s="194" t="str">
        <f t="shared" si="69"/>
        <v>C</v>
      </c>
      <c r="MP16" s="172"/>
      <c r="MQ16" s="110"/>
      <c r="MR16" s="110"/>
      <c r="MS16" s="110"/>
      <c r="MT16" s="110"/>
      <c r="MU16" s="178">
        <f>IF(COUNT(MU17:MU19)=0,"",SUM(MU17:MU19)/COUNT(MU17:MU19))</f>
        <v>3.1111111111111112</v>
      </c>
      <c r="MV16" s="202" t="str">
        <f t="shared" si="70"/>
        <v>B</v>
      </c>
      <c r="MW16" s="203">
        <f>IF(COUNT(MW17:MW19)=0,"",SUM(MW17:MW19)/COUNT(MW17:MW19))</f>
        <v>2.7222222222222228</v>
      </c>
      <c r="MX16" s="204" t="str">
        <f t="shared" si="71"/>
        <v>C</v>
      </c>
      <c r="MY16" s="215"/>
      <c r="MZ16" s="85"/>
      <c r="NA16" s="105"/>
      <c r="NB16" s="178">
        <f>IF(COUNT(NB17:NB19)=0,"",SUM(NB17:NB19)/COUNT(NB17:NB19))</f>
        <v>1.5</v>
      </c>
      <c r="NC16" s="179" t="str">
        <f t="shared" si="72"/>
        <v>D</v>
      </c>
      <c r="ND16" s="225"/>
      <c r="NE16" s="85"/>
      <c r="NF16" s="85"/>
      <c r="NG16" s="105"/>
      <c r="NH16" s="178">
        <f>IF(COUNT(NH17:NH19)=0,"",SUM(NH17:NH19)/COUNT(NH17:NH19))</f>
        <v>2</v>
      </c>
      <c r="NI16" s="194" t="str">
        <f t="shared" si="73"/>
        <v>C</v>
      </c>
      <c r="NJ16" s="172"/>
      <c r="NK16" s="110"/>
      <c r="NL16" s="110"/>
      <c r="NM16" s="110"/>
      <c r="NN16" s="110"/>
      <c r="NO16" s="178">
        <f>IF(COUNT(NO17:NO19)=0,"",SUM(NO17:NO19)/COUNT(NO17:NO19))</f>
        <v>2.1111111111111112</v>
      </c>
      <c r="NP16" s="202" t="str">
        <f t="shared" si="74"/>
        <v>C</v>
      </c>
      <c r="NQ16" s="203">
        <f>IF(COUNT(NQ17:NQ19)=0,"",SUM(NQ17:NQ19)/COUNT(NQ17:NQ19))</f>
        <v>1.9444444444444446</v>
      </c>
      <c r="NR16" s="204" t="str">
        <f t="shared" si="75"/>
        <v>C</v>
      </c>
      <c r="NS16" s="215"/>
      <c r="NT16" s="85"/>
      <c r="NU16" s="105"/>
      <c r="NV16" s="178">
        <f>IF(COUNT(NV17:NV19)=0,"",SUM(NV17:NV19)/COUNT(NV17:NV19))</f>
        <v>3</v>
      </c>
      <c r="NW16" s="179" t="str">
        <f t="shared" si="76"/>
        <v>B</v>
      </c>
      <c r="NX16" s="225"/>
      <c r="NY16" s="85"/>
      <c r="NZ16" s="85"/>
      <c r="OA16" s="105"/>
      <c r="OB16" s="178">
        <f>IF(COUNT(OB17:OB19)=0,"",SUM(OB17:OB19)/COUNT(OB17:OB19))</f>
        <v>2.6666666666666665</v>
      </c>
      <c r="OC16" s="194" t="str">
        <f t="shared" si="77"/>
        <v>C</v>
      </c>
      <c r="OD16" s="172"/>
      <c r="OE16" s="110"/>
      <c r="OF16" s="110"/>
      <c r="OG16" s="110"/>
      <c r="OH16" s="110"/>
      <c r="OI16" s="178">
        <f>IF(COUNT(OI17:OI19)=0,"",SUM(OI17:OI19)/COUNT(OI17:OI19))</f>
        <v>2.3333333333333335</v>
      </c>
      <c r="OJ16" s="202" t="str">
        <f t="shared" si="78"/>
        <v>C</v>
      </c>
      <c r="OK16" s="203">
        <f>IF(COUNT(OK17:OK19)=0,"",SUM(OK17:OK19)/COUNT(OK17:OK19))</f>
        <v>2.6111111111111112</v>
      </c>
      <c r="OL16" s="204" t="str">
        <f t="shared" si="79"/>
        <v>C</v>
      </c>
      <c r="OM16" s="215"/>
      <c r="ON16" s="85"/>
      <c r="OO16" s="105"/>
      <c r="OP16" s="178">
        <f>IF(COUNT(OP17:OP19)=0,"",SUM(OP17:OP19)/COUNT(OP17:OP19))</f>
        <v>3</v>
      </c>
      <c r="OQ16" s="179" t="str">
        <f t="shared" si="80"/>
        <v>B</v>
      </c>
      <c r="OR16" s="225"/>
      <c r="OS16" s="85"/>
      <c r="OT16" s="85"/>
      <c r="OU16" s="105"/>
      <c r="OV16" s="178">
        <f>IF(COUNT(OV17:OV19)=0,"",SUM(OV17:OV19)/COUNT(OV17:OV19))</f>
        <v>3.3333333333333335</v>
      </c>
      <c r="OW16" s="194" t="str">
        <f t="shared" si="81"/>
        <v>B</v>
      </c>
      <c r="OX16" s="172"/>
      <c r="OY16" s="110"/>
      <c r="OZ16" s="110"/>
      <c r="PA16" s="110"/>
      <c r="PB16" s="110"/>
      <c r="PC16" s="178">
        <f>IF(COUNT(PC17:PC19)=0,"",SUM(PC17:PC19)/COUNT(PC17:PC19))</f>
        <v>1.7777777777777779</v>
      </c>
      <c r="PD16" s="202" t="str">
        <f t="shared" si="82"/>
        <v>C</v>
      </c>
      <c r="PE16" s="203">
        <f>IF(COUNT(PE17:PE19)=0,"",SUM(PE17:PE19)/COUNT(PE17:PE19))</f>
        <v>2.6111111111111112</v>
      </c>
      <c r="PF16" s="204" t="str">
        <f t="shared" si="83"/>
        <v>C</v>
      </c>
      <c r="PG16" s="215"/>
      <c r="PH16" s="85"/>
      <c r="PI16" s="105"/>
      <c r="PJ16" s="178">
        <f>IF(COUNT(PJ17:PJ19)=0,"",SUM(PJ17:PJ19)/COUNT(PJ17:PJ19))</f>
        <v>3</v>
      </c>
      <c r="PK16" s="179" t="str">
        <f t="shared" si="84"/>
        <v>B</v>
      </c>
      <c r="PL16" s="225"/>
      <c r="PM16" s="85"/>
      <c r="PN16" s="85"/>
      <c r="PO16" s="105"/>
      <c r="PP16" s="178">
        <f>IF(COUNT(PP17:PP19)=0,"",SUM(PP17:PP19)/COUNT(PP17:PP19))</f>
        <v>3.3333333333333335</v>
      </c>
      <c r="PQ16" s="194" t="str">
        <f t="shared" si="85"/>
        <v>B</v>
      </c>
      <c r="PR16" s="172"/>
      <c r="PS16" s="110"/>
      <c r="PT16" s="110"/>
      <c r="PU16" s="110"/>
      <c r="PV16" s="110"/>
      <c r="PW16" s="178">
        <f>IF(COUNT(PW17:PW19)=0,"",SUM(PW17:PW19)/COUNT(PW17:PW19))</f>
        <v>2.7777777777777781</v>
      </c>
      <c r="PX16" s="202" t="str">
        <f t="shared" si="86"/>
        <v>C</v>
      </c>
      <c r="PY16" s="203">
        <f>IF(COUNT(PY17:PY19)=0,"",SUM(PY17:PY19)/COUNT(PY17:PY19))</f>
        <v>3.0555555555555558</v>
      </c>
      <c r="PZ16" s="204" t="str">
        <f t="shared" si="87"/>
        <v>B</v>
      </c>
      <c r="QA16" s="215"/>
      <c r="QB16" s="85"/>
      <c r="QC16" s="105"/>
      <c r="QD16" s="178">
        <f>IF(COUNT(QD17:QD19)=0,"",SUM(QD17:QD19)/COUNT(QD17:QD19))</f>
        <v>3.5</v>
      </c>
      <c r="QE16" s="179" t="str">
        <f t="shared" si="88"/>
        <v>B</v>
      </c>
      <c r="QF16" s="225"/>
      <c r="QG16" s="85"/>
      <c r="QH16" s="85"/>
      <c r="QI16" s="105"/>
      <c r="QJ16" s="178">
        <f>IF(COUNT(QJ17:QJ19)=0,"",SUM(QJ17:QJ19)/COUNT(QJ17:QJ19))</f>
        <v>3</v>
      </c>
      <c r="QK16" s="194" t="str">
        <f t="shared" si="89"/>
        <v>B</v>
      </c>
      <c r="QL16" s="172"/>
      <c r="QM16" s="110"/>
      <c r="QN16" s="110"/>
      <c r="QO16" s="110"/>
      <c r="QP16" s="110"/>
      <c r="QQ16" s="178">
        <f>IF(COUNT(QQ17:QQ19)=0,"",SUM(QQ17:QQ19)/COUNT(QQ17:QQ19))</f>
        <v>3.3333333333333335</v>
      </c>
      <c r="QR16" s="202" t="str">
        <f t="shared" si="90"/>
        <v>B</v>
      </c>
      <c r="QS16" s="203">
        <f>IF(COUNT(QS17:QS19)=0,"",SUM(QS17:QS19)/COUNT(QS17:QS19))</f>
        <v>3.1111111111111112</v>
      </c>
      <c r="QT16" s="204" t="str">
        <f t="shared" si="91"/>
        <v>B</v>
      </c>
      <c r="QU16" s="215"/>
      <c r="QV16" s="85"/>
      <c r="QW16" s="105"/>
      <c r="QX16" s="178">
        <f>IF(COUNT(QX17:QX19)=0,"",SUM(QX17:QX19)/COUNT(QX17:QX19))</f>
        <v>3</v>
      </c>
      <c r="QY16" s="179" t="str">
        <f t="shared" si="92"/>
        <v>B</v>
      </c>
      <c r="QZ16" s="225"/>
      <c r="RA16" s="85"/>
      <c r="RB16" s="85"/>
      <c r="RC16" s="105"/>
      <c r="RD16" s="178">
        <f>IF(COUNT(RD17:RD19)=0,"",SUM(RD17:RD19)/COUNT(RD17:RD19))</f>
        <v>2.6666666666666665</v>
      </c>
      <c r="RE16" s="194" t="str">
        <f t="shared" si="93"/>
        <v>C</v>
      </c>
      <c r="RF16" s="172"/>
      <c r="RG16" s="110"/>
      <c r="RH16" s="110"/>
      <c r="RI16" s="110"/>
      <c r="RJ16" s="110"/>
      <c r="RK16" s="178">
        <f>IF(COUNT(RK17:RK19)=0,"",SUM(RK17:RK19)/COUNT(RK17:RK19))</f>
        <v>2.1111111111111112</v>
      </c>
      <c r="RL16" s="202" t="str">
        <f t="shared" si="94"/>
        <v>C</v>
      </c>
      <c r="RM16" s="203">
        <f>IF(COUNT(RM17:RM19)=0,"",SUM(RM17:RM19)/COUNT(RM17:RM19))</f>
        <v>2.4444444444444442</v>
      </c>
      <c r="RN16" s="204" t="str">
        <f t="shared" si="95"/>
        <v>C</v>
      </c>
      <c r="RO16" s="215"/>
      <c r="RP16" s="85"/>
      <c r="RQ16" s="105"/>
      <c r="RR16" s="178">
        <f>IF(COUNT(RR17:RR19)=0,"",SUM(RR17:RR19)/COUNT(RR17:RR19))</f>
        <v>3</v>
      </c>
      <c r="RS16" s="179" t="str">
        <f t="shared" si="96"/>
        <v>B</v>
      </c>
      <c r="RT16" s="225"/>
      <c r="RU16" s="85"/>
      <c r="RV16" s="85"/>
      <c r="RW16" s="105"/>
      <c r="RX16" s="178">
        <f>IF(COUNT(RX17:RX19)=0,"",SUM(RX17:RX19)/COUNT(RX17:RX19))</f>
        <v>2.6666666666666665</v>
      </c>
      <c r="RY16" s="194" t="str">
        <f t="shared" si="97"/>
        <v>C</v>
      </c>
      <c r="RZ16" s="172"/>
      <c r="SA16" s="110"/>
      <c r="SB16" s="110"/>
      <c r="SC16" s="110"/>
      <c r="SD16" s="110"/>
      <c r="SE16" s="178">
        <f>IF(COUNT(SE17:SE19)=0,"",SUM(SE17:SE19)/COUNT(SE17:SE19))</f>
        <v>2.7777777777777781</v>
      </c>
      <c r="SF16" s="202" t="str">
        <f t="shared" si="98"/>
        <v>C</v>
      </c>
      <c r="SG16" s="203">
        <f>IF(COUNT(SG17:SG19)=0,"",SUM(SG17:SG19)/COUNT(SG17:SG19))</f>
        <v>2.7222222222222228</v>
      </c>
      <c r="SH16" s="204" t="str">
        <f t="shared" si="99"/>
        <v>C</v>
      </c>
      <c r="SI16" s="215"/>
      <c r="SJ16" s="85"/>
      <c r="SK16" s="105"/>
      <c r="SL16" s="178">
        <f>IF(COUNT(SL17:SL19)=0,"",SUM(SL17:SL19)/COUNT(SL17:SL19))</f>
        <v>3</v>
      </c>
      <c r="SM16" s="179" t="str">
        <f t="shared" si="100"/>
        <v>B</v>
      </c>
      <c r="SN16" s="225"/>
      <c r="SO16" s="85"/>
      <c r="SP16" s="85"/>
      <c r="SQ16" s="105"/>
      <c r="SR16" s="178">
        <f>IF(COUNT(SR17:SR19)=0,"",SUM(SR17:SR19)/COUNT(SR17:SR19))</f>
        <v>2</v>
      </c>
      <c r="SS16" s="194" t="str">
        <f t="shared" si="101"/>
        <v>C</v>
      </c>
      <c r="ST16" s="172"/>
      <c r="SU16" s="110"/>
      <c r="SV16" s="110"/>
      <c r="SW16" s="110"/>
      <c r="SX16" s="110"/>
      <c r="SY16" s="178">
        <f>IF(COUNT(SY17:SY19)=0,"",SUM(SY17:SY19)/COUNT(SY17:SY19))</f>
        <v>1.7777777777777779</v>
      </c>
      <c r="SZ16" s="202" t="str">
        <f t="shared" si="102"/>
        <v>C</v>
      </c>
      <c r="TA16" s="203">
        <f>IF(COUNT(TA17:TA19)=0,"",SUM(TA17:TA19)/COUNT(TA17:TA19))</f>
        <v>2</v>
      </c>
      <c r="TB16" s="204" t="str">
        <f t="shared" si="103"/>
        <v>C</v>
      </c>
      <c r="TC16" s="215"/>
      <c r="TD16" s="85"/>
      <c r="TE16" s="105"/>
      <c r="TF16" s="178">
        <f>IF(COUNT(TF17:TF19)=0,"",SUM(TF17:TF19)/COUNT(TF17:TF19))</f>
        <v>3</v>
      </c>
      <c r="TG16" s="179" t="str">
        <f t="shared" si="104"/>
        <v>B</v>
      </c>
      <c r="TH16" s="225"/>
      <c r="TI16" s="85"/>
      <c r="TJ16" s="85"/>
      <c r="TK16" s="105"/>
      <c r="TL16" s="178">
        <f>IF(COUNT(TL17:TL19)=0,"",SUM(TL17:TL19)/COUNT(TL17:TL19))</f>
        <v>2</v>
      </c>
      <c r="TM16" s="194" t="str">
        <f t="shared" si="105"/>
        <v>C</v>
      </c>
      <c r="TN16" s="172"/>
      <c r="TO16" s="110"/>
      <c r="TP16" s="110"/>
      <c r="TQ16" s="110"/>
      <c r="TR16" s="110"/>
      <c r="TS16" s="178">
        <f>IF(COUNT(TS17:TS19)=0,"",SUM(TS17:TS19)/COUNT(TS17:TS19))</f>
        <v>3.3333333333333335</v>
      </c>
      <c r="TT16" s="202" t="str">
        <f t="shared" si="106"/>
        <v>B</v>
      </c>
      <c r="TU16" s="203">
        <f>IF(COUNT(TU17:TU19)=0,"",SUM(TU17:TU19)/COUNT(TU17:TU19))</f>
        <v>3.2222222222222219</v>
      </c>
      <c r="TV16" s="204" t="str">
        <f t="shared" si="107"/>
        <v>B</v>
      </c>
      <c r="TW16" s="215"/>
      <c r="TX16" s="85"/>
      <c r="TY16" s="105"/>
      <c r="TZ16" s="178">
        <f>IF(COUNT(TZ17:TZ19)=0,"",SUM(TZ17:TZ19)/COUNT(TZ17:TZ19))</f>
        <v>3.5</v>
      </c>
      <c r="UA16" s="179" t="str">
        <f t="shared" si="108"/>
        <v>B</v>
      </c>
      <c r="UB16" s="225"/>
      <c r="UC16" s="85"/>
      <c r="UD16" s="85"/>
      <c r="UE16" s="105"/>
      <c r="UF16" s="178">
        <f>IF(COUNT(UF17:UF19)=0,"",SUM(UF17:UF19)/COUNT(UF17:UF19))</f>
        <v>2.3333333333333335</v>
      </c>
      <c r="UG16" s="194" t="str">
        <f t="shared" si="109"/>
        <v>C</v>
      </c>
      <c r="UH16" s="172"/>
      <c r="UI16" s="110"/>
      <c r="UJ16" s="110"/>
      <c r="UK16" s="110"/>
      <c r="UL16" s="110"/>
      <c r="UM16" s="178">
        <f>IF(COUNT(UM17:UM19)=0,"",SUM(UM17:UM19)/COUNT(UM17:UM19))</f>
        <v>2.6666666666666665</v>
      </c>
      <c r="UN16" s="202" t="str">
        <f t="shared" si="110"/>
        <v>C</v>
      </c>
      <c r="UO16" s="203">
        <f>IF(COUNT(UO17:UO19)=0,"",SUM(UO17:UO19)/COUNT(UO17:UO19))</f>
        <v>2.5555555555555554</v>
      </c>
      <c r="UP16" s="204" t="str">
        <f t="shared" si="111"/>
        <v>C</v>
      </c>
      <c r="UQ16" s="141"/>
      <c r="UR16" s="85"/>
      <c r="US16" s="105"/>
      <c r="UT16" s="106" t="str">
        <f>IF(COUNT(UT17:UT19)=0,"",SUM(UT17:UT19)/COUNT(UT17:UT19))</f>
        <v/>
      </c>
      <c r="UU16" s="107" t="str">
        <f t="shared" si="112"/>
        <v/>
      </c>
      <c r="UV16" s="104"/>
      <c r="UW16" s="85"/>
      <c r="UX16" s="105"/>
      <c r="UY16" s="106" t="str">
        <f>IF(COUNT(UY17:UY19)=0,"",SUM(UY17:UY19)/COUNT(UY17:UY19))</f>
        <v/>
      </c>
      <c r="UZ16" s="108" t="str">
        <f t="shared" si="113"/>
        <v/>
      </c>
      <c r="VA16" s="109"/>
      <c r="VB16" s="110"/>
      <c r="VC16" s="111"/>
      <c r="VD16" s="106" t="str">
        <f>IF(COUNT(VD17:VD19)=0,"",SUM(VD17:VD19)/COUNT(VD17:VD19))</f>
        <v/>
      </c>
      <c r="VE16" s="112" t="str">
        <f t="shared" si="114"/>
        <v/>
      </c>
      <c r="VF16" s="113" t="str">
        <f>IF(COUNT(VF17:VF19)=0,"",SUM(VF17:VF19)/COUNT(VF17:VF19))</f>
        <v/>
      </c>
      <c r="VG16" s="114" t="str">
        <f t="shared" si="115"/>
        <v/>
      </c>
      <c r="VH16" s="141"/>
      <c r="VI16" s="85"/>
      <c r="VJ16" s="105"/>
      <c r="VK16" s="106" t="str">
        <f>IF(COUNT(VK17:VK19)=0,"",SUM(VK17:VK19)/COUNT(VK17:VK19))</f>
        <v/>
      </c>
      <c r="VL16" s="107" t="str">
        <f t="shared" si="116"/>
        <v/>
      </c>
      <c r="VM16" s="104"/>
      <c r="VN16" s="85"/>
      <c r="VO16" s="105"/>
      <c r="VP16" s="106" t="str">
        <f>IF(COUNT(VP17:VP19)=0,"",SUM(VP17:VP19)/COUNT(VP17:VP19))</f>
        <v/>
      </c>
      <c r="VQ16" s="108" t="str">
        <f t="shared" si="117"/>
        <v/>
      </c>
      <c r="VR16" s="109"/>
      <c r="VS16" s="110"/>
      <c r="VT16" s="111"/>
      <c r="VU16" s="106" t="str">
        <f>IF(COUNT(VU17:VU19)=0,"",SUM(VU17:VU19)/COUNT(VU17:VU19))</f>
        <v/>
      </c>
      <c r="VV16" s="112" t="str">
        <f t="shared" si="118"/>
        <v/>
      </c>
      <c r="VW16" s="113" t="str">
        <f>IF(COUNT(VW17:VW19)=0,"",SUM(VW17:VW19)/COUNT(VW17:VW19))</f>
        <v/>
      </c>
      <c r="VX16" s="114" t="str">
        <f t="shared" si="119"/>
        <v/>
      </c>
    </row>
    <row r="17" spans="1:596" ht="18" customHeight="1" x14ac:dyDescent="0.55000000000000004">
      <c r="A17" s="246" t="s">
        <v>23</v>
      </c>
      <c r="B17" s="247"/>
      <c r="C17" s="123" t="s">
        <v>31</v>
      </c>
      <c r="D17" s="124" t="s">
        <v>30</v>
      </c>
      <c r="E17" s="125"/>
      <c r="F17" s="180">
        <f>IFERROR((((COUNTIF('Elève (4ème5)'!C17:E17,"A"))*4)+((COUNTIF('Elève (4ème5)'!C17:E17,"B"))*3)+((COUNTIF('Elève (4ème5)'!C17:E17,"C"))*2)+((COUNTIF('Elève (4ème5)'!C17:E17,"D"))*1))/(COUNTA(C17:E17)),"")</f>
        <v>2.5</v>
      </c>
      <c r="G17" s="181" t="str">
        <f t="shared" si="0"/>
        <v>C</v>
      </c>
      <c r="H17" s="123" t="s">
        <v>29</v>
      </c>
      <c r="I17" s="124"/>
      <c r="J17" s="125"/>
      <c r="K17" s="125"/>
      <c r="L17" s="180">
        <f>IFERROR((((COUNTIF('Elève (4ème5)'!H17:K17,"A"))*4)+((COUNTIF('Elève (4ème5)'!H17:K17,"B"))*3)+((COUNTIF('Elève (4ème5)'!H17:K17,"C"))*2)+((COUNTIF('Elève (4ème5)'!H17:K17,"D"))*1))/(COUNTA(H17:K17)),"")</f>
        <v>4</v>
      </c>
      <c r="M17" s="181" t="str">
        <f t="shared" si="1"/>
        <v>A</v>
      </c>
      <c r="N17" s="123" t="s">
        <v>30</v>
      </c>
      <c r="O17" s="124"/>
      <c r="P17" s="125"/>
      <c r="Q17" s="125"/>
      <c r="R17" s="125"/>
      <c r="S17" s="180">
        <f>IFERROR((((COUNTIF('Elève (4ème5)'!N17:R17,"A"))*4)+((COUNTIF('Elève (4ème5)'!N17:R17,"B"))*3)+((COUNTIF('Elève (4ème5)'!N17:R17,"C"))*2)+((COUNTIF('Elève (4ème5)'!N17:R17,"D"))*1))/(COUNTA(N17:R17)),"")</f>
        <v>3</v>
      </c>
      <c r="T17" s="181" t="str">
        <f t="shared" si="2"/>
        <v>B</v>
      </c>
      <c r="U17" s="180">
        <f>IF(COUNT(F17,L17,S17)=0,"",SUM(F17,L17,S17)/COUNT(F17,L17,S17))</f>
        <v>3.1666666666666665</v>
      </c>
      <c r="V17" s="210" t="str">
        <f t="shared" si="3"/>
        <v>B</v>
      </c>
      <c r="W17" s="123" t="s">
        <v>31</v>
      </c>
      <c r="X17" s="124" t="s">
        <v>29</v>
      </c>
      <c r="Y17" s="125"/>
      <c r="Z17" s="180">
        <f>IFERROR((((COUNTIF('Elève (4ème5)'!W17:Y17,"A"))*4)+((COUNTIF('Elève (4ème5)'!W17:Y17,"B"))*3)+((COUNTIF('Elève (4ème5)'!W17:Y17,"C"))*2)+((COUNTIF('Elève (4ème5)'!W17:Y17,"D"))*1))/(COUNTA(W17:Y17)),"")</f>
        <v>3</v>
      </c>
      <c r="AA17" s="181" t="str">
        <f t="shared" si="4"/>
        <v>B</v>
      </c>
      <c r="AB17" s="123" t="s">
        <v>30</v>
      </c>
      <c r="AC17" s="124"/>
      <c r="AD17" s="125"/>
      <c r="AE17" s="125"/>
      <c r="AF17" s="180">
        <f>IFERROR((((COUNTIF('Elève (4ème5)'!AB17:AE17,"A"))*4)+((COUNTIF('Elève (4ème5)'!AB17:AE17,"B"))*3)+((COUNTIF('Elève (4ème5)'!AB17:AE17,"C"))*2)+((COUNTIF('Elève (4ème5)'!AB17:AE17,"D"))*1))/(COUNTA(AB17:AE17)),"")</f>
        <v>3</v>
      </c>
      <c r="AG17" s="181" t="str">
        <f t="shared" si="5"/>
        <v>B</v>
      </c>
      <c r="AH17" s="123" t="s">
        <v>30</v>
      </c>
      <c r="AI17" s="124"/>
      <c r="AJ17" s="125"/>
      <c r="AK17" s="125"/>
      <c r="AL17" s="125"/>
      <c r="AM17" s="180">
        <f>IFERROR((((COUNTIF('Elève (4ème5)'!AH17:AL17,"A"))*4)+((COUNTIF('Elève (4ème5)'!AH17:AL17,"B"))*3)+((COUNTIF('Elève (4ème5)'!AH17:AL17,"C"))*2)+((COUNTIF('Elève (4ème5)'!AH17:AL17,"D"))*1))/(COUNTA(AH17:AL17)),"")</f>
        <v>3</v>
      </c>
      <c r="AN17" s="181" t="str">
        <f t="shared" si="6"/>
        <v>B</v>
      </c>
      <c r="AO17" s="180">
        <f>IF(COUNT(Z17,AF17,AM17)=0,"",SUM(Z17,AF17,AM17)/COUNT(Z17,AF17,AM17))</f>
        <v>3</v>
      </c>
      <c r="AP17" s="210" t="str">
        <f t="shared" si="7"/>
        <v>B</v>
      </c>
      <c r="AQ17" s="123" t="s">
        <v>30</v>
      </c>
      <c r="AR17" s="124" t="s">
        <v>30</v>
      </c>
      <c r="AS17" s="125"/>
      <c r="AT17" s="180">
        <f>IFERROR((((COUNTIF('Elève (4ème5)'!AQ17:AS17,"A"))*4)+((COUNTIF('Elève (4ème5)'!AQ17:AS17,"B"))*3)+((COUNTIF('Elève (4ème5)'!AQ17:AS17,"C"))*2)+((COUNTIF('Elève (4ème5)'!AQ17:AS17,"D"))*1))/(COUNTA(AQ17:AS17)),"")</f>
        <v>3</v>
      </c>
      <c r="AU17" s="181" t="str">
        <f t="shared" si="8"/>
        <v>B</v>
      </c>
      <c r="AV17" s="123" t="s">
        <v>30</v>
      </c>
      <c r="AW17" s="124"/>
      <c r="AX17" s="125"/>
      <c r="AY17" s="125"/>
      <c r="AZ17" s="180">
        <f>IFERROR((((COUNTIF('Elève (4ème5)'!AV17:AY17,"A"))*4)+((COUNTIF('Elève (4ème5)'!AV17:AY17,"B"))*3)+((COUNTIF('Elève (4ème5)'!AV17:AY17,"C"))*2)+((COUNTIF('Elève (4ème5)'!AV17:AY17,"D"))*1))/(COUNTA(AV17:AY17)),"")</f>
        <v>3</v>
      </c>
      <c r="BA17" s="181" t="str">
        <f t="shared" si="9"/>
        <v>B</v>
      </c>
      <c r="BB17" s="123" t="s">
        <v>31</v>
      </c>
      <c r="BC17" s="124"/>
      <c r="BD17" s="125"/>
      <c r="BE17" s="125"/>
      <c r="BF17" s="125"/>
      <c r="BG17" s="180">
        <f>IFERROR((((COUNTIF('Elève (4ème5)'!BB17:BF17,"A"))*4)+((COUNTIF('Elève (4ème5)'!BB17:BF17,"B"))*3)+((COUNTIF('Elève (4ème5)'!BB17:BF17,"C"))*2)+((COUNTIF('Elève (4ème5)'!BB17:BF17,"D"))*1))/(COUNTA(BB17:BF17)),"")</f>
        <v>2</v>
      </c>
      <c r="BH17" s="181" t="str">
        <f t="shared" si="10"/>
        <v>C</v>
      </c>
      <c r="BI17" s="180">
        <f>IF(COUNT(AT17,AZ17,BG17)=0,"",SUM(AT17,AZ17,BG17)/COUNT(AT17,AZ17,BG17))</f>
        <v>2.6666666666666665</v>
      </c>
      <c r="BJ17" s="210" t="str">
        <f t="shared" si="11"/>
        <v>C</v>
      </c>
      <c r="BK17" s="123" t="s">
        <v>30</v>
      </c>
      <c r="BL17" s="124" t="s">
        <v>29</v>
      </c>
      <c r="BM17" s="125"/>
      <c r="BN17" s="180">
        <f>IFERROR((((COUNTIF('Elève (4ème5)'!BK17:BM17,"A"))*4)+((COUNTIF('Elève (4ème5)'!BK17:BM17,"B"))*3)+((COUNTIF('Elève (4ème5)'!BK17:BM17,"C"))*2)+((COUNTIF('Elève (4ème5)'!BK17:BM17,"D"))*1))/(COUNTA(BK17:BM17)),"")</f>
        <v>3.5</v>
      </c>
      <c r="BO17" s="181" t="str">
        <f t="shared" si="12"/>
        <v>B</v>
      </c>
      <c r="BP17" s="123" t="s">
        <v>30</v>
      </c>
      <c r="BQ17" s="124"/>
      <c r="BR17" s="125"/>
      <c r="BS17" s="125"/>
      <c r="BT17" s="180">
        <f>IFERROR((((COUNTIF('Elève (4ème5)'!BP17:BS17,"A"))*4)+((COUNTIF('Elève (4ème5)'!BP17:BS17,"B"))*3)+((COUNTIF('Elève (4ème5)'!BP17:BS17,"C"))*2)+((COUNTIF('Elève (4ème5)'!BP17:BS17,"D"))*1))/(COUNTA(BP17:BS17)),"")</f>
        <v>3</v>
      </c>
      <c r="BU17" s="181" t="str">
        <f t="shared" si="13"/>
        <v>B</v>
      </c>
      <c r="BV17" s="123" t="s">
        <v>31</v>
      </c>
      <c r="BW17" s="124"/>
      <c r="BX17" s="125"/>
      <c r="BY17" s="125"/>
      <c r="BZ17" s="125"/>
      <c r="CA17" s="180">
        <f>IFERROR((((COUNTIF('Elève (4ème5)'!BV17:BZ17,"A"))*4)+((COUNTIF('Elève (4ème5)'!BV17:BZ17,"B"))*3)+((COUNTIF('Elève (4ème5)'!BV17:BZ17,"C"))*2)+((COUNTIF('Elève (4ème5)'!BV17:BZ17,"D"))*1))/(COUNTA(BV17:BZ17)),"")</f>
        <v>2</v>
      </c>
      <c r="CB17" s="181" t="str">
        <f t="shared" si="14"/>
        <v>C</v>
      </c>
      <c r="CC17" s="180">
        <f>IF(COUNT(BN17,BT17,CA17)=0,"",SUM(BN17,BT17,CA17)/COUNT(BN17,BT17,CA17))</f>
        <v>2.8333333333333335</v>
      </c>
      <c r="CD17" s="210" t="str">
        <f t="shared" si="15"/>
        <v>B</v>
      </c>
      <c r="CE17" s="123" t="s">
        <v>30</v>
      </c>
      <c r="CF17" s="124" t="s">
        <v>30</v>
      </c>
      <c r="CG17" s="125"/>
      <c r="CH17" s="180">
        <f>IFERROR((((COUNTIF('Elève (4ème5)'!CE17:CG17,"A"))*4)+((COUNTIF('Elève (4ème5)'!CE17:CG17,"B"))*3)+((COUNTIF('Elève (4ème5)'!CE17:CG17,"C"))*2)+((COUNTIF('Elève (4ème5)'!CE17:CG17,"D"))*1))/(COUNTA(CE17:CG17)),"")</f>
        <v>3</v>
      </c>
      <c r="CI17" s="181" t="str">
        <f t="shared" si="16"/>
        <v>B</v>
      </c>
      <c r="CJ17" s="123" t="s">
        <v>30</v>
      </c>
      <c r="CK17" s="124"/>
      <c r="CL17" s="125"/>
      <c r="CM17" s="125"/>
      <c r="CN17" s="180">
        <f>IFERROR((((COUNTIF('Elève (4ème5)'!CJ17:CM17,"A"))*4)+((COUNTIF('Elève (4ème5)'!CJ17:CM17,"B"))*3)+((COUNTIF('Elève (4ème5)'!CJ17:CM17,"C"))*2)+((COUNTIF('Elève (4ème5)'!CJ17:CM17,"D"))*1))/(COUNTA(CJ17:CM17)),"")</f>
        <v>3</v>
      </c>
      <c r="CO17" s="181" t="str">
        <f t="shared" si="17"/>
        <v>B</v>
      </c>
      <c r="CP17" s="123" t="s">
        <v>30</v>
      </c>
      <c r="CQ17" s="124"/>
      <c r="CR17" s="125"/>
      <c r="CS17" s="125"/>
      <c r="CT17" s="125"/>
      <c r="CU17" s="180">
        <f>IFERROR((((COUNTIF('Elève (4ème5)'!CP17:CT17,"A"))*4)+((COUNTIF('Elève (4ème5)'!CP17:CT17,"B"))*3)+((COUNTIF('Elève (4ème5)'!CP17:CT17,"C"))*2)+((COUNTIF('Elève (4ème5)'!CP17:CT17,"D"))*1))/(COUNTA(CP17:CT17)),"")</f>
        <v>3</v>
      </c>
      <c r="CV17" s="181" t="str">
        <f t="shared" si="18"/>
        <v>B</v>
      </c>
      <c r="CW17" s="180">
        <f>IF(COUNT(CH17,CN17,CU17)=0,"",SUM(CH17,CN17,CU17)/COUNT(CH17,CN17,CU17))</f>
        <v>3</v>
      </c>
      <c r="CX17" s="210" t="str">
        <f t="shared" si="19"/>
        <v>B</v>
      </c>
      <c r="CY17" s="123" t="s">
        <v>32</v>
      </c>
      <c r="CZ17" s="124" t="s">
        <v>30</v>
      </c>
      <c r="DA17" s="125"/>
      <c r="DB17" s="180">
        <f>IFERROR((((COUNTIF('Elève (4ème5)'!CY17:DA17,"A"))*4)+((COUNTIF('Elève (4ème5)'!CY17:DA17,"B"))*3)+((COUNTIF('Elève (4ème5)'!CY17:DA17,"C"))*2)+((COUNTIF('Elève (4ème5)'!CY17:DA17,"D"))*1))/(COUNTA(CY17:DA17)),"")</f>
        <v>2</v>
      </c>
      <c r="DC17" s="181" t="str">
        <f t="shared" si="20"/>
        <v>C</v>
      </c>
      <c r="DD17" s="123" t="s">
        <v>29</v>
      </c>
      <c r="DE17" s="124"/>
      <c r="DF17" s="125"/>
      <c r="DG17" s="125"/>
      <c r="DH17" s="180">
        <f>IFERROR((((COUNTIF('Elève (4ème5)'!DD17:DG17,"A"))*4)+((COUNTIF('Elève (4ème5)'!DD17:DG17,"B"))*3)+((COUNTIF('Elève (4ème5)'!DD17:DG17,"C"))*2)+((COUNTIF('Elève (4ème5)'!DD17:DG17,"D"))*1))/(COUNTA(DD17:DG17)),"")</f>
        <v>4</v>
      </c>
      <c r="DI17" s="181" t="str">
        <f t="shared" si="21"/>
        <v>A</v>
      </c>
      <c r="DJ17" s="123" t="s">
        <v>31</v>
      </c>
      <c r="DK17" s="124"/>
      <c r="DL17" s="125"/>
      <c r="DM17" s="125"/>
      <c r="DN17" s="125"/>
      <c r="DO17" s="180">
        <f>IFERROR((((COUNTIF('Elève (4ème5)'!DJ17:DN17,"A"))*4)+((COUNTIF('Elève (4ème5)'!DJ17:DN17,"B"))*3)+((COUNTIF('Elève (4ème5)'!DJ17:DN17,"C"))*2)+((COUNTIF('Elève (4ème5)'!DJ17:DN17,"D"))*1))/(COUNTA(DJ17:DN17)),"")</f>
        <v>2</v>
      </c>
      <c r="DP17" s="181" t="str">
        <f t="shared" si="22"/>
        <v>C</v>
      </c>
      <c r="DQ17" s="180">
        <f>IF(COUNT(DB17,DH17,DO17)=0,"",SUM(DB17,DH17,DO17)/COUNT(DB17,DH17,DO17))</f>
        <v>2.6666666666666665</v>
      </c>
      <c r="DR17" s="210" t="str">
        <f t="shared" si="23"/>
        <v>C</v>
      </c>
      <c r="DS17" s="123" t="s">
        <v>30</v>
      </c>
      <c r="DT17" s="124" t="s">
        <v>32</v>
      </c>
      <c r="DU17" s="125"/>
      <c r="DV17" s="180">
        <f>IFERROR((((COUNTIF('Elève (4ème5)'!DS17:DU17,"A"))*4)+((COUNTIF('Elève (4ème5)'!DS17:DU17,"B"))*3)+((COUNTIF('Elève (4ème5)'!DS17:DU17,"C"))*2)+((COUNTIF('Elève (4ème5)'!DS17:DU17,"D"))*1))/(COUNTA(DS17:DU17)),"")</f>
        <v>2</v>
      </c>
      <c r="DW17" s="181" t="str">
        <f t="shared" si="24"/>
        <v>C</v>
      </c>
      <c r="DX17" s="123" t="s">
        <v>31</v>
      </c>
      <c r="DY17" s="124"/>
      <c r="DZ17" s="125"/>
      <c r="EA17" s="125"/>
      <c r="EB17" s="180">
        <f>IFERROR((((COUNTIF('Elève (4ème5)'!DX17:EA17,"A"))*4)+((COUNTIF('Elève (4ème5)'!DX17:EA17,"B"))*3)+((COUNTIF('Elève (4ème5)'!DX17:EA17,"C"))*2)+((COUNTIF('Elève (4ème5)'!DX17:EA17,"D"))*1))/(COUNTA(DX17:EA17)),"")</f>
        <v>2</v>
      </c>
      <c r="EC17" s="181" t="str">
        <f t="shared" si="25"/>
        <v>C</v>
      </c>
      <c r="ED17" s="123" t="s">
        <v>30</v>
      </c>
      <c r="EE17" s="124"/>
      <c r="EF17" s="125"/>
      <c r="EG17" s="125"/>
      <c r="EH17" s="125"/>
      <c r="EI17" s="180">
        <f>IFERROR((((COUNTIF('Elève (4ème5)'!ED17:EH17,"A"))*4)+((COUNTIF('Elève (4ème5)'!ED17:EH17,"B"))*3)+((COUNTIF('Elève (4ème5)'!ED17:EH17,"C"))*2)+((COUNTIF('Elève (4ème5)'!ED17:EH17,"D"))*1))/(COUNTA(ED17:EH17)),"")</f>
        <v>3</v>
      </c>
      <c r="EJ17" s="181" t="str">
        <f t="shared" si="26"/>
        <v>B</v>
      </c>
      <c r="EK17" s="180">
        <f>IF(COUNT(DV17,EB17,EI17)=0,"",SUM(DV17,EB17,EI17)/COUNT(DV17,EB17,EI17))</f>
        <v>2.3333333333333335</v>
      </c>
      <c r="EL17" s="210" t="str">
        <f t="shared" si="27"/>
        <v>C</v>
      </c>
      <c r="EM17" s="123" t="s">
        <v>30</v>
      </c>
      <c r="EN17" s="124" t="s">
        <v>29</v>
      </c>
      <c r="EO17" s="125"/>
      <c r="EP17" s="180">
        <f>IFERROR((((COUNTIF('Elève (4ème5)'!EM17:EO17,"A"))*4)+((COUNTIF('Elève (4ème5)'!EM17:EO17,"B"))*3)+((COUNTIF('Elève (4ème5)'!EM17:EO17,"C"))*2)+((COUNTIF('Elève (4ème5)'!EM17:EO17,"D"))*1))/(COUNTA(EM17:EO17)),"")</f>
        <v>3.5</v>
      </c>
      <c r="EQ17" s="181" t="str">
        <f t="shared" si="28"/>
        <v>B</v>
      </c>
      <c r="ER17" s="123" t="s">
        <v>29</v>
      </c>
      <c r="ES17" s="124"/>
      <c r="ET17" s="125"/>
      <c r="EU17" s="125"/>
      <c r="EV17" s="180">
        <f>IFERROR((((COUNTIF('Elève (4ème5)'!ER17:EU17,"A"))*4)+((COUNTIF('Elève (4ème5)'!ER17:EU17,"B"))*3)+((COUNTIF('Elève (4ème5)'!ER17:EU17,"C"))*2)+((COUNTIF('Elève (4ème5)'!ER17:EU17,"D"))*1))/(COUNTA(ER17:EU17)),"")</f>
        <v>4</v>
      </c>
      <c r="EW17" s="181" t="str">
        <f t="shared" si="29"/>
        <v>A</v>
      </c>
      <c r="EX17" s="123" t="s">
        <v>30</v>
      </c>
      <c r="EY17" s="124"/>
      <c r="EZ17" s="125"/>
      <c r="FA17" s="125"/>
      <c r="FB17" s="125"/>
      <c r="FC17" s="180">
        <f>IFERROR((((COUNTIF('Elève (4ème5)'!EX17:FB17,"A"))*4)+((COUNTIF('Elève (4ème5)'!EX17:FB17,"B"))*3)+((COUNTIF('Elève (4ème5)'!EX17:FB17,"C"))*2)+((COUNTIF('Elève (4ème5)'!EX17:FB17,"D"))*1))/(COUNTA(EX17:FB17)),"")</f>
        <v>3</v>
      </c>
      <c r="FD17" s="181" t="str">
        <f t="shared" si="30"/>
        <v>B</v>
      </c>
      <c r="FE17" s="180">
        <f>IF(COUNT(EP17,EV17,FC17)=0,"",SUM(EP17,EV17,FC17)/COUNT(EP17,EV17,FC17))</f>
        <v>3.5</v>
      </c>
      <c r="FF17" s="210" t="str">
        <f t="shared" si="31"/>
        <v>B</v>
      </c>
      <c r="FG17" s="123" t="s">
        <v>30</v>
      </c>
      <c r="FH17" s="124" t="s">
        <v>30</v>
      </c>
      <c r="FI17" s="125"/>
      <c r="FJ17" s="180">
        <f>IFERROR((((COUNTIF('Elève (4ème5)'!FG17:FI17,"A"))*4)+((COUNTIF('Elève (4ème5)'!FG17:FI17,"B"))*3)+((COUNTIF('Elève (4ème5)'!FG17:FI17,"C"))*2)+((COUNTIF('Elève (4ème5)'!FG17:FI17,"D"))*1))/(COUNTA(FG17:FI17)),"")</f>
        <v>3</v>
      </c>
      <c r="FK17" s="181" t="str">
        <f t="shared" si="32"/>
        <v>B</v>
      </c>
      <c r="FL17" s="123" t="s">
        <v>31</v>
      </c>
      <c r="FM17" s="124"/>
      <c r="FN17" s="125"/>
      <c r="FO17" s="125"/>
      <c r="FP17" s="180">
        <f>IFERROR((((COUNTIF('Elève (4ème5)'!FL17:FO17,"A"))*4)+((COUNTIF('Elève (4ème5)'!FL17:FO17,"B"))*3)+((COUNTIF('Elève (4ème5)'!FL17:FO17,"C"))*2)+((COUNTIF('Elève (4ème5)'!FL17:FO17,"D"))*1))/(COUNTA(FL17:FO17)),"")</f>
        <v>2</v>
      </c>
      <c r="FQ17" s="181" t="str">
        <f t="shared" si="33"/>
        <v>C</v>
      </c>
      <c r="FR17" s="123" t="s">
        <v>30</v>
      </c>
      <c r="FS17" s="124"/>
      <c r="FT17" s="125"/>
      <c r="FU17" s="125"/>
      <c r="FV17" s="125"/>
      <c r="FW17" s="180">
        <f>IFERROR((((COUNTIF('Elève (4ème5)'!FR17:FV17,"A"))*4)+((COUNTIF('Elève (4ème5)'!FR17:FV17,"B"))*3)+((COUNTIF('Elève (4ème5)'!FR17:FV17,"C"))*2)+((COUNTIF('Elève (4ème5)'!FR17:FV17,"D"))*1))/(COUNTA(FR17:FV17)),"")</f>
        <v>3</v>
      </c>
      <c r="FX17" s="181" t="str">
        <f t="shared" si="34"/>
        <v>B</v>
      </c>
      <c r="FY17" s="180">
        <f>IF(COUNT(FJ17,FP17,FW17)=0,"",SUM(FJ17,FP17,FW17)/COUNT(FJ17,FP17,FW17))</f>
        <v>2.6666666666666665</v>
      </c>
      <c r="FZ17" s="210" t="str">
        <f t="shared" si="35"/>
        <v>C</v>
      </c>
      <c r="GA17" s="123" t="s">
        <v>30</v>
      </c>
      <c r="GB17" s="124" t="s">
        <v>30</v>
      </c>
      <c r="GC17" s="125"/>
      <c r="GD17" s="180">
        <f>IFERROR((((COUNTIF('Elève (4ème5)'!GA17:GC17,"A"))*4)+((COUNTIF('Elève (4ème5)'!GA17:GC17,"B"))*3)+((COUNTIF('Elève (4ème5)'!GA17:GC17,"C"))*2)+((COUNTIF('Elève (4ème5)'!GA17:GC17,"D"))*1))/(COUNTA(GA17:GC17)),"")</f>
        <v>3</v>
      </c>
      <c r="GE17" s="181" t="str">
        <f t="shared" si="36"/>
        <v>B</v>
      </c>
      <c r="GF17" s="123" t="s">
        <v>30</v>
      </c>
      <c r="GG17" s="124"/>
      <c r="GH17" s="125"/>
      <c r="GI17" s="125"/>
      <c r="GJ17" s="180">
        <f>IFERROR((((COUNTIF('Elève (4ème5)'!GF17:GI17,"A"))*4)+((COUNTIF('Elève (4ème5)'!GF17:GI17,"B"))*3)+((COUNTIF('Elève (4ème5)'!GF17:GI17,"C"))*2)+((COUNTIF('Elève (4ème5)'!GF17:GI17,"D"))*1))/(COUNTA(GF17:GI17)),"")</f>
        <v>3</v>
      </c>
      <c r="GK17" s="181" t="str">
        <f t="shared" si="37"/>
        <v>B</v>
      </c>
      <c r="GL17" s="123" t="s">
        <v>29</v>
      </c>
      <c r="GM17" s="124"/>
      <c r="GN17" s="125"/>
      <c r="GO17" s="125"/>
      <c r="GP17" s="125"/>
      <c r="GQ17" s="180">
        <f>IFERROR((((COUNTIF('Elève (4ème5)'!GL17:GP17,"A"))*4)+((COUNTIF('Elève (4ème5)'!GL17:GP17,"B"))*3)+((COUNTIF('Elève (4ème5)'!GL17:GP17,"C"))*2)+((COUNTIF('Elève (4ème5)'!GL17:GP17,"D"))*1))/(COUNTA(GL17:GP17)),"")</f>
        <v>4</v>
      </c>
      <c r="GR17" s="181" t="str">
        <f t="shared" si="38"/>
        <v>A</v>
      </c>
      <c r="GS17" s="180">
        <f>IF(COUNT(GD17,GJ17,GQ17)=0,"",SUM(GD17,GJ17,GQ17)/COUNT(GD17,GJ17,GQ17))</f>
        <v>3.3333333333333335</v>
      </c>
      <c r="GT17" s="210" t="str">
        <f t="shared" si="39"/>
        <v>B</v>
      </c>
      <c r="GU17" s="123" t="s">
        <v>31</v>
      </c>
      <c r="GV17" s="124" t="s">
        <v>32</v>
      </c>
      <c r="GW17" s="125"/>
      <c r="GX17" s="180">
        <f>IFERROR((((COUNTIF('Elève (4ème5)'!GU17:GW17,"A"))*4)+((COUNTIF('Elève (4ème5)'!GU17:GW17,"B"))*3)+((COUNTIF('Elève (4ème5)'!GU17:GW17,"C"))*2)+((COUNTIF('Elève (4ème5)'!GU17:GW17,"D"))*1))/(COUNTA(GU17:GW17)),"")</f>
        <v>1.5</v>
      </c>
      <c r="GY17" s="181" t="str">
        <f t="shared" si="40"/>
        <v>D</v>
      </c>
      <c r="GZ17" s="123" t="s">
        <v>31</v>
      </c>
      <c r="HA17" s="124"/>
      <c r="HB17" s="125"/>
      <c r="HC17" s="125"/>
      <c r="HD17" s="180">
        <f>IFERROR((((COUNTIF('Elève (4ème5)'!GZ17:HC17,"A"))*4)+((COUNTIF('Elève (4ème5)'!GZ17:HC17,"B"))*3)+((COUNTIF('Elève (4ème5)'!GZ17:HC17,"C"))*2)+((COUNTIF('Elève (4ème5)'!GZ17:HC17,"D"))*1))/(COUNTA(GZ17:HC17)),"")</f>
        <v>2</v>
      </c>
      <c r="HE17" s="181" t="str">
        <f t="shared" si="41"/>
        <v>C</v>
      </c>
      <c r="HF17" s="123" t="s">
        <v>30</v>
      </c>
      <c r="HG17" s="124"/>
      <c r="HH17" s="125"/>
      <c r="HI17" s="125"/>
      <c r="HJ17" s="125"/>
      <c r="HK17" s="180">
        <f>IFERROR((((COUNTIF('Elève (4ème5)'!HF17:HJ17,"A"))*4)+((COUNTIF('Elève (4ème5)'!HF17:HJ17,"B"))*3)+((COUNTIF('Elève (4ème5)'!HF17:HJ17,"C"))*2)+((COUNTIF('Elève (4ème5)'!HF17:HJ17,"D"))*1))/(COUNTA(HF17:HJ17)),"")</f>
        <v>3</v>
      </c>
      <c r="HL17" s="181" t="str">
        <f t="shared" si="42"/>
        <v>B</v>
      </c>
      <c r="HM17" s="180">
        <f>IF(COUNT(GX17,HD17,HK17)=0,"",SUM(GX17,HD17,HK17)/COUNT(GX17,HD17,HK17))</f>
        <v>2.1666666666666665</v>
      </c>
      <c r="HN17" s="210" t="str">
        <f t="shared" si="43"/>
        <v>C</v>
      </c>
      <c r="HO17" s="123" t="s">
        <v>31</v>
      </c>
      <c r="HP17" s="124" t="s">
        <v>30</v>
      </c>
      <c r="HQ17" s="125"/>
      <c r="HR17" s="180">
        <f>IFERROR((((COUNTIF('Elève (4ème5)'!HO17:HQ17,"A"))*4)+((COUNTIF('Elève (4ème5)'!HO17:HQ17,"B"))*3)+((COUNTIF('Elève (4ème5)'!HO17:HQ17,"C"))*2)+((COUNTIF('Elève (4ème5)'!HO17:HQ17,"D"))*1))/(COUNTA(HO17:HQ17)),"")</f>
        <v>2.5</v>
      </c>
      <c r="HS17" s="181" t="str">
        <f t="shared" si="44"/>
        <v>C</v>
      </c>
      <c r="HT17" s="123" t="s">
        <v>30</v>
      </c>
      <c r="HU17" s="124"/>
      <c r="HV17" s="125"/>
      <c r="HW17" s="125"/>
      <c r="HX17" s="180">
        <f>IFERROR((((COUNTIF('Elève (4ème5)'!HT17:HW17,"A"))*4)+((COUNTIF('Elève (4ème5)'!HT17:HW17,"B"))*3)+((COUNTIF('Elève (4ème5)'!HT17:HW17,"C"))*2)+((COUNTIF('Elève (4ème5)'!HT17:HW17,"D"))*1))/(COUNTA(HT17:HW17)),"")</f>
        <v>3</v>
      </c>
      <c r="HY17" s="181" t="str">
        <f t="shared" si="45"/>
        <v>B</v>
      </c>
      <c r="HZ17" s="123" t="s">
        <v>30</v>
      </c>
      <c r="IA17" s="124"/>
      <c r="IB17" s="125"/>
      <c r="IC17" s="125"/>
      <c r="ID17" s="125"/>
      <c r="IE17" s="180">
        <f>IFERROR((((COUNTIF('Elève (4ème5)'!HZ17:ID17,"A"))*4)+((COUNTIF('Elève (4ème5)'!HZ17:ID17,"B"))*3)+((COUNTIF('Elève (4ème5)'!HZ17:ID17,"C"))*2)+((COUNTIF('Elève (4ème5)'!HZ17:ID17,"D"))*1))/(COUNTA(HZ17:ID17)),"")</f>
        <v>3</v>
      </c>
      <c r="IF17" s="181" t="str">
        <f t="shared" si="46"/>
        <v>B</v>
      </c>
      <c r="IG17" s="180">
        <f>IF(COUNT(HR17,HX17,IE17)=0,"",SUM(HR17,HX17,IE17)/COUNT(HR17,HX17,IE17))</f>
        <v>2.8333333333333335</v>
      </c>
      <c r="IH17" s="210" t="str">
        <f t="shared" si="47"/>
        <v>B</v>
      </c>
      <c r="II17" s="123" t="s">
        <v>29</v>
      </c>
      <c r="IJ17" s="124" t="s">
        <v>29</v>
      </c>
      <c r="IK17" s="125"/>
      <c r="IL17" s="180">
        <f>IFERROR((((COUNTIF('Elève (4ème5)'!II17:IK17,"A"))*4)+((COUNTIF('Elève (4ème5)'!II17:IK17,"B"))*3)+((COUNTIF('Elève (4ème5)'!II17:IK17,"C"))*2)+((COUNTIF('Elève (4ème5)'!II17:IK17,"D"))*1))/(COUNTA(II17:IK17)),"")</f>
        <v>4</v>
      </c>
      <c r="IM17" s="181" t="str">
        <f t="shared" si="48"/>
        <v>A</v>
      </c>
      <c r="IN17" s="123" t="s">
        <v>30</v>
      </c>
      <c r="IO17" s="124"/>
      <c r="IP17" s="125"/>
      <c r="IQ17" s="125"/>
      <c r="IR17" s="180">
        <f>IFERROR((((COUNTIF('Elève (4ème5)'!IN17:IQ17,"A"))*4)+((COUNTIF('Elève (4ème5)'!IN17:IQ17,"B"))*3)+((COUNTIF('Elève (4ème5)'!IN17:IQ17,"C"))*2)+((COUNTIF('Elève (4ème5)'!IN17:IQ17,"D"))*1))/(COUNTA(IN17:IQ17)),"")</f>
        <v>3</v>
      </c>
      <c r="IS17" s="181" t="str">
        <f t="shared" si="49"/>
        <v>B</v>
      </c>
      <c r="IT17" s="123" t="s">
        <v>29</v>
      </c>
      <c r="IU17" s="124"/>
      <c r="IV17" s="125"/>
      <c r="IW17" s="125"/>
      <c r="IX17" s="125"/>
      <c r="IY17" s="180">
        <f>IFERROR((((COUNTIF('Elève (4ème5)'!IT17:IX17,"A"))*4)+((COUNTIF('Elève (4ème5)'!IT17:IX17,"B"))*3)+((COUNTIF('Elève (4ème5)'!IT17:IX17,"C"))*2)+((COUNTIF('Elève (4ème5)'!IT17:IX17,"D"))*1))/(COUNTA(IT17:IX17)),"")</f>
        <v>4</v>
      </c>
      <c r="IZ17" s="181" t="str">
        <f t="shared" si="50"/>
        <v>A</v>
      </c>
      <c r="JA17" s="180">
        <f>IF(COUNT(IL17,IR17,IY17)=0,"",SUM(IL17,IR17,IY17)/COUNT(IL17,IR17,IY17))</f>
        <v>3.6666666666666665</v>
      </c>
      <c r="JB17" s="210" t="str">
        <f t="shared" si="51"/>
        <v>B</v>
      </c>
      <c r="JC17" s="123" t="s">
        <v>30</v>
      </c>
      <c r="JD17" s="124" t="s">
        <v>29</v>
      </c>
      <c r="JE17" s="125"/>
      <c r="JF17" s="180">
        <f>IFERROR((((COUNTIF('Elève (4ème5)'!JC17:JE17,"A"))*4)+((COUNTIF('Elève (4ème5)'!JC17:JE17,"B"))*3)+((COUNTIF('Elève (4ème5)'!JC17:JE17,"C"))*2)+((COUNTIF('Elève (4ème5)'!JC17:JE17,"D"))*1))/(COUNTA(JC17:JE17)),"")</f>
        <v>3.5</v>
      </c>
      <c r="JG17" s="181" t="str">
        <f t="shared" si="52"/>
        <v>B</v>
      </c>
      <c r="JH17" s="123" t="s">
        <v>29</v>
      </c>
      <c r="JI17" s="124"/>
      <c r="JJ17" s="125"/>
      <c r="JK17" s="125"/>
      <c r="JL17" s="180">
        <f>IFERROR((((COUNTIF('Elève (4ème5)'!JH17:JK17,"A"))*4)+((COUNTIF('Elève (4ème5)'!JH17:JK17,"B"))*3)+((COUNTIF('Elève (4ème5)'!JH17:JK17,"C"))*2)+((COUNTIF('Elève (4ème5)'!JH17:JK17,"D"))*1))/(COUNTA(JH17:JK17)),"")</f>
        <v>4</v>
      </c>
      <c r="JM17" s="181" t="str">
        <f t="shared" si="53"/>
        <v>A</v>
      </c>
      <c r="JN17" s="123" t="s">
        <v>29</v>
      </c>
      <c r="JO17" s="124"/>
      <c r="JP17" s="125"/>
      <c r="JQ17" s="125"/>
      <c r="JR17" s="125"/>
      <c r="JS17" s="180">
        <f>IFERROR((((COUNTIF('Elève (4ème5)'!JN17:JR17,"A"))*4)+((COUNTIF('Elève (4ème5)'!JN17:JR17,"B"))*3)+((COUNTIF('Elève (4ème5)'!JN17:JR17,"C"))*2)+((COUNTIF('Elève (4ème5)'!JN17:JR17,"D"))*1))/(COUNTA(JN17:JR17)),"")</f>
        <v>4</v>
      </c>
      <c r="JT17" s="181" t="str">
        <f t="shared" si="54"/>
        <v>A</v>
      </c>
      <c r="JU17" s="180">
        <f>IF(COUNT(JF17,JL17,JS17)=0,"",SUM(JF17,JL17,JS17)/COUNT(JF17,JL17,JS17))</f>
        <v>3.8333333333333335</v>
      </c>
      <c r="JV17" s="210" t="str">
        <f t="shared" si="55"/>
        <v>A</v>
      </c>
      <c r="JW17" s="123" t="s">
        <v>29</v>
      </c>
      <c r="JX17" s="124" t="s">
        <v>31</v>
      </c>
      <c r="JY17" s="125"/>
      <c r="JZ17" s="180">
        <f>IFERROR((((COUNTIF('Elève (4ème5)'!JW17:JY17,"A"))*4)+((COUNTIF('Elève (4ème5)'!JW17:JY17,"B"))*3)+((COUNTIF('Elève (4ème5)'!JW17:JY17,"C"))*2)+((COUNTIF('Elève (4ème5)'!JW17:JY17,"D"))*1))/(COUNTA(JW17:JY17)),"")</f>
        <v>3</v>
      </c>
      <c r="KA17" s="181" t="str">
        <f t="shared" si="56"/>
        <v>B</v>
      </c>
      <c r="KB17" s="123" t="s">
        <v>30</v>
      </c>
      <c r="KC17" s="124"/>
      <c r="KD17" s="125"/>
      <c r="KE17" s="125"/>
      <c r="KF17" s="180">
        <f>IFERROR((((COUNTIF('Elève (4ème5)'!KB17:KE17,"A"))*4)+((COUNTIF('Elève (4ème5)'!KB17:KE17,"B"))*3)+((COUNTIF('Elève (4ème5)'!KB17:KE17,"C"))*2)+((COUNTIF('Elève (4ème5)'!KB17:KE17,"D"))*1))/(COUNTA(KB17:KE17)),"")</f>
        <v>3</v>
      </c>
      <c r="KG17" s="181" t="str">
        <f t="shared" si="57"/>
        <v>B</v>
      </c>
      <c r="KH17" s="123" t="s">
        <v>29</v>
      </c>
      <c r="KI17" s="124"/>
      <c r="KJ17" s="125"/>
      <c r="KK17" s="125"/>
      <c r="KL17" s="125"/>
      <c r="KM17" s="180">
        <f>IFERROR((((COUNTIF('Elève (4ème5)'!KH17:KL17,"A"))*4)+((COUNTIF('Elève (4ème5)'!KH17:KL17,"B"))*3)+((COUNTIF('Elève (4ème5)'!KH17:KL17,"C"))*2)+((COUNTIF('Elève (4ème5)'!KH17:KL17,"D"))*1))/(COUNTA(KH17:KL17)),"")</f>
        <v>4</v>
      </c>
      <c r="KN17" s="181" t="str">
        <f t="shared" si="58"/>
        <v>A</v>
      </c>
      <c r="KO17" s="180">
        <f>IF(COUNT(JZ17,KF17,KM17)=0,"",SUM(JZ17,KF17,KM17)/COUNT(JZ17,KF17,KM17))</f>
        <v>3.3333333333333335</v>
      </c>
      <c r="KP17" s="210" t="str">
        <f t="shared" si="59"/>
        <v>B</v>
      </c>
      <c r="KQ17" s="123" t="s">
        <v>31</v>
      </c>
      <c r="KR17" s="124" t="s">
        <v>30</v>
      </c>
      <c r="KS17" s="125"/>
      <c r="KT17" s="180">
        <f>IFERROR((((COUNTIF('Elève (4ème5)'!KQ17:KS17,"A"))*4)+((COUNTIF('Elève (4ème5)'!KQ17:KS17,"B"))*3)+((COUNTIF('Elève (4ème5)'!KQ17:KS17,"C"))*2)+((COUNTIF('Elève (4ème5)'!KQ17:KS17,"D"))*1))/(COUNTA(KQ17:KS17)),"")</f>
        <v>2.5</v>
      </c>
      <c r="KU17" s="181" t="str">
        <f t="shared" si="60"/>
        <v>C</v>
      </c>
      <c r="KV17" s="123" t="s">
        <v>31</v>
      </c>
      <c r="KW17" s="124"/>
      <c r="KX17" s="125"/>
      <c r="KY17" s="125"/>
      <c r="KZ17" s="180">
        <f>IFERROR((((COUNTIF('Elève (4ème5)'!KV17:KY17,"A"))*4)+((COUNTIF('Elève (4ème5)'!KV17:KY17,"B"))*3)+((COUNTIF('Elève (4ème5)'!KV17:KY17,"C"))*2)+((COUNTIF('Elève (4ème5)'!KV17:KY17,"D"))*1))/(COUNTA(KV17:KY17)),"")</f>
        <v>2</v>
      </c>
      <c r="LA17" s="181" t="str">
        <f t="shared" si="61"/>
        <v>C</v>
      </c>
      <c r="LB17" s="123" t="s">
        <v>30</v>
      </c>
      <c r="LC17" s="124"/>
      <c r="LD17" s="125"/>
      <c r="LE17" s="125"/>
      <c r="LF17" s="125"/>
      <c r="LG17" s="180">
        <f>IFERROR((((COUNTIF('Elève (4ème5)'!LB17:LF17,"A"))*4)+((COUNTIF('Elève (4ème5)'!LB17:LF17,"B"))*3)+((COUNTIF('Elève (4ème5)'!LB17:LF17,"C"))*2)+((COUNTIF('Elève (4ème5)'!LB17:LF17,"D"))*1))/(COUNTA(LB17:LF17)),"")</f>
        <v>3</v>
      </c>
      <c r="LH17" s="181" t="str">
        <f t="shared" si="62"/>
        <v>B</v>
      </c>
      <c r="LI17" s="180">
        <f>IF(COUNT(KT17,KZ17,LG17)=0,"",SUM(KT17,KZ17,LG17)/COUNT(KT17,KZ17,LG17))</f>
        <v>2.5</v>
      </c>
      <c r="LJ17" s="210" t="str">
        <f t="shared" si="63"/>
        <v>C</v>
      </c>
      <c r="LK17" s="123"/>
      <c r="LL17" s="124"/>
      <c r="LM17" s="125"/>
      <c r="LN17" s="180" t="str">
        <f>IFERROR((((COUNTIF('Elève (4ème5)'!LK17:LM17,"A"))*4)+((COUNTIF('Elève (4ème5)'!LK17:LM17,"B"))*3)+((COUNTIF('Elève (4ème5)'!LK17:LM17,"C"))*2)+((COUNTIF('Elève (4ème5)'!LK17:LM17,"D"))*1))/(COUNTA(LK17:LM17)),"")</f>
        <v/>
      </c>
      <c r="LO17" s="181" t="str">
        <f t="shared" si="64"/>
        <v/>
      </c>
      <c r="LP17" s="123"/>
      <c r="LQ17" s="124"/>
      <c r="LR17" s="125"/>
      <c r="LS17" s="125"/>
      <c r="LT17" s="180" t="str">
        <f>IFERROR((((COUNTIF('Elève (4ème5)'!LP17:LS17,"A"))*4)+((COUNTIF('Elève (4ème5)'!LP17:LS17,"B"))*3)+((COUNTIF('Elève (4ème5)'!LP17:LS17,"C"))*2)+((COUNTIF('Elève (4ème5)'!LP17:LS17,"D"))*1))/(COUNTA(LP17:LS17)),"")</f>
        <v/>
      </c>
      <c r="LU17" s="181" t="str">
        <f t="shared" si="65"/>
        <v/>
      </c>
      <c r="LV17" s="123"/>
      <c r="LW17" s="124"/>
      <c r="LX17" s="125"/>
      <c r="LY17" s="125"/>
      <c r="LZ17" s="125"/>
      <c r="MA17" s="180" t="str">
        <f>IFERROR((((COUNTIF('Elève (4ème5)'!LV17:LZ17,"A"))*4)+((COUNTIF('Elève (4ème5)'!LV17:LZ17,"B"))*3)+((COUNTIF('Elève (4ème5)'!LV17:LZ17,"C"))*2)+((COUNTIF('Elève (4ème5)'!LV17:LZ17,"D"))*1))/(COUNTA(LV17:LZ17)),"")</f>
        <v/>
      </c>
      <c r="MB17" s="181" t="str">
        <f t="shared" si="66"/>
        <v/>
      </c>
      <c r="MC17" s="180" t="str">
        <f>IF(COUNT(LN17,LT17,MA17)=0,"",SUM(LN17,LT17,MA17)/COUNT(LN17,LT17,MA17))</f>
        <v/>
      </c>
      <c r="MD17" s="210" t="str">
        <f t="shared" si="67"/>
        <v/>
      </c>
      <c r="ME17" s="123" t="s">
        <v>30</v>
      </c>
      <c r="MF17" s="124" t="s">
        <v>30</v>
      </c>
      <c r="MG17" s="125"/>
      <c r="MH17" s="180">
        <f>IFERROR((((COUNTIF('Elève (4ème5)'!ME17:MG17,"A"))*4)+((COUNTIF('Elève (4ème5)'!ME17:MG17,"B"))*3)+((COUNTIF('Elève (4ème5)'!ME17:MG17,"C"))*2)+((COUNTIF('Elève (4ème5)'!ME17:MG17,"D"))*1))/(COUNTA(ME17:MG17)),"")</f>
        <v>3</v>
      </c>
      <c r="MI17" s="181" t="str">
        <f t="shared" si="68"/>
        <v>B</v>
      </c>
      <c r="MJ17" s="123" t="s">
        <v>31</v>
      </c>
      <c r="MK17" s="124"/>
      <c r="ML17" s="125"/>
      <c r="MM17" s="125"/>
      <c r="MN17" s="180">
        <f>IFERROR((((COUNTIF('Elève (4ème5)'!MJ17:MM17,"A"))*4)+((COUNTIF('Elève (4ème5)'!MJ17:MM17,"B"))*3)+((COUNTIF('Elève (4ème5)'!MJ17:MM17,"C"))*2)+((COUNTIF('Elève (4ème5)'!MJ17:MM17,"D"))*1))/(COUNTA(MJ17:MM17)),"")</f>
        <v>2</v>
      </c>
      <c r="MO17" s="181" t="str">
        <f t="shared" si="69"/>
        <v>C</v>
      </c>
      <c r="MP17" s="123" t="s">
        <v>29</v>
      </c>
      <c r="MQ17" s="124"/>
      <c r="MR17" s="125"/>
      <c r="MS17" s="125"/>
      <c r="MT17" s="125"/>
      <c r="MU17" s="180">
        <f>IFERROR((((COUNTIF('Elève (4ème5)'!MP17:MT17,"A"))*4)+((COUNTIF('Elève (4ème5)'!MP17:MT17,"B"))*3)+((COUNTIF('Elève (4ème5)'!MP17:MT17,"C"))*2)+((COUNTIF('Elève (4ème5)'!MP17:MT17,"D"))*1))/(COUNTA(MP17:MT17)),"")</f>
        <v>4</v>
      </c>
      <c r="MV17" s="181" t="str">
        <f t="shared" si="70"/>
        <v>A</v>
      </c>
      <c r="MW17" s="180">
        <f>IF(COUNT(MH17,MN17,MU17)=0,"",SUM(MH17,MN17,MU17)/COUNT(MH17,MN17,MU17))</f>
        <v>3</v>
      </c>
      <c r="MX17" s="210" t="str">
        <f t="shared" si="71"/>
        <v>B</v>
      </c>
      <c r="MY17" s="123" t="s">
        <v>31</v>
      </c>
      <c r="MZ17" s="124" t="s">
        <v>32</v>
      </c>
      <c r="NA17" s="125"/>
      <c r="NB17" s="180">
        <f>IFERROR((((COUNTIF('Elève (4ème5)'!MY17:NA17,"A"))*4)+((COUNTIF('Elève (4ème5)'!MY17:NA17,"B"))*3)+((COUNTIF('Elève (4ème5)'!MY17:NA17,"C"))*2)+((COUNTIF('Elève (4ème5)'!MY17:NA17,"D"))*1))/(COUNTA(MY17:NA17)),"")</f>
        <v>1.5</v>
      </c>
      <c r="NC17" s="181" t="str">
        <f t="shared" si="72"/>
        <v>D</v>
      </c>
      <c r="ND17" s="123" t="s">
        <v>30</v>
      </c>
      <c r="NE17" s="124"/>
      <c r="NF17" s="125"/>
      <c r="NG17" s="125"/>
      <c r="NH17" s="180">
        <f>IFERROR((((COUNTIF('Elève (4ème5)'!ND17:NG17,"A"))*4)+((COUNTIF('Elève (4ème5)'!ND17:NG17,"B"))*3)+((COUNTIF('Elève (4ème5)'!ND17:NG17,"C"))*2)+((COUNTIF('Elève (4ème5)'!ND17:NG17,"D"))*1))/(COUNTA(ND17:NG17)),"")</f>
        <v>3</v>
      </c>
      <c r="NI17" s="181" t="str">
        <f t="shared" si="73"/>
        <v>B</v>
      </c>
      <c r="NJ17" s="123" t="s">
        <v>31</v>
      </c>
      <c r="NK17" s="124"/>
      <c r="NL17" s="125"/>
      <c r="NM17" s="125"/>
      <c r="NN17" s="125"/>
      <c r="NO17" s="180">
        <f>IFERROR((((COUNTIF('Elève (4ème5)'!NJ17:NN17,"A"))*4)+((COUNTIF('Elève (4ème5)'!NJ17:NN17,"B"))*3)+((COUNTIF('Elève (4ème5)'!NJ17:NN17,"C"))*2)+((COUNTIF('Elève (4ème5)'!NJ17:NN17,"D"))*1))/(COUNTA(NJ17:NN17)),"")</f>
        <v>2</v>
      </c>
      <c r="NP17" s="181" t="str">
        <f t="shared" si="74"/>
        <v>C</v>
      </c>
      <c r="NQ17" s="180">
        <f>IF(COUNT(NB17,NH17,NO17)=0,"",SUM(NB17,NH17,NO17)/COUNT(NB17,NH17,NO17))</f>
        <v>2.1666666666666665</v>
      </c>
      <c r="NR17" s="210" t="str">
        <f t="shared" si="75"/>
        <v>C</v>
      </c>
      <c r="NS17" s="123" t="s">
        <v>30</v>
      </c>
      <c r="NT17" s="124" t="s">
        <v>30</v>
      </c>
      <c r="NU17" s="125"/>
      <c r="NV17" s="180">
        <f>IFERROR((((COUNTIF('Elève (4ème5)'!NS17:NU17,"A"))*4)+((COUNTIF('Elève (4ème5)'!NS17:NU17,"B"))*3)+((COUNTIF('Elève (4ème5)'!NS17:NU17,"C"))*2)+((COUNTIF('Elève (4ème5)'!NS17:NU17,"D"))*1))/(COUNTA(NS17:NU17)),"")</f>
        <v>3</v>
      </c>
      <c r="NW17" s="181" t="str">
        <f t="shared" si="76"/>
        <v>B</v>
      </c>
      <c r="NX17" s="123" t="s">
        <v>31</v>
      </c>
      <c r="NY17" s="124"/>
      <c r="NZ17" s="125"/>
      <c r="OA17" s="125"/>
      <c r="OB17" s="180">
        <f>IFERROR((((COUNTIF('Elève (4ème5)'!NX17:OA17,"A"))*4)+((COUNTIF('Elève (4ème5)'!NX17:OA17,"B"))*3)+((COUNTIF('Elève (4ème5)'!NX17:OA17,"C"))*2)+((COUNTIF('Elève (4ème5)'!NX17:OA17,"D"))*1))/(COUNTA(NX17:OA17)),"")</f>
        <v>2</v>
      </c>
      <c r="OC17" s="181" t="str">
        <f t="shared" si="77"/>
        <v>C</v>
      </c>
      <c r="OD17" s="123" t="s">
        <v>31</v>
      </c>
      <c r="OE17" s="124"/>
      <c r="OF17" s="125"/>
      <c r="OG17" s="125"/>
      <c r="OH17" s="125"/>
      <c r="OI17" s="180">
        <f>IFERROR((((COUNTIF('Elève (4ème5)'!OD17:OH17,"A"))*4)+((COUNTIF('Elève (4ème5)'!OD17:OH17,"B"))*3)+((COUNTIF('Elève (4ème5)'!OD17:OH17,"C"))*2)+((COUNTIF('Elève (4ème5)'!OD17:OH17,"D"))*1))/(COUNTA(OD17:OH17)),"")</f>
        <v>2</v>
      </c>
      <c r="OJ17" s="181" t="str">
        <f t="shared" si="78"/>
        <v>C</v>
      </c>
      <c r="OK17" s="180">
        <f>IF(COUNT(NV17,OB17,OI17)=0,"",SUM(NV17,OB17,OI17)/COUNT(NV17,OB17,OI17))</f>
        <v>2.3333333333333335</v>
      </c>
      <c r="OL17" s="210" t="str">
        <f t="shared" si="79"/>
        <v>C</v>
      </c>
      <c r="OM17" s="123" t="s">
        <v>30</v>
      </c>
      <c r="ON17" s="124" t="s">
        <v>30</v>
      </c>
      <c r="OO17" s="125"/>
      <c r="OP17" s="180">
        <f>IFERROR((((COUNTIF('Elève (4ème5)'!OM17:OO17,"A"))*4)+((COUNTIF('Elève (4ème5)'!OM17:OO17,"B"))*3)+((COUNTIF('Elève (4ème5)'!OM17:OO17,"C"))*2)+((COUNTIF('Elève (4ème5)'!OM17:OO17,"D"))*1))/(COUNTA(OM17:OO17)),"")</f>
        <v>3</v>
      </c>
      <c r="OQ17" s="181" t="str">
        <f t="shared" si="80"/>
        <v>B</v>
      </c>
      <c r="OR17" s="123" t="s">
        <v>30</v>
      </c>
      <c r="OS17" s="124"/>
      <c r="OT17" s="125"/>
      <c r="OU17" s="125"/>
      <c r="OV17" s="180">
        <f>IFERROR((((COUNTIF('Elève (4ème5)'!OR17:OU17,"A"))*4)+((COUNTIF('Elève (4ème5)'!OR17:OU17,"B"))*3)+((COUNTIF('Elève (4ème5)'!OR17:OU17,"C"))*2)+((COUNTIF('Elève (4ème5)'!OR17:OU17,"D"))*1))/(COUNTA(OR17:OU17)),"")</f>
        <v>3</v>
      </c>
      <c r="OW17" s="181" t="str">
        <f t="shared" si="81"/>
        <v>B</v>
      </c>
      <c r="OX17" s="123" t="s">
        <v>31</v>
      </c>
      <c r="OY17" s="124"/>
      <c r="OZ17" s="125"/>
      <c r="PA17" s="125"/>
      <c r="PB17" s="125"/>
      <c r="PC17" s="180">
        <f>IFERROR((((COUNTIF('Elève (4ème5)'!OX17:PB17,"A"))*4)+((COUNTIF('Elève (4ème5)'!OX17:PB17,"B"))*3)+((COUNTIF('Elève (4ème5)'!OX17:PB17,"C"))*2)+((COUNTIF('Elève (4ème5)'!OX17:PB17,"D"))*1))/(COUNTA(OX17:PB17)),"")</f>
        <v>2</v>
      </c>
      <c r="PD17" s="181" t="str">
        <f t="shared" si="82"/>
        <v>C</v>
      </c>
      <c r="PE17" s="180">
        <f>IF(COUNT(OP17,OV17,PC17)=0,"",SUM(OP17,OV17,PC17)/COUNT(OP17,OV17,PC17))</f>
        <v>2.6666666666666665</v>
      </c>
      <c r="PF17" s="210" t="str">
        <f t="shared" si="83"/>
        <v>C</v>
      </c>
      <c r="PG17" s="123" t="s">
        <v>30</v>
      </c>
      <c r="PH17" s="124"/>
      <c r="PI17" s="125"/>
      <c r="PJ17" s="180">
        <f>IFERROR((((COUNTIF('Elève (4ème5)'!PG17:PI17,"A"))*4)+((COUNTIF('Elève (4ème5)'!PG17:PI17,"B"))*3)+((COUNTIF('Elève (4ème5)'!PG17:PI17,"C"))*2)+((COUNTIF('Elève (4ème5)'!PG17:PI17,"D"))*1))/(COUNTA(PG17:PI17)),"")</f>
        <v>3</v>
      </c>
      <c r="PK17" s="181" t="str">
        <f t="shared" si="84"/>
        <v>B</v>
      </c>
      <c r="PL17" s="123" t="s">
        <v>29</v>
      </c>
      <c r="PM17" s="124"/>
      <c r="PN17" s="125"/>
      <c r="PO17" s="125"/>
      <c r="PP17" s="180">
        <f>IFERROR((((COUNTIF('Elève (4ème5)'!PL17:PO17,"A"))*4)+((COUNTIF('Elève (4ème5)'!PL17:PO17,"B"))*3)+((COUNTIF('Elève (4ème5)'!PL17:PO17,"C"))*2)+((COUNTIF('Elève (4ème5)'!PL17:PO17,"D"))*1))/(COUNTA(PL17:PO17)),"")</f>
        <v>4</v>
      </c>
      <c r="PQ17" s="181" t="str">
        <f t="shared" si="85"/>
        <v>A</v>
      </c>
      <c r="PR17" s="123" t="s">
        <v>31</v>
      </c>
      <c r="PS17" s="124"/>
      <c r="PT17" s="125"/>
      <c r="PU17" s="125"/>
      <c r="PV17" s="125"/>
      <c r="PW17" s="180">
        <f>IFERROR((((COUNTIF('Elève (4ème5)'!PR17:PV17,"A"))*4)+((COUNTIF('Elève (4ème5)'!PR17:PV17,"B"))*3)+((COUNTIF('Elève (4ème5)'!PR17:PV17,"C"))*2)+((COUNTIF('Elève (4ème5)'!PR17:PV17,"D"))*1))/(COUNTA(PR17:PV17)),"")</f>
        <v>2</v>
      </c>
      <c r="PX17" s="181" t="str">
        <f t="shared" si="86"/>
        <v>C</v>
      </c>
      <c r="PY17" s="180">
        <f>IF(COUNT(PJ17,PP17,PW17)=0,"",SUM(PJ17,PP17,PW17)/COUNT(PJ17,PP17,PW17))</f>
        <v>3</v>
      </c>
      <c r="PZ17" s="210" t="str">
        <f t="shared" si="87"/>
        <v>B</v>
      </c>
      <c r="QA17" s="123" t="s">
        <v>29</v>
      </c>
      <c r="QB17" s="124" t="s">
        <v>30</v>
      </c>
      <c r="QC17" s="125"/>
      <c r="QD17" s="180">
        <f>IFERROR((((COUNTIF('Elève (4ème5)'!QA17:QC17,"A"))*4)+((COUNTIF('Elève (4ème5)'!QA17:QC17,"B"))*3)+((COUNTIF('Elève (4ème5)'!QA17:QC17,"C"))*2)+((COUNTIF('Elève (4ème5)'!QA17:QC17,"D"))*1))/(COUNTA(QA17:QC17)),"")</f>
        <v>3.5</v>
      </c>
      <c r="QE17" s="181" t="str">
        <f t="shared" si="88"/>
        <v>B</v>
      </c>
      <c r="QF17" s="123" t="s">
        <v>29</v>
      </c>
      <c r="QG17" s="124"/>
      <c r="QH17" s="125"/>
      <c r="QI17" s="125"/>
      <c r="QJ17" s="180">
        <f>IFERROR((((COUNTIF('Elève (4ème5)'!QF17:QI17,"A"))*4)+((COUNTIF('Elève (4ème5)'!QF17:QI17,"B"))*3)+((COUNTIF('Elève (4ème5)'!QF17:QI17,"C"))*2)+((COUNTIF('Elève (4ème5)'!QF17:QI17,"D"))*1))/(COUNTA(QF17:QI17)),"")</f>
        <v>4</v>
      </c>
      <c r="QK17" s="181" t="str">
        <f t="shared" si="89"/>
        <v>A</v>
      </c>
      <c r="QL17" s="123" t="s">
        <v>29</v>
      </c>
      <c r="QM17" s="124"/>
      <c r="QN17" s="125"/>
      <c r="QO17" s="125"/>
      <c r="QP17" s="125"/>
      <c r="QQ17" s="180">
        <f>IFERROR((((COUNTIF('Elève (4ème5)'!QL17:QP17,"A"))*4)+((COUNTIF('Elève (4ème5)'!QL17:QP17,"B"))*3)+((COUNTIF('Elève (4ème5)'!QL17:QP17,"C"))*2)+((COUNTIF('Elève (4ème5)'!QL17:QP17,"D"))*1))/(COUNTA(QL17:QP17)),"")</f>
        <v>4</v>
      </c>
      <c r="QR17" s="181" t="str">
        <f t="shared" si="90"/>
        <v>A</v>
      </c>
      <c r="QS17" s="180">
        <f>IF(COUNT(QD17,QJ17,QQ17)=0,"",SUM(QD17,QJ17,QQ17)/COUNT(QD17,QJ17,QQ17))</f>
        <v>3.8333333333333335</v>
      </c>
      <c r="QT17" s="210" t="str">
        <f t="shared" si="91"/>
        <v>A</v>
      </c>
      <c r="QU17" s="123" t="s">
        <v>30</v>
      </c>
      <c r="QV17" s="124" t="s">
        <v>30</v>
      </c>
      <c r="QW17" s="125"/>
      <c r="QX17" s="180">
        <f>IFERROR((((COUNTIF('Elève (4ème5)'!QU17:QW17,"A"))*4)+((COUNTIF('Elève (4ème5)'!QU17:QW17,"B"))*3)+((COUNTIF('Elève (4ème5)'!QU17:QW17,"C"))*2)+((COUNTIF('Elève (4ème5)'!QU17:QW17,"D"))*1))/(COUNTA(QU17:QW17)),"")</f>
        <v>3</v>
      </c>
      <c r="QY17" s="181" t="str">
        <f t="shared" si="92"/>
        <v>B</v>
      </c>
      <c r="QZ17" s="123" t="s">
        <v>30</v>
      </c>
      <c r="RA17" s="124"/>
      <c r="RB17" s="125"/>
      <c r="RC17" s="125"/>
      <c r="RD17" s="180">
        <f>IFERROR((((COUNTIF('Elève (4ème5)'!QZ17:RC17,"A"))*4)+((COUNTIF('Elève (4ème5)'!QZ17:RC17,"B"))*3)+((COUNTIF('Elève (4ème5)'!QZ17:RC17,"C"))*2)+((COUNTIF('Elève (4ème5)'!QZ17:RC17,"D"))*1))/(COUNTA(QZ17:RC17)),"")</f>
        <v>3</v>
      </c>
      <c r="RE17" s="181" t="str">
        <f t="shared" si="93"/>
        <v>B</v>
      </c>
      <c r="RF17" s="123" t="s">
        <v>31</v>
      </c>
      <c r="RG17" s="124"/>
      <c r="RH17" s="125"/>
      <c r="RI17" s="125"/>
      <c r="RJ17" s="125"/>
      <c r="RK17" s="180">
        <f>IFERROR((((COUNTIF('Elève (4ème5)'!RF17:RJ17,"A"))*4)+((COUNTIF('Elève (4ème5)'!RF17:RJ17,"B"))*3)+((COUNTIF('Elève (4ème5)'!RF17:RJ17,"C"))*2)+((COUNTIF('Elève (4ème5)'!RF17:RJ17,"D"))*1))/(COUNTA(RF17:RJ17)),"")</f>
        <v>2</v>
      </c>
      <c r="RL17" s="181" t="str">
        <f t="shared" si="94"/>
        <v>C</v>
      </c>
      <c r="RM17" s="180">
        <f>IF(COUNT(QX17,RD17,RK17)=0,"",SUM(QX17,RD17,RK17)/COUNT(QX17,RD17,RK17))</f>
        <v>2.6666666666666665</v>
      </c>
      <c r="RN17" s="210" t="str">
        <f t="shared" si="95"/>
        <v>C</v>
      </c>
      <c r="RO17" s="123" t="s">
        <v>30</v>
      </c>
      <c r="RP17" s="124" t="s">
        <v>30</v>
      </c>
      <c r="RQ17" s="125"/>
      <c r="RR17" s="180">
        <f>IFERROR((((COUNTIF('Elève (4ème5)'!RO17:RQ17,"A"))*4)+((COUNTIF('Elève (4ème5)'!RO17:RQ17,"B"))*3)+((COUNTIF('Elève (4ème5)'!RO17:RQ17,"C"))*2)+((COUNTIF('Elève (4ème5)'!RO17:RQ17,"D"))*1))/(COUNTA(RO17:RQ17)),"")</f>
        <v>3</v>
      </c>
      <c r="RS17" s="181" t="str">
        <f t="shared" si="96"/>
        <v>B</v>
      </c>
      <c r="RT17" s="123" t="s">
        <v>30</v>
      </c>
      <c r="RU17" s="124"/>
      <c r="RV17" s="125"/>
      <c r="RW17" s="125"/>
      <c r="RX17" s="180">
        <f>IFERROR((((COUNTIF('Elève (4ème5)'!RT17:RW17,"A"))*4)+((COUNTIF('Elève (4ème5)'!RT17:RW17,"B"))*3)+((COUNTIF('Elève (4ème5)'!RT17:RW17,"C"))*2)+((COUNTIF('Elève (4ème5)'!RT17:RW17,"D"))*1))/(COUNTA(RT17:RW17)),"")</f>
        <v>3</v>
      </c>
      <c r="RY17" s="181" t="str">
        <f t="shared" si="97"/>
        <v>B</v>
      </c>
      <c r="RZ17" s="123" t="s">
        <v>30</v>
      </c>
      <c r="SA17" s="124"/>
      <c r="SB17" s="125"/>
      <c r="SC17" s="125"/>
      <c r="SD17" s="125"/>
      <c r="SE17" s="180">
        <f>IFERROR((((COUNTIF('Elève (4ème5)'!RZ17:SD17,"A"))*4)+((COUNTIF('Elève (4ème5)'!RZ17:SD17,"B"))*3)+((COUNTIF('Elève (4ème5)'!RZ17:SD17,"C"))*2)+((COUNTIF('Elève (4ème5)'!RZ17:SD17,"D"))*1))/(COUNTA(RZ17:SD17)),"")</f>
        <v>3</v>
      </c>
      <c r="SF17" s="181" t="str">
        <f t="shared" si="98"/>
        <v>B</v>
      </c>
      <c r="SG17" s="180">
        <f>IF(COUNT(RR17,RX17,SE17)=0,"",SUM(RR17,RX17,SE17)/COUNT(RR17,RX17,SE17))</f>
        <v>3</v>
      </c>
      <c r="SH17" s="210" t="str">
        <f t="shared" si="99"/>
        <v>B</v>
      </c>
      <c r="SI17" s="123" t="s">
        <v>30</v>
      </c>
      <c r="SJ17" s="124" t="s">
        <v>30</v>
      </c>
      <c r="SK17" s="125"/>
      <c r="SL17" s="180">
        <f>IFERROR((((COUNTIF('Elève (4ème5)'!SI17:SK17,"A"))*4)+((COUNTIF('Elève (4ème5)'!SI17:SK17,"B"))*3)+((COUNTIF('Elève (4ème5)'!SI17:SK17,"C"))*2)+((COUNTIF('Elève (4ème5)'!SI17:SK17,"D"))*1))/(COUNTA(SI17:SK17)),"")</f>
        <v>3</v>
      </c>
      <c r="SM17" s="181" t="str">
        <f t="shared" si="100"/>
        <v>B</v>
      </c>
      <c r="SN17" s="123" t="s">
        <v>31</v>
      </c>
      <c r="SO17" s="124"/>
      <c r="SP17" s="125"/>
      <c r="SQ17" s="125"/>
      <c r="SR17" s="180">
        <f>IFERROR((((COUNTIF('Elève (4ème5)'!SN17:SQ17,"A"))*4)+((COUNTIF('Elève (4ème5)'!SN17:SQ17,"B"))*3)+((COUNTIF('Elève (4ème5)'!SN17:SQ17,"C"))*2)+((COUNTIF('Elève (4ème5)'!SN17:SQ17,"D"))*1))/(COUNTA(SN17:SQ17)),"")</f>
        <v>2</v>
      </c>
      <c r="SS17" s="181" t="str">
        <f t="shared" si="101"/>
        <v>C</v>
      </c>
      <c r="ST17" s="123" t="s">
        <v>31</v>
      </c>
      <c r="SU17" s="124"/>
      <c r="SV17" s="125"/>
      <c r="SW17" s="125"/>
      <c r="SX17" s="125"/>
      <c r="SY17" s="180">
        <f>IFERROR((((COUNTIF('Elève (4ème5)'!ST17:SX17,"A"))*4)+((COUNTIF('Elève (4ème5)'!ST17:SX17,"B"))*3)+((COUNTIF('Elève (4ème5)'!ST17:SX17,"C"))*2)+((COUNTIF('Elève (4ème5)'!ST17:SX17,"D"))*1))/(COUNTA(ST17:SX17)),"")</f>
        <v>2</v>
      </c>
      <c r="SZ17" s="181" t="str">
        <f t="shared" si="102"/>
        <v>C</v>
      </c>
      <c r="TA17" s="180">
        <f>IF(COUNT(SL17,SR17,SY17)=0,"",SUM(SL17,SR17,SY17)/COUNT(SL17,SR17,SY17))</f>
        <v>2.3333333333333335</v>
      </c>
      <c r="TB17" s="210" t="str">
        <f t="shared" si="103"/>
        <v>C</v>
      </c>
      <c r="TC17" s="123" t="s">
        <v>30</v>
      </c>
      <c r="TD17" s="124" t="s">
        <v>30</v>
      </c>
      <c r="TE17" s="125"/>
      <c r="TF17" s="180">
        <f>IFERROR((((COUNTIF('Elève (4ème5)'!TC17:TE17,"A"))*4)+((COUNTIF('Elève (4ème5)'!TC17:TE17,"B"))*3)+((COUNTIF('Elève (4ème5)'!TC17:TE17,"C"))*2)+((COUNTIF('Elève (4ème5)'!TC17:TE17,"D"))*1))/(COUNTA(TC17:TE17)),"")</f>
        <v>3</v>
      </c>
      <c r="TG17" s="181" t="str">
        <f t="shared" si="104"/>
        <v>B</v>
      </c>
      <c r="TH17" s="123" t="s">
        <v>31</v>
      </c>
      <c r="TI17" s="124"/>
      <c r="TJ17" s="125"/>
      <c r="TK17" s="125"/>
      <c r="TL17" s="180">
        <f>IFERROR((((COUNTIF('Elève (4ème5)'!TH17:TK17,"A"))*4)+((COUNTIF('Elève (4ème5)'!TH17:TK17,"B"))*3)+((COUNTIF('Elève (4ème5)'!TH17:TK17,"C"))*2)+((COUNTIF('Elève (4ème5)'!TH17:TK17,"D"))*1))/(COUNTA(TH17:TK17)),"")</f>
        <v>2</v>
      </c>
      <c r="TM17" s="181" t="str">
        <f t="shared" si="105"/>
        <v>C</v>
      </c>
      <c r="TN17" s="123" t="s">
        <v>30</v>
      </c>
      <c r="TO17" s="124"/>
      <c r="TP17" s="125"/>
      <c r="TQ17" s="125"/>
      <c r="TR17" s="125"/>
      <c r="TS17" s="180">
        <f>IFERROR((((COUNTIF('Elève (4ème5)'!TN17:TR17,"A"))*4)+((COUNTIF('Elève (4ème5)'!TN17:TR17,"B"))*3)+((COUNTIF('Elève (4ème5)'!TN17:TR17,"C"))*2)+((COUNTIF('Elève (4ème5)'!TN17:TR17,"D"))*1))/(COUNTA(TN17:TR17)),"")</f>
        <v>3</v>
      </c>
      <c r="TT17" s="181" t="str">
        <f t="shared" si="106"/>
        <v>B</v>
      </c>
      <c r="TU17" s="180">
        <f>IF(COUNT(TF17,TL17,TS17)=0,"",SUM(TF17,TL17,TS17)/COUNT(TF17,TL17,TS17))</f>
        <v>2.6666666666666665</v>
      </c>
      <c r="TV17" s="210" t="str">
        <f t="shared" si="107"/>
        <v>C</v>
      </c>
      <c r="TW17" s="123" t="s">
        <v>30</v>
      </c>
      <c r="TX17" s="124" t="s">
        <v>29</v>
      </c>
      <c r="TY17" s="125"/>
      <c r="TZ17" s="180">
        <f>IFERROR((((COUNTIF('Elève (4ème5)'!TW17:TY17,"A"))*4)+((COUNTIF('Elève (4ème5)'!TW17:TY17,"B"))*3)+((COUNTIF('Elève (4ème5)'!TW17:TY17,"C"))*2)+((COUNTIF('Elève (4ème5)'!TW17:TY17,"D"))*1))/(COUNTA(TW17:TY17)),"")</f>
        <v>3.5</v>
      </c>
      <c r="UA17" s="181" t="str">
        <f t="shared" si="108"/>
        <v>B</v>
      </c>
      <c r="UB17" s="123" t="s">
        <v>31</v>
      </c>
      <c r="UC17" s="124"/>
      <c r="UD17" s="125"/>
      <c r="UE17" s="125"/>
      <c r="UF17" s="180">
        <f>IFERROR((((COUNTIF('Elève (4ème5)'!UB17:UE17,"A"))*4)+((COUNTIF('Elève (4ème5)'!UB17:UE17,"B"))*3)+((COUNTIF('Elève (4ème5)'!UB17:UE17,"C"))*2)+((COUNTIF('Elève (4ème5)'!UB17:UE17,"D"))*1))/(COUNTA(UB17:UE17)),"")</f>
        <v>2</v>
      </c>
      <c r="UG17" s="181" t="str">
        <f t="shared" si="109"/>
        <v>C</v>
      </c>
      <c r="UH17" s="123" t="s">
        <v>29</v>
      </c>
      <c r="UI17" s="124"/>
      <c r="UJ17" s="125"/>
      <c r="UK17" s="125"/>
      <c r="UL17" s="125"/>
      <c r="UM17" s="180">
        <f>IFERROR((((COUNTIF('Elève (4ème5)'!UH17:UL17,"A"))*4)+((COUNTIF('Elève (4ème5)'!UH17:UL17,"B"))*3)+((COUNTIF('Elève (4ème5)'!UH17:UL17,"C"))*2)+((COUNTIF('Elève (4ème5)'!UH17:UL17,"D"))*1))/(COUNTA(UH17:UL17)),"")</f>
        <v>4</v>
      </c>
      <c r="UN17" s="181" t="str">
        <f t="shared" si="110"/>
        <v>A</v>
      </c>
      <c r="UO17" s="180">
        <f>IF(COUNT(TZ17,UF17,UM17)=0,"",SUM(TZ17,UF17,UM17)/COUNT(TZ17,UF17,UM17))</f>
        <v>3.1666666666666665</v>
      </c>
      <c r="UP17" s="210" t="str">
        <f t="shared" si="111"/>
        <v>B</v>
      </c>
      <c r="UQ17" s="123"/>
      <c r="UR17" s="124"/>
      <c r="US17" s="125"/>
      <c r="UT17" s="119" t="str">
        <f>IFERROR((((COUNTIF('Elève (4ème5)'!UQ17:US17,"A"))*4)+((COUNTIF('Elève (4ème5)'!UQ17:US17,"B"))*3)+((COUNTIF('Elève (4ème5)'!UQ17:US17,"C"))*2)+((COUNTIF('Elève (4ème5)'!UQ17:US17,"D"))*1))/(COUNTA(UQ17:US17)),"")</f>
        <v/>
      </c>
      <c r="UU17" s="120" t="str">
        <f t="shared" si="112"/>
        <v/>
      </c>
      <c r="UV17" s="123"/>
      <c r="UW17" s="124"/>
      <c r="UX17" s="125"/>
      <c r="UY17" s="119" t="str">
        <f>IFERROR((((COUNTIF('Elève (4ème5)'!UV17:UX17,"A"))*4)+((COUNTIF('Elève (4ème5)'!UV17:UX17,"B"))*3)+((COUNTIF('Elève (4ème5)'!UV17:UX17,"C"))*2)+((COUNTIF('Elève (4ème5)'!UV17:UX17,"D"))*1))/(COUNTA(UV17:UX17)),"")</f>
        <v/>
      </c>
      <c r="UZ17" s="120" t="str">
        <f t="shared" si="113"/>
        <v/>
      </c>
      <c r="VA17" s="123"/>
      <c r="VB17" s="124"/>
      <c r="VC17" s="129"/>
      <c r="VD17" s="119" t="str">
        <f>IFERROR((((COUNTIF('Elève (4ème5)'!VA17:VC17,"A"))*4)+((COUNTIF('Elève (4ème5)'!VA17:VC17,"B"))*3)+((COUNTIF('Elève (4ème5)'!VA17:VC17,"C"))*2)+((COUNTIF('Elève (4ème5)'!VA17:VC17,"D"))*1))/(COUNTA(VA17:VC17)),"")</f>
        <v/>
      </c>
      <c r="VE17" s="120" t="str">
        <f t="shared" si="114"/>
        <v/>
      </c>
      <c r="VF17" s="119" t="str">
        <f>IF(COUNT(UT17,UY17,VD17)=0,"",SUM(UT17,UY17,VD17)/COUNT(UT17,UY17,VD17))</f>
        <v/>
      </c>
      <c r="VG17" s="143" t="str">
        <f t="shared" si="115"/>
        <v/>
      </c>
      <c r="VH17" s="123"/>
      <c r="VI17" s="124"/>
      <c r="VJ17" s="125"/>
      <c r="VK17" s="119" t="str">
        <f>IFERROR((((COUNTIF('Elève (4ème5)'!VH17:VJ17,"A"))*4)+((COUNTIF('Elève (4ème5)'!VH17:VJ17,"B"))*3)+((COUNTIF('Elève (4ème5)'!VH17:VJ17,"C"))*2)+((COUNTIF('Elève (4ème5)'!VH17:VJ17,"D"))*1))/(COUNTA(VH17:VJ17)),"")</f>
        <v/>
      </c>
      <c r="VL17" s="120" t="str">
        <f t="shared" si="116"/>
        <v/>
      </c>
      <c r="VM17" s="123"/>
      <c r="VN17" s="124"/>
      <c r="VO17" s="125"/>
      <c r="VP17" s="119" t="str">
        <f>IFERROR((((COUNTIF('Elève (4ème5)'!VM17:VO17,"A"))*4)+((COUNTIF('Elève (4ème5)'!VM17:VO17,"B"))*3)+((COUNTIF('Elève (4ème5)'!VM17:VO17,"C"))*2)+((COUNTIF('Elève (4ème5)'!VM17:VO17,"D"))*1))/(COUNTA(VM17:VO17)),"")</f>
        <v/>
      </c>
      <c r="VQ17" s="120" t="str">
        <f t="shared" si="117"/>
        <v/>
      </c>
      <c r="VR17" s="123"/>
      <c r="VS17" s="124"/>
      <c r="VT17" s="129"/>
      <c r="VU17" s="119" t="str">
        <f>IFERROR((((COUNTIF('Elève (4ème5)'!VR17:VT17,"A"))*4)+((COUNTIF('Elève (4ème5)'!VR17:VT17,"B"))*3)+((COUNTIF('Elève (4ème5)'!VR17:VT17,"C"))*2)+((COUNTIF('Elève (4ème5)'!VR17:VT17,"D"))*1))/(COUNTA(VR17:VT17)),"")</f>
        <v/>
      </c>
      <c r="VV17" s="120" t="str">
        <f t="shared" si="118"/>
        <v/>
      </c>
      <c r="VW17" s="119" t="str">
        <f>IF(COUNT(VK17,VP17,VU17)=0,"",SUM(VK17,VP17,VU17)/COUNT(VK17,VP17,VU17))</f>
        <v/>
      </c>
      <c r="VX17" s="143" t="str">
        <f t="shared" si="119"/>
        <v/>
      </c>
    </row>
    <row r="18" spans="1:596" ht="18" customHeight="1" x14ac:dyDescent="0.55000000000000004">
      <c r="A18" s="248" t="s">
        <v>24</v>
      </c>
      <c r="B18" s="249"/>
      <c r="C18" s="123"/>
      <c r="D18" s="124"/>
      <c r="E18" s="125"/>
      <c r="F18" s="182" t="str">
        <f>IFERROR((((COUNTIF('Elève (4ème5)'!C18:E18,"A"))*4)+((COUNTIF('Elève (4ème5)'!C18:E18,"B"))*3)+((COUNTIF('Elève (4ème5)'!C18:E18,"C"))*2)+((COUNTIF('Elève (4ème5)'!C18:E18,"D"))*1))/(COUNTA(C18:E18)),"")</f>
        <v/>
      </c>
      <c r="G18" s="183" t="str">
        <f t="shared" si="0"/>
        <v/>
      </c>
      <c r="H18" s="123"/>
      <c r="I18" s="124" t="s">
        <v>31</v>
      </c>
      <c r="J18" s="125"/>
      <c r="K18" s="125"/>
      <c r="L18" s="182">
        <f>IFERROR((((COUNTIF('Elève (4ème5)'!H18:K18,"A"))*4)+((COUNTIF('Elève (4ème5)'!H18:K18,"B"))*3)+((COUNTIF('Elève (4ème5)'!H18:K18,"C"))*2)+((COUNTIF('Elève (4ème5)'!H18:K18,"D"))*1))/(COUNTA(H18:K18)),"")</f>
        <v>2</v>
      </c>
      <c r="M18" s="183" t="str">
        <f t="shared" si="1"/>
        <v>C</v>
      </c>
      <c r="N18" s="123" t="s">
        <v>32</v>
      </c>
      <c r="O18" s="124"/>
      <c r="P18" s="125"/>
      <c r="Q18" s="125"/>
      <c r="R18" s="125"/>
      <c r="S18" s="182">
        <f>IFERROR((((COUNTIF('Elève (4ème5)'!N18:R18,"A"))*4)+((COUNTIF('Elève (4ème5)'!N18:R18,"B"))*3)+((COUNTIF('Elève (4ème5)'!N18:R18,"C"))*2)+((COUNTIF('Elève (4ème5)'!N18:R18,"D"))*1))/(COUNTA(N18:R18)),"")</f>
        <v>1</v>
      </c>
      <c r="T18" s="183" t="str">
        <f t="shared" si="2"/>
        <v>D</v>
      </c>
      <c r="U18" s="182">
        <f>IF(COUNT(F18,L18,S18)=0,"",SUM(F18,L18,S18)/COUNT(F18,L18,S18))</f>
        <v>1.5</v>
      </c>
      <c r="V18" s="206" t="str">
        <f t="shared" si="3"/>
        <v>D</v>
      </c>
      <c r="W18" s="123"/>
      <c r="X18" s="124"/>
      <c r="Y18" s="125"/>
      <c r="Z18" s="182" t="str">
        <f>IFERROR((((COUNTIF('Elève (4ème5)'!W18:Y18,"A"))*4)+((COUNTIF('Elève (4ème5)'!W18:Y18,"B"))*3)+((COUNTIF('Elève (4ème5)'!W18:Y18,"C"))*2)+((COUNTIF('Elève (4ème5)'!W18:Y18,"D"))*1))/(COUNTA(W18:Y18)),"")</f>
        <v/>
      </c>
      <c r="AA18" s="183" t="str">
        <f t="shared" si="4"/>
        <v/>
      </c>
      <c r="AB18" s="123"/>
      <c r="AC18" s="124" t="s">
        <v>30</v>
      </c>
      <c r="AD18" s="125"/>
      <c r="AE18" s="125"/>
      <c r="AF18" s="182">
        <f>IFERROR((((COUNTIF('Elève (4ème5)'!AB18:AE18,"A"))*4)+((COUNTIF('Elève (4ème5)'!AB18:AE18,"B"))*3)+((COUNTIF('Elève (4ème5)'!AB18:AE18,"C"))*2)+((COUNTIF('Elève (4ème5)'!AB18:AE18,"D"))*1))/(COUNTA(AB18:AE18)),"")</f>
        <v>3</v>
      </c>
      <c r="AG18" s="183" t="str">
        <f t="shared" si="5"/>
        <v>B</v>
      </c>
      <c r="AH18" s="123" t="s">
        <v>30</v>
      </c>
      <c r="AI18" s="124"/>
      <c r="AJ18" s="125"/>
      <c r="AK18" s="125"/>
      <c r="AL18" s="125"/>
      <c r="AM18" s="182">
        <f>IFERROR((((COUNTIF('Elève (4ème5)'!AH18:AL18,"A"))*4)+((COUNTIF('Elève (4ème5)'!AH18:AL18,"B"))*3)+((COUNTIF('Elève (4ème5)'!AH18:AL18,"C"))*2)+((COUNTIF('Elève (4ème5)'!AH18:AL18,"D"))*1))/(COUNTA(AH18:AL18)),"")</f>
        <v>3</v>
      </c>
      <c r="AN18" s="183" t="str">
        <f t="shared" si="6"/>
        <v>B</v>
      </c>
      <c r="AO18" s="182">
        <f>IF(COUNT(Z18,AF18,AM18)=0,"",SUM(Z18,AF18,AM18)/COUNT(Z18,AF18,AM18))</f>
        <v>3</v>
      </c>
      <c r="AP18" s="206" t="str">
        <f t="shared" si="7"/>
        <v>B</v>
      </c>
      <c r="AQ18" s="123"/>
      <c r="AR18" s="124"/>
      <c r="AS18" s="125"/>
      <c r="AT18" s="182" t="str">
        <f>IFERROR((((COUNTIF('Elève (4ème5)'!AQ18:AS18,"A"))*4)+((COUNTIF('Elève (4ème5)'!AQ18:AS18,"B"))*3)+((COUNTIF('Elève (4ème5)'!AQ18:AS18,"C"))*2)+((COUNTIF('Elève (4ème5)'!AQ18:AS18,"D"))*1))/(COUNTA(AQ18:AS18)),"")</f>
        <v/>
      </c>
      <c r="AU18" s="183" t="str">
        <f t="shared" si="8"/>
        <v/>
      </c>
      <c r="AV18" s="123"/>
      <c r="AW18" s="124" t="s">
        <v>31</v>
      </c>
      <c r="AX18" s="125"/>
      <c r="AY18" s="125"/>
      <c r="AZ18" s="182">
        <f>IFERROR((((COUNTIF('Elève (4ème5)'!AV18:AY18,"A"))*4)+((COUNTIF('Elève (4ème5)'!AV18:AY18,"B"))*3)+((COUNTIF('Elève (4ème5)'!AV18:AY18,"C"))*2)+((COUNTIF('Elève (4ème5)'!AV18:AY18,"D"))*1))/(COUNTA(AV18:AY18)),"")</f>
        <v>2</v>
      </c>
      <c r="BA18" s="183" t="str">
        <f t="shared" si="9"/>
        <v>C</v>
      </c>
      <c r="BB18" s="123" t="s">
        <v>30</v>
      </c>
      <c r="BC18" s="124"/>
      <c r="BD18" s="125"/>
      <c r="BE18" s="125"/>
      <c r="BF18" s="125"/>
      <c r="BG18" s="182">
        <f>IFERROR((((COUNTIF('Elève (4ème5)'!BB18:BF18,"A"))*4)+((COUNTIF('Elève (4ème5)'!BB18:BF18,"B"))*3)+((COUNTIF('Elève (4ème5)'!BB18:BF18,"C"))*2)+((COUNTIF('Elève (4ème5)'!BB18:BF18,"D"))*1))/(COUNTA(BB18:BF18)),"")</f>
        <v>3</v>
      </c>
      <c r="BH18" s="183" t="str">
        <f t="shared" si="10"/>
        <v>B</v>
      </c>
      <c r="BI18" s="182">
        <f>IF(COUNT(AT18,AZ18,BG18)=0,"",SUM(AT18,AZ18,BG18)/COUNT(AT18,AZ18,BG18))</f>
        <v>2.5</v>
      </c>
      <c r="BJ18" s="206" t="str">
        <f t="shared" si="11"/>
        <v>C</v>
      </c>
      <c r="BK18" s="123"/>
      <c r="BL18" s="124"/>
      <c r="BM18" s="125"/>
      <c r="BN18" s="182" t="str">
        <f>IFERROR((((COUNTIF('Elève (4ème5)'!BK18:BM18,"A"))*4)+((COUNTIF('Elève (4ème5)'!BK18:BM18,"B"))*3)+((COUNTIF('Elève (4ème5)'!BK18:BM18,"C"))*2)+((COUNTIF('Elève (4ème5)'!BK18:BM18,"D"))*1))/(COUNTA(BK18:BM18)),"")</f>
        <v/>
      </c>
      <c r="BO18" s="183" t="str">
        <f t="shared" si="12"/>
        <v/>
      </c>
      <c r="BP18" s="123"/>
      <c r="BQ18" s="124" t="s">
        <v>29</v>
      </c>
      <c r="BR18" s="125"/>
      <c r="BS18" s="125"/>
      <c r="BT18" s="182">
        <f>IFERROR((((COUNTIF('Elève (4ème5)'!BP18:BS18,"A"))*4)+((COUNTIF('Elève (4ème5)'!BP18:BS18,"B"))*3)+((COUNTIF('Elève (4ème5)'!BP18:BS18,"C"))*2)+((COUNTIF('Elève (4ème5)'!BP18:BS18,"D"))*1))/(COUNTA(BP18:BS18)),"")</f>
        <v>4</v>
      </c>
      <c r="BU18" s="183" t="str">
        <f t="shared" si="13"/>
        <v>A</v>
      </c>
      <c r="BV18" s="123" t="s">
        <v>30</v>
      </c>
      <c r="BW18" s="124"/>
      <c r="BX18" s="125"/>
      <c r="BY18" s="125"/>
      <c r="BZ18" s="125"/>
      <c r="CA18" s="182">
        <f>IFERROR((((COUNTIF('Elève (4ème5)'!BV18:BZ18,"A"))*4)+((COUNTIF('Elève (4ème5)'!BV18:BZ18,"B"))*3)+((COUNTIF('Elève (4ème5)'!BV18:BZ18,"C"))*2)+((COUNTIF('Elève (4ème5)'!BV18:BZ18,"D"))*1))/(COUNTA(BV18:BZ18)),"")</f>
        <v>3</v>
      </c>
      <c r="CB18" s="183" t="str">
        <f t="shared" si="14"/>
        <v>B</v>
      </c>
      <c r="CC18" s="182">
        <f>IF(COUNT(BN18,BT18,CA18)=0,"",SUM(BN18,BT18,CA18)/COUNT(BN18,BT18,CA18))</f>
        <v>3.5</v>
      </c>
      <c r="CD18" s="206" t="str">
        <f t="shared" si="15"/>
        <v>B</v>
      </c>
      <c r="CE18" s="123"/>
      <c r="CF18" s="124"/>
      <c r="CG18" s="125"/>
      <c r="CH18" s="182" t="str">
        <f>IFERROR((((COUNTIF('Elève (4ème5)'!CE18:CG18,"A"))*4)+((COUNTIF('Elève (4ème5)'!CE18:CG18,"B"))*3)+((COUNTIF('Elève (4ème5)'!CE18:CG18,"C"))*2)+((COUNTIF('Elève (4ème5)'!CE18:CG18,"D"))*1))/(COUNTA(CE18:CG18)),"")</f>
        <v/>
      </c>
      <c r="CI18" s="183" t="str">
        <f t="shared" si="16"/>
        <v/>
      </c>
      <c r="CJ18" s="123"/>
      <c r="CK18" s="124" t="s">
        <v>30</v>
      </c>
      <c r="CL18" s="125"/>
      <c r="CM18" s="125"/>
      <c r="CN18" s="182">
        <f>IFERROR((((COUNTIF('Elève (4ème5)'!CJ18:CM18,"A"))*4)+((COUNTIF('Elève (4ème5)'!CJ18:CM18,"B"))*3)+((COUNTIF('Elève (4ème5)'!CJ18:CM18,"C"))*2)+((COUNTIF('Elève (4ème5)'!CJ18:CM18,"D"))*1))/(COUNTA(CJ18:CM18)),"")</f>
        <v>3</v>
      </c>
      <c r="CO18" s="183" t="str">
        <f t="shared" si="17"/>
        <v>B</v>
      </c>
      <c r="CP18" s="123" t="s">
        <v>29</v>
      </c>
      <c r="CQ18" s="124"/>
      <c r="CR18" s="125"/>
      <c r="CS18" s="125"/>
      <c r="CT18" s="125"/>
      <c r="CU18" s="182">
        <f>IFERROR((((COUNTIF('Elève (4ème5)'!CP18:CT18,"A"))*4)+((COUNTIF('Elève (4ème5)'!CP18:CT18,"B"))*3)+((COUNTIF('Elève (4ème5)'!CP18:CT18,"C"))*2)+((COUNTIF('Elève (4ème5)'!CP18:CT18,"D"))*1))/(COUNTA(CP18:CT18)),"")</f>
        <v>4</v>
      </c>
      <c r="CV18" s="183" t="str">
        <f t="shared" si="18"/>
        <v>A</v>
      </c>
      <c r="CW18" s="182">
        <f>IF(COUNT(CH18,CN18,CU18)=0,"",SUM(CH18,CN18,CU18)/COUNT(CH18,CN18,CU18))</f>
        <v>3.5</v>
      </c>
      <c r="CX18" s="206" t="str">
        <f t="shared" si="19"/>
        <v>B</v>
      </c>
      <c r="CY18" s="123"/>
      <c r="CZ18" s="124"/>
      <c r="DA18" s="125"/>
      <c r="DB18" s="182" t="str">
        <f>IFERROR((((COUNTIF('Elève (4ème5)'!CY18:DA18,"A"))*4)+((COUNTIF('Elève (4ème5)'!CY18:DA18,"B"))*3)+((COUNTIF('Elève (4ème5)'!CY18:DA18,"C"))*2)+((COUNTIF('Elève (4ème5)'!CY18:DA18,"D"))*1))/(COUNTA(CY18:DA18)),"")</f>
        <v/>
      </c>
      <c r="DC18" s="183" t="str">
        <f t="shared" si="20"/>
        <v/>
      </c>
      <c r="DD18" s="123"/>
      <c r="DE18" s="124" t="s">
        <v>31</v>
      </c>
      <c r="DF18" s="125"/>
      <c r="DG18" s="125"/>
      <c r="DH18" s="182">
        <f>IFERROR((((COUNTIF('Elève (4ème5)'!DD18:DG18,"A"))*4)+((COUNTIF('Elève (4ème5)'!DD18:DG18,"B"))*3)+((COUNTIF('Elève (4ème5)'!DD18:DG18,"C"))*2)+((COUNTIF('Elève (4ème5)'!DD18:DG18,"D"))*1))/(COUNTA(DD18:DG18)),"")</f>
        <v>2</v>
      </c>
      <c r="DI18" s="183" t="str">
        <f t="shared" si="21"/>
        <v>C</v>
      </c>
      <c r="DJ18" s="123" t="s">
        <v>30</v>
      </c>
      <c r="DK18" s="124"/>
      <c r="DL18" s="125"/>
      <c r="DM18" s="125"/>
      <c r="DN18" s="125"/>
      <c r="DO18" s="182">
        <f>IFERROR((((COUNTIF('Elève (4ème5)'!DJ18:DN18,"A"))*4)+((COUNTIF('Elève (4ème5)'!DJ18:DN18,"B"))*3)+((COUNTIF('Elève (4ème5)'!DJ18:DN18,"C"))*2)+((COUNTIF('Elève (4ème5)'!DJ18:DN18,"D"))*1))/(COUNTA(DJ18:DN18)),"")</f>
        <v>3</v>
      </c>
      <c r="DP18" s="183" t="str">
        <f t="shared" si="22"/>
        <v>B</v>
      </c>
      <c r="DQ18" s="182">
        <f>IF(COUNT(DB18,DH18,DO18)=0,"",SUM(DB18,DH18,DO18)/COUNT(DB18,DH18,DO18))</f>
        <v>2.5</v>
      </c>
      <c r="DR18" s="206" t="str">
        <f t="shared" si="23"/>
        <v>C</v>
      </c>
      <c r="DS18" s="123"/>
      <c r="DT18" s="124"/>
      <c r="DU18" s="125"/>
      <c r="DV18" s="182" t="str">
        <f>IFERROR((((COUNTIF('Elève (4ème5)'!DS18:DU18,"A"))*4)+((COUNTIF('Elève (4ème5)'!DS18:DU18,"B"))*3)+((COUNTIF('Elève (4ème5)'!DS18:DU18,"C"))*2)+((COUNTIF('Elève (4ème5)'!DS18:DU18,"D"))*1))/(COUNTA(DS18:DU18)),"")</f>
        <v/>
      </c>
      <c r="DW18" s="183" t="str">
        <f t="shared" si="24"/>
        <v/>
      </c>
      <c r="DX18" s="123"/>
      <c r="DY18" s="124" t="s">
        <v>31</v>
      </c>
      <c r="DZ18" s="125"/>
      <c r="EA18" s="125"/>
      <c r="EB18" s="182">
        <f>IFERROR((((COUNTIF('Elève (4ème5)'!DX18:EA18,"A"))*4)+((COUNTIF('Elève (4ème5)'!DX18:EA18,"B"))*3)+((COUNTIF('Elève (4ème5)'!DX18:EA18,"C"))*2)+((COUNTIF('Elève (4ème5)'!DX18:EA18,"D"))*1))/(COUNTA(DX18:EA18)),"")</f>
        <v>2</v>
      </c>
      <c r="EC18" s="183" t="str">
        <f t="shared" si="25"/>
        <v>C</v>
      </c>
      <c r="ED18" s="123" t="s">
        <v>31</v>
      </c>
      <c r="EE18" s="124"/>
      <c r="EF18" s="125"/>
      <c r="EG18" s="125"/>
      <c r="EH18" s="125"/>
      <c r="EI18" s="182">
        <f>IFERROR((((COUNTIF('Elève (4ème5)'!ED18:EH18,"A"))*4)+((COUNTIF('Elève (4ème5)'!ED18:EH18,"B"))*3)+((COUNTIF('Elève (4ème5)'!ED18:EH18,"C"))*2)+((COUNTIF('Elève (4ème5)'!ED18:EH18,"D"))*1))/(COUNTA(ED18:EH18)),"")</f>
        <v>2</v>
      </c>
      <c r="EJ18" s="183" t="str">
        <f t="shared" si="26"/>
        <v>C</v>
      </c>
      <c r="EK18" s="182">
        <f>IF(COUNT(DV18,EB18,EI18)=0,"",SUM(DV18,EB18,EI18)/COUNT(DV18,EB18,EI18))</f>
        <v>2</v>
      </c>
      <c r="EL18" s="206" t="str">
        <f t="shared" si="27"/>
        <v>C</v>
      </c>
      <c r="EM18" s="123"/>
      <c r="EN18" s="124"/>
      <c r="EO18" s="125"/>
      <c r="EP18" s="182" t="str">
        <f>IFERROR((((COUNTIF('Elève (4ème5)'!EM18:EO18,"A"))*4)+((COUNTIF('Elève (4ème5)'!EM18:EO18,"B"))*3)+((COUNTIF('Elève (4ème5)'!EM18:EO18,"C"))*2)+((COUNTIF('Elève (4ème5)'!EM18:EO18,"D"))*1))/(COUNTA(EM18:EO18)),"")</f>
        <v/>
      </c>
      <c r="EQ18" s="183" t="str">
        <f t="shared" si="28"/>
        <v/>
      </c>
      <c r="ER18" s="123"/>
      <c r="ES18" s="124"/>
      <c r="ET18" s="125"/>
      <c r="EU18" s="125"/>
      <c r="EV18" s="182" t="str">
        <f>IFERROR((((COUNTIF('Elève (4ème5)'!ER18:EU18,"A"))*4)+((COUNTIF('Elève (4ème5)'!ER18:EU18,"B"))*3)+((COUNTIF('Elève (4ème5)'!ER18:EU18,"C"))*2)+((COUNTIF('Elève (4ème5)'!ER18:EU18,"D"))*1))/(COUNTA(ER18:EU18)),"")</f>
        <v/>
      </c>
      <c r="EW18" s="183" t="str">
        <f t="shared" si="29"/>
        <v/>
      </c>
      <c r="EX18" s="123" t="s">
        <v>30</v>
      </c>
      <c r="EY18" s="124"/>
      <c r="EZ18" s="125"/>
      <c r="FA18" s="125"/>
      <c r="FB18" s="125"/>
      <c r="FC18" s="182">
        <f>IFERROR((((COUNTIF('Elève (4ème5)'!EX18:FB18,"A"))*4)+((COUNTIF('Elève (4ème5)'!EX18:FB18,"B"))*3)+((COUNTIF('Elève (4ème5)'!EX18:FB18,"C"))*2)+((COUNTIF('Elève (4ème5)'!EX18:FB18,"D"))*1))/(COUNTA(EX18:FB18)),"")</f>
        <v>3</v>
      </c>
      <c r="FD18" s="183" t="str">
        <f t="shared" si="30"/>
        <v>B</v>
      </c>
      <c r="FE18" s="182">
        <f>IF(COUNT(EP18,EV18,FC18)=0,"",SUM(EP18,EV18,FC18)/COUNT(EP18,EV18,FC18))</f>
        <v>3</v>
      </c>
      <c r="FF18" s="206" t="str">
        <f t="shared" si="31"/>
        <v>B</v>
      </c>
      <c r="FG18" s="123"/>
      <c r="FH18" s="124"/>
      <c r="FI18" s="125"/>
      <c r="FJ18" s="182" t="str">
        <f>IFERROR((((COUNTIF('Elève (4ème5)'!FG18:FI18,"A"))*4)+((COUNTIF('Elève (4ème5)'!FG18:FI18,"B"))*3)+((COUNTIF('Elève (4ème5)'!FG18:FI18,"C"))*2)+((COUNTIF('Elève (4ème5)'!FG18:FI18,"D"))*1))/(COUNTA(FG18:FI18)),"")</f>
        <v/>
      </c>
      <c r="FK18" s="183" t="str">
        <f t="shared" si="32"/>
        <v/>
      </c>
      <c r="FL18" s="123"/>
      <c r="FM18" s="124" t="s">
        <v>29</v>
      </c>
      <c r="FN18" s="125"/>
      <c r="FO18" s="125"/>
      <c r="FP18" s="182">
        <f>IFERROR((((COUNTIF('Elève (4ème5)'!FL18:FO18,"A"))*4)+((COUNTIF('Elève (4ème5)'!FL18:FO18,"B"))*3)+((COUNTIF('Elève (4ème5)'!FL18:FO18,"C"))*2)+((COUNTIF('Elève (4ème5)'!FL18:FO18,"D"))*1))/(COUNTA(FL18:FO18)),"")</f>
        <v>4</v>
      </c>
      <c r="FQ18" s="183" t="str">
        <f t="shared" si="33"/>
        <v>A</v>
      </c>
      <c r="FR18" s="123" t="s">
        <v>31</v>
      </c>
      <c r="FS18" s="124"/>
      <c r="FT18" s="125"/>
      <c r="FU18" s="125"/>
      <c r="FV18" s="125"/>
      <c r="FW18" s="182">
        <f>IFERROR((((COUNTIF('Elève (4ème5)'!FR18:FV18,"A"))*4)+((COUNTIF('Elève (4ème5)'!FR18:FV18,"B"))*3)+((COUNTIF('Elève (4ème5)'!FR18:FV18,"C"))*2)+((COUNTIF('Elève (4ème5)'!FR18:FV18,"D"))*1))/(COUNTA(FR18:FV18)),"")</f>
        <v>2</v>
      </c>
      <c r="FX18" s="183" t="str">
        <f t="shared" si="34"/>
        <v>C</v>
      </c>
      <c r="FY18" s="182">
        <f>IF(COUNT(FJ18,FP18,FW18)=0,"",SUM(FJ18,FP18,FW18)/COUNT(FJ18,FP18,FW18))</f>
        <v>3</v>
      </c>
      <c r="FZ18" s="206" t="str">
        <f t="shared" si="35"/>
        <v>B</v>
      </c>
      <c r="GA18" s="123"/>
      <c r="GB18" s="124"/>
      <c r="GC18" s="125"/>
      <c r="GD18" s="182" t="str">
        <f>IFERROR((((COUNTIF('Elève (4ème5)'!GA18:GC18,"A"))*4)+((COUNTIF('Elève (4ème5)'!GA18:GC18,"B"))*3)+((COUNTIF('Elève (4ème5)'!GA18:GC18,"C"))*2)+((COUNTIF('Elève (4ème5)'!GA18:GC18,"D"))*1))/(COUNTA(GA18:GC18)),"")</f>
        <v/>
      </c>
      <c r="GE18" s="183" t="str">
        <f t="shared" si="36"/>
        <v/>
      </c>
      <c r="GF18" s="123"/>
      <c r="GG18" s="124" t="s">
        <v>29</v>
      </c>
      <c r="GH18" s="125"/>
      <c r="GI18" s="125"/>
      <c r="GJ18" s="182">
        <f>IFERROR((((COUNTIF('Elève (4ème5)'!GF18:GI18,"A"))*4)+((COUNTIF('Elève (4ème5)'!GF18:GI18,"B"))*3)+((COUNTIF('Elève (4ème5)'!GF18:GI18,"C"))*2)+((COUNTIF('Elève (4ème5)'!GF18:GI18,"D"))*1))/(COUNTA(GF18:GI18)),"")</f>
        <v>4</v>
      </c>
      <c r="GK18" s="183" t="str">
        <f t="shared" si="37"/>
        <v>A</v>
      </c>
      <c r="GL18" s="123" t="s">
        <v>30</v>
      </c>
      <c r="GM18" s="124"/>
      <c r="GN18" s="125"/>
      <c r="GO18" s="125"/>
      <c r="GP18" s="125"/>
      <c r="GQ18" s="182">
        <f>IFERROR((((COUNTIF('Elève (4ème5)'!GL18:GP18,"A"))*4)+((COUNTIF('Elève (4ème5)'!GL18:GP18,"B"))*3)+((COUNTIF('Elève (4ème5)'!GL18:GP18,"C"))*2)+((COUNTIF('Elève (4ème5)'!GL18:GP18,"D"))*1))/(COUNTA(GL18:GP18)),"")</f>
        <v>3</v>
      </c>
      <c r="GR18" s="183" t="str">
        <f t="shared" si="38"/>
        <v>B</v>
      </c>
      <c r="GS18" s="182">
        <f>IF(COUNT(GD18,GJ18,GQ18)=0,"",SUM(GD18,GJ18,GQ18)/COUNT(GD18,GJ18,GQ18))</f>
        <v>3.5</v>
      </c>
      <c r="GT18" s="206" t="str">
        <f t="shared" si="39"/>
        <v>B</v>
      </c>
      <c r="GU18" s="123"/>
      <c r="GV18" s="124"/>
      <c r="GW18" s="125"/>
      <c r="GX18" s="182" t="str">
        <f>IFERROR((((COUNTIF('Elève (4ème5)'!GU18:GW18,"A"))*4)+((COUNTIF('Elève (4ème5)'!GU18:GW18,"B"))*3)+((COUNTIF('Elève (4ème5)'!GU18:GW18,"C"))*2)+((COUNTIF('Elève (4ème5)'!GU18:GW18,"D"))*1))/(COUNTA(GU18:GW18)),"")</f>
        <v/>
      </c>
      <c r="GY18" s="183" t="str">
        <f t="shared" si="40"/>
        <v/>
      </c>
      <c r="GZ18" s="123"/>
      <c r="HA18" s="124"/>
      <c r="HB18" s="125"/>
      <c r="HC18" s="125"/>
      <c r="HD18" s="182" t="str">
        <f>IFERROR((((COUNTIF('Elève (4ème5)'!GZ18:HC18,"A"))*4)+((COUNTIF('Elève (4ème5)'!GZ18:HC18,"B"))*3)+((COUNTIF('Elève (4ème5)'!GZ18:HC18,"C"))*2)+((COUNTIF('Elève (4ème5)'!GZ18:HC18,"D"))*1))/(COUNTA(GZ18:HC18)),"")</f>
        <v/>
      </c>
      <c r="HE18" s="183" t="str">
        <f t="shared" si="41"/>
        <v/>
      </c>
      <c r="HF18" s="123" t="s">
        <v>32</v>
      </c>
      <c r="HG18" s="124"/>
      <c r="HH18" s="125"/>
      <c r="HI18" s="125"/>
      <c r="HJ18" s="125"/>
      <c r="HK18" s="182">
        <f>IFERROR((((COUNTIF('Elève (4ème5)'!HF18:HJ18,"A"))*4)+((COUNTIF('Elève (4ème5)'!HF18:HJ18,"B"))*3)+((COUNTIF('Elève (4ème5)'!HF18:HJ18,"C"))*2)+((COUNTIF('Elève (4ème5)'!HF18:HJ18,"D"))*1))/(COUNTA(HF18:HJ18)),"")</f>
        <v>1</v>
      </c>
      <c r="HL18" s="183" t="str">
        <f t="shared" si="42"/>
        <v>D</v>
      </c>
      <c r="HM18" s="182">
        <f>IF(COUNT(GX18,HD18,HK18)=0,"",SUM(GX18,HD18,HK18)/COUNT(GX18,HD18,HK18))</f>
        <v>1</v>
      </c>
      <c r="HN18" s="206" t="str">
        <f t="shared" si="43"/>
        <v>D</v>
      </c>
      <c r="HO18" s="123"/>
      <c r="HP18" s="124"/>
      <c r="HQ18" s="125"/>
      <c r="HR18" s="182" t="str">
        <f>IFERROR((((COUNTIF('Elève (4ème5)'!HO18:HQ18,"A"))*4)+((COUNTIF('Elève (4ème5)'!HO18:HQ18,"B"))*3)+((COUNTIF('Elève (4ème5)'!HO18:HQ18,"C"))*2)+((COUNTIF('Elève (4ème5)'!HO18:HQ18,"D"))*1))/(COUNTA(HO18:HQ18)),"")</f>
        <v/>
      </c>
      <c r="HS18" s="183" t="str">
        <f t="shared" si="44"/>
        <v/>
      </c>
      <c r="HT18" s="123"/>
      <c r="HU18" s="124" t="s">
        <v>29</v>
      </c>
      <c r="HV18" s="125"/>
      <c r="HW18" s="125"/>
      <c r="HX18" s="182">
        <f>IFERROR((((COUNTIF('Elève (4ème5)'!HT18:HW18,"A"))*4)+((COUNTIF('Elève (4ème5)'!HT18:HW18,"B"))*3)+((COUNTIF('Elève (4ème5)'!HT18:HW18,"C"))*2)+((COUNTIF('Elève (4ème5)'!HT18:HW18,"D"))*1))/(COUNTA(HT18:HW18)),"")</f>
        <v>4</v>
      </c>
      <c r="HY18" s="183" t="str">
        <f t="shared" si="45"/>
        <v>A</v>
      </c>
      <c r="HZ18" s="123" t="s">
        <v>30</v>
      </c>
      <c r="IA18" s="124"/>
      <c r="IB18" s="125"/>
      <c r="IC18" s="125"/>
      <c r="ID18" s="125"/>
      <c r="IE18" s="182">
        <f>IFERROR((((COUNTIF('Elève (4ème5)'!HZ18:ID18,"A"))*4)+((COUNTIF('Elève (4ème5)'!HZ18:ID18,"B"))*3)+((COUNTIF('Elève (4ème5)'!HZ18:ID18,"C"))*2)+((COUNTIF('Elève (4ème5)'!HZ18:ID18,"D"))*1))/(COUNTA(HZ18:ID18)),"")</f>
        <v>3</v>
      </c>
      <c r="IF18" s="183" t="str">
        <f t="shared" si="46"/>
        <v>B</v>
      </c>
      <c r="IG18" s="182">
        <f>IF(COUNT(HR18,HX18,IE18)=0,"",SUM(HR18,HX18,IE18)/COUNT(HR18,HX18,IE18))</f>
        <v>3.5</v>
      </c>
      <c r="IH18" s="206" t="str">
        <f t="shared" si="47"/>
        <v>B</v>
      </c>
      <c r="II18" s="123"/>
      <c r="IJ18" s="124"/>
      <c r="IK18" s="125"/>
      <c r="IL18" s="182" t="str">
        <f>IFERROR((((COUNTIF('Elève (4ème5)'!II18:IK18,"A"))*4)+((COUNTIF('Elève (4ème5)'!II18:IK18,"B"))*3)+((COUNTIF('Elève (4ème5)'!II18:IK18,"C"))*2)+((COUNTIF('Elève (4ème5)'!II18:IK18,"D"))*1))/(COUNTA(II18:IK18)),"")</f>
        <v/>
      </c>
      <c r="IM18" s="183" t="str">
        <f t="shared" si="48"/>
        <v/>
      </c>
      <c r="IN18" s="123"/>
      <c r="IO18" s="124" t="s">
        <v>31</v>
      </c>
      <c r="IP18" s="125"/>
      <c r="IQ18" s="125"/>
      <c r="IR18" s="182">
        <f>IFERROR((((COUNTIF('Elève (4ème5)'!IN18:IQ18,"A"))*4)+((COUNTIF('Elève (4ème5)'!IN18:IQ18,"B"))*3)+((COUNTIF('Elève (4ème5)'!IN18:IQ18,"C"))*2)+((COUNTIF('Elève (4ème5)'!IN18:IQ18,"D"))*1))/(COUNTA(IN18:IQ18)),"")</f>
        <v>2</v>
      </c>
      <c r="IS18" s="183" t="str">
        <f t="shared" si="49"/>
        <v>C</v>
      </c>
      <c r="IT18" s="123" t="s">
        <v>30</v>
      </c>
      <c r="IU18" s="124"/>
      <c r="IV18" s="125"/>
      <c r="IW18" s="125"/>
      <c r="IX18" s="125"/>
      <c r="IY18" s="182">
        <f>IFERROR((((COUNTIF('Elève (4ème5)'!IT18:IX18,"A"))*4)+((COUNTIF('Elève (4ème5)'!IT18:IX18,"B"))*3)+((COUNTIF('Elève (4ème5)'!IT18:IX18,"C"))*2)+((COUNTIF('Elève (4ème5)'!IT18:IX18,"D"))*1))/(COUNTA(IT18:IX18)),"")</f>
        <v>3</v>
      </c>
      <c r="IZ18" s="183" t="str">
        <f t="shared" si="50"/>
        <v>B</v>
      </c>
      <c r="JA18" s="182">
        <f>IF(COUNT(IL18,IR18,IY18)=0,"",SUM(IL18,IR18,IY18)/COUNT(IL18,IR18,IY18))</f>
        <v>2.5</v>
      </c>
      <c r="JB18" s="206" t="str">
        <f t="shared" si="51"/>
        <v>C</v>
      </c>
      <c r="JC18" s="123"/>
      <c r="JD18" s="124"/>
      <c r="JE18" s="125"/>
      <c r="JF18" s="182" t="str">
        <f>IFERROR((((COUNTIF('Elève (4ème5)'!JC18:JE18,"A"))*4)+((COUNTIF('Elève (4ème5)'!JC18:JE18,"B"))*3)+((COUNTIF('Elève (4ème5)'!JC18:JE18,"C"))*2)+((COUNTIF('Elève (4ème5)'!JC18:JE18,"D"))*1))/(COUNTA(JC18:JE18)),"")</f>
        <v/>
      </c>
      <c r="JG18" s="183" t="str">
        <f t="shared" si="52"/>
        <v/>
      </c>
      <c r="JH18" s="123"/>
      <c r="JI18" s="124" t="s">
        <v>30</v>
      </c>
      <c r="JJ18" s="125"/>
      <c r="JK18" s="125"/>
      <c r="JL18" s="182">
        <f>IFERROR((((COUNTIF('Elève (4ème5)'!JH18:JK18,"A"))*4)+((COUNTIF('Elève (4ème5)'!JH18:JK18,"B"))*3)+((COUNTIF('Elève (4ème5)'!JH18:JK18,"C"))*2)+((COUNTIF('Elève (4ème5)'!JH18:JK18,"D"))*1))/(COUNTA(JH18:JK18)),"")</f>
        <v>3</v>
      </c>
      <c r="JM18" s="183" t="str">
        <f t="shared" si="53"/>
        <v>B</v>
      </c>
      <c r="JN18" s="123" t="s">
        <v>30</v>
      </c>
      <c r="JO18" s="124"/>
      <c r="JP18" s="125"/>
      <c r="JQ18" s="125"/>
      <c r="JR18" s="125"/>
      <c r="JS18" s="182">
        <f>IFERROR((((COUNTIF('Elève (4ème5)'!JN18:JR18,"A"))*4)+((COUNTIF('Elève (4ème5)'!JN18:JR18,"B"))*3)+((COUNTIF('Elève (4ème5)'!JN18:JR18,"C"))*2)+((COUNTIF('Elève (4ème5)'!JN18:JR18,"D"))*1))/(COUNTA(JN18:JR18)),"")</f>
        <v>3</v>
      </c>
      <c r="JT18" s="183" t="str">
        <f t="shared" si="54"/>
        <v>B</v>
      </c>
      <c r="JU18" s="182">
        <f>IF(COUNT(JF18,JL18,JS18)=0,"",SUM(JF18,JL18,JS18)/COUNT(JF18,JL18,JS18))</f>
        <v>3</v>
      </c>
      <c r="JV18" s="206" t="str">
        <f t="shared" si="55"/>
        <v>B</v>
      </c>
      <c r="JW18" s="123"/>
      <c r="JX18" s="124"/>
      <c r="JY18" s="125"/>
      <c r="JZ18" s="182" t="str">
        <f>IFERROR((((COUNTIF('Elève (4ème5)'!JW18:JY18,"A"))*4)+((COUNTIF('Elève (4ème5)'!JW18:JY18,"B"))*3)+((COUNTIF('Elève (4ème5)'!JW18:JY18,"C"))*2)+((COUNTIF('Elève (4ème5)'!JW18:JY18,"D"))*1))/(COUNTA(JW18:JY18)),"")</f>
        <v/>
      </c>
      <c r="KA18" s="183" t="str">
        <f t="shared" si="56"/>
        <v/>
      </c>
      <c r="KB18" s="123"/>
      <c r="KC18" s="124" t="s">
        <v>31</v>
      </c>
      <c r="KD18" s="125"/>
      <c r="KE18" s="125"/>
      <c r="KF18" s="182">
        <f>IFERROR((((COUNTIF('Elève (4ème5)'!KB18:KE18,"A"))*4)+((COUNTIF('Elève (4ème5)'!KB18:KE18,"B"))*3)+((COUNTIF('Elève (4ème5)'!KB18:KE18,"C"))*2)+((COUNTIF('Elève (4ème5)'!KB18:KE18,"D"))*1))/(COUNTA(KB18:KE18)),"")</f>
        <v>2</v>
      </c>
      <c r="KG18" s="183" t="str">
        <f t="shared" si="57"/>
        <v>C</v>
      </c>
      <c r="KH18" s="123" t="s">
        <v>30</v>
      </c>
      <c r="KI18" s="124"/>
      <c r="KJ18" s="125"/>
      <c r="KK18" s="125"/>
      <c r="KL18" s="125"/>
      <c r="KM18" s="182">
        <f>IFERROR((((COUNTIF('Elève (4ème5)'!KH18:KL18,"A"))*4)+((COUNTIF('Elève (4ème5)'!KH18:KL18,"B"))*3)+((COUNTIF('Elève (4ème5)'!KH18:KL18,"C"))*2)+((COUNTIF('Elève (4ème5)'!KH18:KL18,"D"))*1))/(COUNTA(KH18:KL18)),"")</f>
        <v>3</v>
      </c>
      <c r="KN18" s="183" t="str">
        <f t="shared" si="58"/>
        <v>B</v>
      </c>
      <c r="KO18" s="182">
        <f>IF(COUNT(JZ18,KF18,KM18)=0,"",SUM(JZ18,KF18,KM18)/COUNT(JZ18,KF18,KM18))</f>
        <v>2.5</v>
      </c>
      <c r="KP18" s="206" t="str">
        <f t="shared" si="59"/>
        <v>C</v>
      </c>
      <c r="KQ18" s="123"/>
      <c r="KR18" s="124"/>
      <c r="KS18" s="125"/>
      <c r="KT18" s="182" t="str">
        <f>IFERROR((((COUNTIF('Elève (4ème5)'!KQ18:KS18,"A"))*4)+((COUNTIF('Elève (4ème5)'!KQ18:KS18,"B"))*3)+((COUNTIF('Elève (4ème5)'!KQ18:KS18,"C"))*2)+((COUNTIF('Elève (4ème5)'!KQ18:KS18,"D"))*1))/(COUNTA(KQ18:KS18)),"")</f>
        <v/>
      </c>
      <c r="KU18" s="183" t="str">
        <f t="shared" si="60"/>
        <v/>
      </c>
      <c r="KV18" s="123"/>
      <c r="KW18" s="124" t="s">
        <v>31</v>
      </c>
      <c r="KX18" s="125"/>
      <c r="KY18" s="125"/>
      <c r="KZ18" s="182">
        <f>IFERROR((((COUNTIF('Elève (4ème5)'!KV18:KY18,"A"))*4)+((COUNTIF('Elève (4ème5)'!KV18:KY18,"B"))*3)+((COUNTIF('Elève (4ème5)'!KV18:KY18,"C"))*2)+((COUNTIF('Elève (4ème5)'!KV18:KY18,"D"))*1))/(COUNTA(KV18:KY18)),"")</f>
        <v>2</v>
      </c>
      <c r="LA18" s="183" t="str">
        <f t="shared" si="61"/>
        <v>C</v>
      </c>
      <c r="LB18" s="123" t="s">
        <v>31</v>
      </c>
      <c r="LC18" s="124"/>
      <c r="LD18" s="125"/>
      <c r="LE18" s="125"/>
      <c r="LF18" s="125"/>
      <c r="LG18" s="182">
        <f>IFERROR((((COUNTIF('Elève (4ème5)'!LB18:LF18,"A"))*4)+((COUNTIF('Elève (4ème5)'!LB18:LF18,"B"))*3)+((COUNTIF('Elève (4ème5)'!LB18:LF18,"C"))*2)+((COUNTIF('Elève (4ème5)'!LB18:LF18,"D"))*1))/(COUNTA(LB18:LF18)),"")</f>
        <v>2</v>
      </c>
      <c r="LH18" s="183" t="str">
        <f t="shared" si="62"/>
        <v>C</v>
      </c>
      <c r="LI18" s="182">
        <f>IF(COUNT(KT18,KZ18,LG18)=0,"",SUM(KT18,KZ18,LG18)/COUNT(KT18,KZ18,LG18))</f>
        <v>2</v>
      </c>
      <c r="LJ18" s="206" t="str">
        <f t="shared" si="63"/>
        <v>C</v>
      </c>
      <c r="LK18" s="123"/>
      <c r="LL18" s="124"/>
      <c r="LM18" s="125"/>
      <c r="LN18" s="182" t="str">
        <f>IFERROR((((COUNTIF('Elève (4ème5)'!LK18:LM18,"A"))*4)+((COUNTIF('Elève (4ème5)'!LK18:LM18,"B"))*3)+((COUNTIF('Elève (4ème5)'!LK18:LM18,"C"))*2)+((COUNTIF('Elève (4ème5)'!LK18:LM18,"D"))*1))/(COUNTA(LK18:LM18)),"")</f>
        <v/>
      </c>
      <c r="LO18" s="183" t="str">
        <f t="shared" si="64"/>
        <v/>
      </c>
      <c r="LP18" s="123"/>
      <c r="LQ18" s="124"/>
      <c r="LR18" s="125"/>
      <c r="LS18" s="125"/>
      <c r="LT18" s="182" t="str">
        <f>IFERROR((((COUNTIF('Elève (4ème5)'!LP18:LS18,"A"))*4)+((COUNTIF('Elève (4ème5)'!LP18:LS18,"B"))*3)+((COUNTIF('Elève (4ème5)'!LP18:LS18,"C"))*2)+((COUNTIF('Elève (4ème5)'!LP18:LS18,"D"))*1))/(COUNTA(LP18:LS18)),"")</f>
        <v/>
      </c>
      <c r="LU18" s="183" t="str">
        <f t="shared" si="65"/>
        <v/>
      </c>
      <c r="LV18" s="123"/>
      <c r="LW18" s="124"/>
      <c r="LX18" s="125"/>
      <c r="LY18" s="125"/>
      <c r="LZ18" s="125"/>
      <c r="MA18" s="182" t="str">
        <f>IFERROR((((COUNTIF('Elève (4ème5)'!LV18:LZ18,"A"))*4)+((COUNTIF('Elève (4ème5)'!LV18:LZ18,"B"))*3)+((COUNTIF('Elève (4ème5)'!LV18:LZ18,"C"))*2)+((COUNTIF('Elève (4ème5)'!LV18:LZ18,"D"))*1))/(COUNTA(LV18:LZ18)),"")</f>
        <v/>
      </c>
      <c r="MB18" s="183" t="str">
        <f t="shared" si="66"/>
        <v/>
      </c>
      <c r="MC18" s="182" t="str">
        <f>IF(COUNT(LN18,LT18,MA18)=0,"",SUM(LN18,LT18,MA18)/COUNT(LN18,LT18,MA18))</f>
        <v/>
      </c>
      <c r="MD18" s="206" t="str">
        <f t="shared" si="67"/>
        <v/>
      </c>
      <c r="ME18" s="123"/>
      <c r="MF18" s="124"/>
      <c r="MG18" s="125"/>
      <c r="MH18" s="182" t="str">
        <f>IFERROR((((COUNTIF('Elève (4ème5)'!ME18:MG18,"A"))*4)+((COUNTIF('Elève (4ème5)'!ME18:MG18,"B"))*3)+((COUNTIF('Elève (4ème5)'!ME18:MG18,"C"))*2)+((COUNTIF('Elève (4ème5)'!ME18:MG18,"D"))*1))/(COUNTA(ME18:MG18)),"")</f>
        <v/>
      </c>
      <c r="MI18" s="183" t="str">
        <f t="shared" si="68"/>
        <v/>
      </c>
      <c r="MJ18" s="123"/>
      <c r="MK18" s="124" t="s">
        <v>30</v>
      </c>
      <c r="ML18" s="125"/>
      <c r="MM18" s="125"/>
      <c r="MN18" s="182">
        <f>IFERROR((((COUNTIF('Elève (4ème5)'!MJ18:MM18,"A"))*4)+((COUNTIF('Elève (4ème5)'!MJ18:MM18,"B"))*3)+((COUNTIF('Elève (4ème5)'!MJ18:MM18,"C"))*2)+((COUNTIF('Elève (4ème5)'!MJ18:MM18,"D"))*1))/(COUNTA(MJ18:MM18)),"")</f>
        <v>3</v>
      </c>
      <c r="MO18" s="183" t="str">
        <f t="shared" si="69"/>
        <v>B</v>
      </c>
      <c r="MP18" s="123" t="s">
        <v>30</v>
      </c>
      <c r="MQ18" s="124"/>
      <c r="MR18" s="125"/>
      <c r="MS18" s="125"/>
      <c r="MT18" s="125"/>
      <c r="MU18" s="182">
        <f>IFERROR((((COUNTIF('Elève (4ème5)'!MP18:MT18,"A"))*4)+((COUNTIF('Elève (4ème5)'!MP18:MT18,"B"))*3)+((COUNTIF('Elève (4ème5)'!MP18:MT18,"C"))*2)+((COUNTIF('Elève (4ème5)'!MP18:MT18,"D"))*1))/(COUNTA(MP18:MT18)),"")</f>
        <v>3</v>
      </c>
      <c r="MV18" s="183" t="str">
        <f t="shared" si="70"/>
        <v>B</v>
      </c>
      <c r="MW18" s="182">
        <f>IF(COUNT(MH18,MN18,MU18)=0,"",SUM(MH18,MN18,MU18)/COUNT(MH18,MN18,MU18))</f>
        <v>3</v>
      </c>
      <c r="MX18" s="206" t="str">
        <f t="shared" si="71"/>
        <v>B</v>
      </c>
      <c r="MY18" s="123"/>
      <c r="MZ18" s="124"/>
      <c r="NA18" s="125"/>
      <c r="NB18" s="182" t="str">
        <f>IFERROR((((COUNTIF('Elève (4ème5)'!MY18:NA18,"A"))*4)+((COUNTIF('Elève (4ème5)'!MY18:NA18,"B"))*3)+((COUNTIF('Elève (4ème5)'!MY18:NA18,"C"))*2)+((COUNTIF('Elève (4ème5)'!MY18:NA18,"D"))*1))/(COUNTA(MY18:NA18)),"")</f>
        <v/>
      </c>
      <c r="NC18" s="183" t="str">
        <f t="shared" si="72"/>
        <v/>
      </c>
      <c r="ND18" s="123"/>
      <c r="NE18" s="124" t="s">
        <v>32</v>
      </c>
      <c r="NF18" s="125"/>
      <c r="NG18" s="125"/>
      <c r="NH18" s="182">
        <f>IFERROR((((COUNTIF('Elève (4ème5)'!ND18:NG18,"A"))*4)+((COUNTIF('Elève (4ème5)'!ND18:NG18,"B"))*3)+((COUNTIF('Elève (4ème5)'!ND18:NG18,"C"))*2)+((COUNTIF('Elève (4ème5)'!ND18:NG18,"D"))*1))/(COUNTA(ND18:NG18)),"")</f>
        <v>1</v>
      </c>
      <c r="NI18" s="183" t="str">
        <f t="shared" si="73"/>
        <v>D</v>
      </c>
      <c r="NJ18" s="123" t="s">
        <v>31</v>
      </c>
      <c r="NK18" s="124"/>
      <c r="NL18" s="125"/>
      <c r="NM18" s="125"/>
      <c r="NN18" s="125"/>
      <c r="NO18" s="182">
        <f>IFERROR((((COUNTIF('Elève (4ème5)'!NJ18:NN18,"A"))*4)+((COUNTIF('Elève (4ème5)'!NJ18:NN18,"B"))*3)+((COUNTIF('Elève (4ème5)'!NJ18:NN18,"C"))*2)+((COUNTIF('Elève (4ème5)'!NJ18:NN18,"D"))*1))/(COUNTA(NJ18:NN18)),"")</f>
        <v>2</v>
      </c>
      <c r="NP18" s="183" t="str">
        <f t="shared" si="74"/>
        <v>C</v>
      </c>
      <c r="NQ18" s="182">
        <f>IF(COUNT(NB18,NH18,NO18)=0,"",SUM(NB18,NH18,NO18)/COUNT(NB18,NH18,NO18))</f>
        <v>1.5</v>
      </c>
      <c r="NR18" s="206" t="str">
        <f t="shared" si="75"/>
        <v>D</v>
      </c>
      <c r="NS18" s="123"/>
      <c r="NT18" s="124"/>
      <c r="NU18" s="125"/>
      <c r="NV18" s="182" t="str">
        <f>IFERROR((((COUNTIF('Elève (4ème5)'!NS18:NU18,"A"))*4)+((COUNTIF('Elève (4ème5)'!NS18:NU18,"B"))*3)+((COUNTIF('Elève (4ème5)'!NS18:NU18,"C"))*2)+((COUNTIF('Elève (4ème5)'!NS18:NU18,"D"))*1))/(COUNTA(NS18:NU18)),"")</f>
        <v/>
      </c>
      <c r="NW18" s="183" t="str">
        <f t="shared" si="76"/>
        <v/>
      </c>
      <c r="NX18" s="123"/>
      <c r="NY18" s="124" t="s">
        <v>29</v>
      </c>
      <c r="NZ18" s="125"/>
      <c r="OA18" s="125"/>
      <c r="OB18" s="182">
        <f>IFERROR((((COUNTIF('Elève (4ème5)'!NX18:OA18,"A"))*4)+((COUNTIF('Elève (4ème5)'!NX18:OA18,"B"))*3)+((COUNTIF('Elève (4ème5)'!NX18:OA18,"C"))*2)+((COUNTIF('Elève (4ème5)'!NX18:OA18,"D"))*1))/(COUNTA(NX18:OA18)),"")</f>
        <v>4</v>
      </c>
      <c r="OC18" s="183" t="str">
        <f t="shared" si="77"/>
        <v>A</v>
      </c>
      <c r="OD18" s="123" t="s">
        <v>30</v>
      </c>
      <c r="OE18" s="124"/>
      <c r="OF18" s="125"/>
      <c r="OG18" s="125"/>
      <c r="OH18" s="125"/>
      <c r="OI18" s="182">
        <f>IFERROR((((COUNTIF('Elève (4ème5)'!OD18:OH18,"A"))*4)+((COUNTIF('Elève (4ème5)'!OD18:OH18,"B"))*3)+((COUNTIF('Elève (4ème5)'!OD18:OH18,"C"))*2)+((COUNTIF('Elève (4ème5)'!OD18:OH18,"D"))*1))/(COUNTA(OD18:OH18)),"")</f>
        <v>3</v>
      </c>
      <c r="OJ18" s="183" t="str">
        <f t="shared" si="78"/>
        <v>B</v>
      </c>
      <c r="OK18" s="182">
        <f>IF(COUNT(NV18,OB18,OI18)=0,"",SUM(NV18,OB18,OI18)/COUNT(NV18,OB18,OI18))</f>
        <v>3.5</v>
      </c>
      <c r="OL18" s="206" t="str">
        <f t="shared" si="79"/>
        <v>B</v>
      </c>
      <c r="OM18" s="123"/>
      <c r="ON18" s="124"/>
      <c r="OO18" s="125"/>
      <c r="OP18" s="182" t="str">
        <f>IFERROR((((COUNTIF('Elève (4ème5)'!OM18:OO18,"A"))*4)+((COUNTIF('Elève (4ème5)'!OM18:OO18,"B"))*3)+((COUNTIF('Elève (4ème5)'!OM18:OO18,"C"))*2)+((COUNTIF('Elève (4ème5)'!OM18:OO18,"D"))*1))/(COUNTA(OM18:OO18)),"")</f>
        <v/>
      </c>
      <c r="OQ18" s="183" t="str">
        <f t="shared" si="80"/>
        <v/>
      </c>
      <c r="OR18" s="123"/>
      <c r="OS18" s="124" t="s">
        <v>29</v>
      </c>
      <c r="OT18" s="125"/>
      <c r="OU18" s="125"/>
      <c r="OV18" s="182">
        <f>IFERROR((((COUNTIF('Elève (4ème5)'!OR18:OU18,"A"))*4)+((COUNTIF('Elève (4ème5)'!OR18:OU18,"B"))*3)+((COUNTIF('Elève (4ème5)'!OR18:OU18,"C"))*2)+((COUNTIF('Elève (4ème5)'!OR18:OU18,"D"))*1))/(COUNTA(OR18:OU18)),"")</f>
        <v>4</v>
      </c>
      <c r="OW18" s="183" t="str">
        <f t="shared" si="81"/>
        <v>A</v>
      </c>
      <c r="OX18" s="123" t="s">
        <v>32</v>
      </c>
      <c r="OY18" s="124"/>
      <c r="OZ18" s="125"/>
      <c r="PA18" s="125"/>
      <c r="PB18" s="125"/>
      <c r="PC18" s="182">
        <f>IFERROR((((COUNTIF('Elève (4ème5)'!OX18:PB18,"A"))*4)+((COUNTIF('Elève (4ème5)'!OX18:PB18,"B"))*3)+((COUNTIF('Elève (4ème5)'!OX18:PB18,"C"))*2)+((COUNTIF('Elève (4ème5)'!OX18:PB18,"D"))*1))/(COUNTA(OX18:PB18)),"")</f>
        <v>1</v>
      </c>
      <c r="PD18" s="183" t="str">
        <f t="shared" si="82"/>
        <v>D</v>
      </c>
      <c r="PE18" s="182">
        <f>IF(COUNT(OP18,OV18,PC18)=0,"",SUM(OP18,OV18,PC18)/COUNT(OP18,OV18,PC18))</f>
        <v>2.5</v>
      </c>
      <c r="PF18" s="206" t="str">
        <f t="shared" si="83"/>
        <v>C</v>
      </c>
      <c r="PG18" s="123"/>
      <c r="PH18" s="124"/>
      <c r="PI18" s="125"/>
      <c r="PJ18" s="182" t="str">
        <f>IFERROR((((COUNTIF('Elève (4ème5)'!PG18:PI18,"A"))*4)+((COUNTIF('Elève (4ème5)'!PG18:PI18,"B"))*3)+((COUNTIF('Elève (4ème5)'!PG18:PI18,"C"))*2)+((COUNTIF('Elève (4ème5)'!PG18:PI18,"D"))*1))/(COUNTA(PG18:PI18)),"")</f>
        <v/>
      </c>
      <c r="PK18" s="183" t="str">
        <f t="shared" si="84"/>
        <v/>
      </c>
      <c r="PL18" s="123"/>
      <c r="PM18" s="124" t="s">
        <v>29</v>
      </c>
      <c r="PN18" s="125"/>
      <c r="PO18" s="125"/>
      <c r="PP18" s="182">
        <f>IFERROR((((COUNTIF('Elève (4ème5)'!PL18:PO18,"A"))*4)+((COUNTIF('Elève (4ème5)'!PL18:PO18,"B"))*3)+((COUNTIF('Elève (4ème5)'!PL18:PO18,"C"))*2)+((COUNTIF('Elève (4ème5)'!PL18:PO18,"D"))*1))/(COUNTA(PL18:PO18)),"")</f>
        <v>4</v>
      </c>
      <c r="PQ18" s="183" t="str">
        <f t="shared" si="85"/>
        <v>A</v>
      </c>
      <c r="PR18" s="123" t="s">
        <v>29</v>
      </c>
      <c r="PS18" s="124"/>
      <c r="PT18" s="125"/>
      <c r="PU18" s="125"/>
      <c r="PV18" s="125"/>
      <c r="PW18" s="182">
        <f>IFERROR((((COUNTIF('Elève (4ème5)'!PR18:PV18,"A"))*4)+((COUNTIF('Elève (4ème5)'!PR18:PV18,"B"))*3)+((COUNTIF('Elève (4ème5)'!PR18:PV18,"C"))*2)+((COUNTIF('Elève (4ème5)'!PR18:PV18,"D"))*1))/(COUNTA(PR18:PV18)),"")</f>
        <v>4</v>
      </c>
      <c r="PX18" s="183" t="str">
        <f t="shared" si="86"/>
        <v>A</v>
      </c>
      <c r="PY18" s="182">
        <f>IF(COUNT(PJ18,PP18,PW18)=0,"",SUM(PJ18,PP18,PW18)/COUNT(PJ18,PP18,PW18))</f>
        <v>4</v>
      </c>
      <c r="PZ18" s="206" t="str">
        <f t="shared" si="87"/>
        <v>A</v>
      </c>
      <c r="QA18" s="123"/>
      <c r="QB18" s="124"/>
      <c r="QC18" s="125"/>
      <c r="QD18" s="182" t="str">
        <f>IFERROR((((COUNTIF('Elève (4ème5)'!QA18:QC18,"A"))*4)+((COUNTIF('Elève (4ème5)'!QA18:QC18,"B"))*3)+((COUNTIF('Elève (4ème5)'!QA18:QC18,"C"))*2)+((COUNTIF('Elève (4ème5)'!QA18:QC18,"D"))*1))/(COUNTA(QA18:QC18)),"")</f>
        <v/>
      </c>
      <c r="QE18" s="183" t="str">
        <f t="shared" si="88"/>
        <v/>
      </c>
      <c r="QF18" s="123"/>
      <c r="QG18" s="124" t="s">
        <v>30</v>
      </c>
      <c r="QH18" s="125"/>
      <c r="QI18" s="125"/>
      <c r="QJ18" s="182">
        <f>IFERROR((((COUNTIF('Elève (4ème5)'!QF18:QI18,"A"))*4)+((COUNTIF('Elève (4ème5)'!QF18:QI18,"B"))*3)+((COUNTIF('Elève (4ème5)'!QF18:QI18,"C"))*2)+((COUNTIF('Elève (4ème5)'!QF18:QI18,"D"))*1))/(COUNTA(QF18:QI18)),"")</f>
        <v>3</v>
      </c>
      <c r="QK18" s="183" t="str">
        <f t="shared" si="89"/>
        <v>B</v>
      </c>
      <c r="QL18" s="123" t="s">
        <v>30</v>
      </c>
      <c r="QM18" s="124"/>
      <c r="QN18" s="125"/>
      <c r="QO18" s="125"/>
      <c r="QP18" s="125"/>
      <c r="QQ18" s="182">
        <f>IFERROR((((COUNTIF('Elève (4ème5)'!QL18:QP18,"A"))*4)+((COUNTIF('Elève (4ème5)'!QL18:QP18,"B"))*3)+((COUNTIF('Elève (4ème5)'!QL18:QP18,"C"))*2)+((COUNTIF('Elève (4ème5)'!QL18:QP18,"D"))*1))/(COUNTA(QL18:QP18)),"")</f>
        <v>3</v>
      </c>
      <c r="QR18" s="183" t="str">
        <f t="shared" si="90"/>
        <v>B</v>
      </c>
      <c r="QS18" s="182">
        <f>IF(COUNT(QD18,QJ18,QQ18)=0,"",SUM(QD18,QJ18,QQ18)/COUNT(QD18,QJ18,QQ18))</f>
        <v>3</v>
      </c>
      <c r="QT18" s="206" t="str">
        <f t="shared" si="91"/>
        <v>B</v>
      </c>
      <c r="QU18" s="123"/>
      <c r="QV18" s="124"/>
      <c r="QW18" s="125"/>
      <c r="QX18" s="182" t="str">
        <f>IFERROR((((COUNTIF('Elève (4ème5)'!QU18:QW18,"A"))*4)+((COUNTIF('Elève (4ème5)'!QU18:QW18,"B"))*3)+((COUNTIF('Elève (4ème5)'!QU18:QW18,"C"))*2)+((COUNTIF('Elève (4ème5)'!QU18:QW18,"D"))*1))/(COUNTA(QU18:QW18)),"")</f>
        <v/>
      </c>
      <c r="QY18" s="183" t="str">
        <f t="shared" si="92"/>
        <v/>
      </c>
      <c r="QZ18" s="123"/>
      <c r="RA18" s="124" t="s">
        <v>30</v>
      </c>
      <c r="RB18" s="125"/>
      <c r="RC18" s="125"/>
      <c r="RD18" s="182">
        <f>IFERROR((((COUNTIF('Elève (4ème5)'!QZ18:RC18,"A"))*4)+((COUNTIF('Elève (4ème5)'!QZ18:RC18,"B"))*3)+((COUNTIF('Elève (4ème5)'!QZ18:RC18,"C"))*2)+((COUNTIF('Elève (4ème5)'!QZ18:RC18,"D"))*1))/(COUNTA(QZ18:RC18)),"")</f>
        <v>3</v>
      </c>
      <c r="RE18" s="183" t="str">
        <f t="shared" si="93"/>
        <v>B</v>
      </c>
      <c r="RF18" s="123" t="s">
        <v>31</v>
      </c>
      <c r="RG18" s="124"/>
      <c r="RH18" s="125"/>
      <c r="RI18" s="125"/>
      <c r="RJ18" s="125"/>
      <c r="RK18" s="182">
        <f>IFERROR((((COUNTIF('Elève (4ème5)'!RF18:RJ18,"A"))*4)+((COUNTIF('Elève (4ème5)'!RF18:RJ18,"B"))*3)+((COUNTIF('Elève (4ème5)'!RF18:RJ18,"C"))*2)+((COUNTIF('Elève (4ème5)'!RF18:RJ18,"D"))*1))/(COUNTA(RF18:RJ18)),"")</f>
        <v>2</v>
      </c>
      <c r="RL18" s="183" t="str">
        <f t="shared" si="94"/>
        <v>C</v>
      </c>
      <c r="RM18" s="182">
        <f>IF(COUNT(QX18,RD18,RK18)=0,"",SUM(QX18,RD18,RK18)/COUNT(QX18,RD18,RK18))</f>
        <v>2.5</v>
      </c>
      <c r="RN18" s="206" t="str">
        <f t="shared" si="95"/>
        <v>C</v>
      </c>
      <c r="RO18" s="123"/>
      <c r="RP18" s="124"/>
      <c r="RQ18" s="125"/>
      <c r="RR18" s="182" t="str">
        <f>IFERROR((((COUNTIF('Elève (4ème5)'!RO18:RQ18,"A"))*4)+((COUNTIF('Elève (4ème5)'!RO18:RQ18,"B"))*3)+((COUNTIF('Elève (4ème5)'!RO18:RQ18,"C"))*2)+((COUNTIF('Elève (4ème5)'!RO18:RQ18,"D"))*1))/(COUNTA(RO18:RQ18)),"")</f>
        <v/>
      </c>
      <c r="RS18" s="183" t="str">
        <f t="shared" si="96"/>
        <v/>
      </c>
      <c r="RT18" s="123"/>
      <c r="RU18" s="124" t="s">
        <v>30</v>
      </c>
      <c r="RV18" s="125"/>
      <c r="RW18" s="125"/>
      <c r="RX18" s="182">
        <f>IFERROR((((COUNTIF('Elève (4ème5)'!RT18:RW18,"A"))*4)+((COUNTIF('Elève (4ème5)'!RT18:RW18,"B"))*3)+((COUNTIF('Elève (4ème5)'!RT18:RW18,"C"))*2)+((COUNTIF('Elève (4ème5)'!RT18:RW18,"D"))*1))/(COUNTA(RT18:RW18)),"")</f>
        <v>3</v>
      </c>
      <c r="RY18" s="183" t="str">
        <f t="shared" si="97"/>
        <v>B</v>
      </c>
      <c r="RZ18" s="123" t="s">
        <v>30</v>
      </c>
      <c r="SA18" s="124"/>
      <c r="SB18" s="125"/>
      <c r="SC18" s="125"/>
      <c r="SD18" s="125"/>
      <c r="SE18" s="182">
        <f>IFERROR((((COUNTIF('Elève (4ème5)'!RZ18:SD18,"A"))*4)+((COUNTIF('Elève (4ème5)'!RZ18:SD18,"B"))*3)+((COUNTIF('Elève (4ème5)'!RZ18:SD18,"C"))*2)+((COUNTIF('Elève (4ème5)'!RZ18:SD18,"D"))*1))/(COUNTA(RZ18:SD18)),"")</f>
        <v>3</v>
      </c>
      <c r="SF18" s="183" t="str">
        <f t="shared" si="98"/>
        <v>B</v>
      </c>
      <c r="SG18" s="182">
        <f>IF(COUNT(RR18,RX18,SE18)=0,"",SUM(RR18,RX18,SE18)/COUNT(RR18,RX18,SE18))</f>
        <v>3</v>
      </c>
      <c r="SH18" s="206" t="str">
        <f t="shared" si="99"/>
        <v>B</v>
      </c>
      <c r="SI18" s="123"/>
      <c r="SJ18" s="124"/>
      <c r="SK18" s="125"/>
      <c r="SL18" s="182" t="str">
        <f>IFERROR((((COUNTIF('Elève (4ème5)'!SI18:SK18,"A"))*4)+((COUNTIF('Elève (4ème5)'!SI18:SK18,"B"))*3)+((COUNTIF('Elève (4ème5)'!SI18:SK18,"C"))*2)+((COUNTIF('Elève (4ème5)'!SI18:SK18,"D"))*1))/(COUNTA(SI18:SK18)),"")</f>
        <v/>
      </c>
      <c r="SM18" s="183" t="str">
        <f t="shared" si="100"/>
        <v/>
      </c>
      <c r="SN18" s="123"/>
      <c r="SO18" s="124" t="s">
        <v>31</v>
      </c>
      <c r="SP18" s="125"/>
      <c r="SQ18" s="125"/>
      <c r="SR18" s="182">
        <f>IFERROR((((COUNTIF('Elève (4ème5)'!SN18:SQ18,"A"))*4)+((COUNTIF('Elève (4ème5)'!SN18:SQ18,"B"))*3)+((COUNTIF('Elève (4ème5)'!SN18:SQ18,"C"))*2)+((COUNTIF('Elève (4ème5)'!SN18:SQ18,"D"))*1))/(COUNTA(SN18:SQ18)),"")</f>
        <v>2</v>
      </c>
      <c r="SS18" s="183" t="str">
        <f t="shared" si="101"/>
        <v>C</v>
      </c>
      <c r="ST18" s="123" t="s">
        <v>32</v>
      </c>
      <c r="SU18" s="124"/>
      <c r="SV18" s="125"/>
      <c r="SW18" s="125"/>
      <c r="SX18" s="125"/>
      <c r="SY18" s="182">
        <f>IFERROR((((COUNTIF('Elève (4ème5)'!ST18:SX18,"A"))*4)+((COUNTIF('Elève (4ème5)'!ST18:SX18,"B"))*3)+((COUNTIF('Elève (4ème5)'!ST18:SX18,"C"))*2)+((COUNTIF('Elève (4ème5)'!ST18:SX18,"D"))*1))/(COUNTA(ST18:SX18)),"")</f>
        <v>1</v>
      </c>
      <c r="SZ18" s="183" t="str">
        <f t="shared" si="102"/>
        <v>D</v>
      </c>
      <c r="TA18" s="182">
        <f>IF(COUNT(SL18,SR18,SY18)=0,"",SUM(SL18,SR18,SY18)/COUNT(SL18,SR18,SY18))</f>
        <v>1.5</v>
      </c>
      <c r="TB18" s="206" t="str">
        <f t="shared" si="103"/>
        <v>D</v>
      </c>
      <c r="TC18" s="123"/>
      <c r="TD18" s="124"/>
      <c r="TE18" s="125"/>
      <c r="TF18" s="182" t="str">
        <f>IFERROR((((COUNTIF('Elève (4ème5)'!TC18:TE18,"A"))*4)+((COUNTIF('Elève (4ème5)'!TC18:TE18,"B"))*3)+((COUNTIF('Elève (4ème5)'!TC18:TE18,"C"))*2)+((COUNTIF('Elève (4ème5)'!TC18:TE18,"D"))*1))/(COUNTA(TC18:TE18)),"")</f>
        <v/>
      </c>
      <c r="TG18" s="183" t="str">
        <f t="shared" si="104"/>
        <v/>
      </c>
      <c r="TH18" s="123"/>
      <c r="TI18" s="124"/>
      <c r="TJ18" s="125"/>
      <c r="TK18" s="125"/>
      <c r="TL18" s="182" t="str">
        <f>IFERROR((((COUNTIF('Elève (4ème5)'!TH18:TK18,"A"))*4)+((COUNTIF('Elève (4ème5)'!TH18:TK18,"B"))*3)+((COUNTIF('Elève (4ème5)'!TH18:TK18,"C"))*2)+((COUNTIF('Elève (4ème5)'!TH18:TK18,"D"))*1))/(COUNTA(TH18:TK18)),"")</f>
        <v/>
      </c>
      <c r="TM18" s="183" t="str">
        <f t="shared" si="105"/>
        <v/>
      </c>
      <c r="TN18" s="123" t="s">
        <v>29</v>
      </c>
      <c r="TO18" s="124"/>
      <c r="TP18" s="125"/>
      <c r="TQ18" s="125"/>
      <c r="TR18" s="125"/>
      <c r="TS18" s="182">
        <f>IFERROR((((COUNTIF('Elève (4ème5)'!TN18:TR18,"A"))*4)+((COUNTIF('Elève (4ème5)'!TN18:TR18,"B"))*3)+((COUNTIF('Elève (4ème5)'!TN18:TR18,"C"))*2)+((COUNTIF('Elève (4ème5)'!TN18:TR18,"D"))*1))/(COUNTA(TN18:TR18)),"")</f>
        <v>4</v>
      </c>
      <c r="TT18" s="183" t="str">
        <f t="shared" si="106"/>
        <v>A</v>
      </c>
      <c r="TU18" s="182">
        <f>IF(COUNT(TF18,TL18,TS18)=0,"",SUM(TF18,TL18,TS18)/COUNT(TF18,TL18,TS18))</f>
        <v>4</v>
      </c>
      <c r="TV18" s="206" t="str">
        <f t="shared" si="107"/>
        <v>A</v>
      </c>
      <c r="TW18" s="123"/>
      <c r="TX18" s="124"/>
      <c r="TY18" s="125"/>
      <c r="TZ18" s="182" t="str">
        <f>IFERROR((((COUNTIF('Elève (4ème5)'!TW18:TY18,"A"))*4)+((COUNTIF('Elève (4ème5)'!TW18:TY18,"B"))*3)+((COUNTIF('Elève (4ème5)'!TW18:TY18,"C"))*2)+((COUNTIF('Elève (4ème5)'!TW18:TY18,"D"))*1))/(COUNTA(TW18:TY18)),"")</f>
        <v/>
      </c>
      <c r="UA18" s="183" t="str">
        <f t="shared" si="108"/>
        <v/>
      </c>
      <c r="UB18" s="123"/>
      <c r="UC18" s="124" t="s">
        <v>30</v>
      </c>
      <c r="UD18" s="125"/>
      <c r="UE18" s="125"/>
      <c r="UF18" s="182">
        <f>IFERROR((((COUNTIF('Elève (4ème5)'!UB18:UE18,"A"))*4)+((COUNTIF('Elève (4ème5)'!UB18:UE18,"B"))*3)+((COUNTIF('Elève (4ème5)'!UB18:UE18,"C"))*2)+((COUNTIF('Elève (4ème5)'!UB18:UE18,"D"))*1))/(COUNTA(UB18:UE18)),"")</f>
        <v>3</v>
      </c>
      <c r="UG18" s="183" t="str">
        <f t="shared" si="109"/>
        <v>B</v>
      </c>
      <c r="UH18" s="123" t="s">
        <v>31</v>
      </c>
      <c r="UI18" s="124"/>
      <c r="UJ18" s="125"/>
      <c r="UK18" s="125"/>
      <c r="UL18" s="125"/>
      <c r="UM18" s="182">
        <f>IFERROR((((COUNTIF('Elève (4ème5)'!UH18:UL18,"A"))*4)+((COUNTIF('Elève (4ème5)'!UH18:UL18,"B"))*3)+((COUNTIF('Elève (4ème5)'!UH18:UL18,"C"))*2)+((COUNTIF('Elève (4ème5)'!UH18:UL18,"D"))*1))/(COUNTA(UH18:UL18)),"")</f>
        <v>2</v>
      </c>
      <c r="UN18" s="183" t="str">
        <f t="shared" si="110"/>
        <v>C</v>
      </c>
      <c r="UO18" s="182">
        <f>IF(COUNT(TZ18,UF18,UM18)=0,"",SUM(TZ18,UF18,UM18)/COUNT(TZ18,UF18,UM18))</f>
        <v>2.5</v>
      </c>
      <c r="UP18" s="206" t="str">
        <f t="shared" si="111"/>
        <v>C</v>
      </c>
      <c r="UQ18" s="123"/>
      <c r="UR18" s="124"/>
      <c r="US18" s="125"/>
      <c r="UT18" s="126" t="str">
        <f>IFERROR((((COUNTIF('Elève (4ème5)'!UQ18:US18,"A"))*4)+((COUNTIF('Elève (4ème5)'!UQ18:US18,"B"))*3)+((COUNTIF('Elève (4ème5)'!UQ18:US18,"C"))*2)+((COUNTIF('Elève (4ème5)'!UQ18:US18,"D"))*1))/(COUNTA(UQ18:US18)),"")</f>
        <v/>
      </c>
      <c r="UU18" s="127" t="str">
        <f t="shared" si="112"/>
        <v/>
      </c>
      <c r="UV18" s="123"/>
      <c r="UW18" s="124"/>
      <c r="UX18" s="125"/>
      <c r="UY18" s="126" t="str">
        <f>IFERROR((((COUNTIF('Elève (4ème5)'!UV18:UX18,"A"))*4)+((COUNTIF('Elève (4ème5)'!UV18:UX18,"B"))*3)+((COUNTIF('Elève (4ème5)'!UV18:UX18,"C"))*2)+((COUNTIF('Elève (4ème5)'!UV18:UX18,"D"))*1))/(COUNTA(UV18:UX18)),"")</f>
        <v/>
      </c>
      <c r="UZ18" s="127" t="str">
        <f t="shared" si="113"/>
        <v/>
      </c>
      <c r="VA18" s="123"/>
      <c r="VB18" s="124"/>
      <c r="VC18" s="129"/>
      <c r="VD18" s="126" t="str">
        <f>IFERROR((((COUNTIF('Elève (4ème5)'!VA18:VC18,"A"))*4)+((COUNTIF('Elève (4ème5)'!VA18:VC18,"B"))*3)+((COUNTIF('Elève (4ème5)'!VA18:VC18,"C"))*2)+((COUNTIF('Elève (4ème5)'!VA18:VC18,"D"))*1))/(COUNTA(VA18:VC18)),"")</f>
        <v/>
      </c>
      <c r="VE18" s="127" t="str">
        <f t="shared" si="114"/>
        <v/>
      </c>
      <c r="VF18" s="126" t="str">
        <f>IF(COUNT(UT18,UY18,VD18)=0,"",SUM(UT18,UY18,VD18)/COUNT(UT18,UY18,VD18))</f>
        <v/>
      </c>
      <c r="VG18" s="128" t="str">
        <f t="shared" si="115"/>
        <v/>
      </c>
      <c r="VH18" s="123"/>
      <c r="VI18" s="124"/>
      <c r="VJ18" s="125"/>
      <c r="VK18" s="126" t="str">
        <f>IFERROR((((COUNTIF('Elève (4ème5)'!VH18:VJ18,"A"))*4)+((COUNTIF('Elève (4ème5)'!VH18:VJ18,"B"))*3)+((COUNTIF('Elève (4ème5)'!VH18:VJ18,"C"))*2)+((COUNTIF('Elève (4ème5)'!VH18:VJ18,"D"))*1))/(COUNTA(VH18:VJ18)),"")</f>
        <v/>
      </c>
      <c r="VL18" s="127" t="str">
        <f t="shared" si="116"/>
        <v/>
      </c>
      <c r="VM18" s="123"/>
      <c r="VN18" s="124"/>
      <c r="VO18" s="125"/>
      <c r="VP18" s="126" t="str">
        <f>IFERROR((((COUNTIF('Elève (4ème5)'!VM18:VO18,"A"))*4)+((COUNTIF('Elève (4ème5)'!VM18:VO18,"B"))*3)+((COUNTIF('Elève (4ème5)'!VM18:VO18,"C"))*2)+((COUNTIF('Elève (4ème5)'!VM18:VO18,"D"))*1))/(COUNTA(VM18:VO18)),"")</f>
        <v/>
      </c>
      <c r="VQ18" s="127" t="str">
        <f t="shared" si="117"/>
        <v/>
      </c>
      <c r="VR18" s="123"/>
      <c r="VS18" s="124"/>
      <c r="VT18" s="129"/>
      <c r="VU18" s="126" t="str">
        <f>IFERROR((((COUNTIF('Elève (4ème5)'!VR18:VT18,"A"))*4)+((COUNTIF('Elève (4ème5)'!VR18:VT18,"B"))*3)+((COUNTIF('Elève (4ème5)'!VR18:VT18,"C"))*2)+((COUNTIF('Elève (4ème5)'!VR18:VT18,"D"))*1))/(COUNTA(VR18:VT18)),"")</f>
        <v/>
      </c>
      <c r="VV18" s="127" t="str">
        <f t="shared" si="118"/>
        <v/>
      </c>
      <c r="VW18" s="126" t="str">
        <f>IF(COUNT(VK18,VP18,VU18)=0,"",SUM(VK18,VP18,VU18)/COUNT(VK18,VP18,VU18))</f>
        <v/>
      </c>
      <c r="VX18" s="128" t="str">
        <f t="shared" si="119"/>
        <v/>
      </c>
    </row>
    <row r="19" spans="1:596" ht="18" customHeight="1" thickBot="1" x14ac:dyDescent="0.6">
      <c r="A19" s="250" t="s">
        <v>25</v>
      </c>
      <c r="B19" s="251"/>
      <c r="C19" s="130"/>
      <c r="D19" s="131"/>
      <c r="E19" s="132"/>
      <c r="F19" s="184" t="str">
        <f>IFERROR((((COUNTIF('Elève (4ème5)'!C19:E19,"A"))*4)+((COUNTIF('Elève (4ème5)'!C19:E19,"B"))*3)+((COUNTIF('Elève (4ème5)'!C19:E19,"C"))*2)+((COUNTIF('Elève (4ème5)'!C19:E19,"D"))*1))/(COUNTA(C19:E19)),"")</f>
        <v/>
      </c>
      <c r="G19" s="185" t="str">
        <f t="shared" si="0"/>
        <v/>
      </c>
      <c r="H19" s="130"/>
      <c r="I19" s="131" t="s">
        <v>31</v>
      </c>
      <c r="J19" s="132"/>
      <c r="K19" s="132"/>
      <c r="L19" s="184">
        <f>IFERROR((((COUNTIF('Elève (4ème5)'!H19:K19,"A"))*4)+((COUNTIF('Elève (4ème5)'!H19:K19,"B"))*3)+((COUNTIF('Elève (4ème5)'!H19:K19,"C"))*2)+((COUNTIF('Elève (4ème5)'!H19:K19,"D"))*1))/(COUNTA(H19:K19)),"")</f>
        <v>2</v>
      </c>
      <c r="M19" s="185" t="str">
        <f t="shared" si="1"/>
        <v>C</v>
      </c>
      <c r="N19" s="130" t="s">
        <v>31</v>
      </c>
      <c r="O19" s="131" t="s">
        <v>30</v>
      </c>
      <c r="P19" s="132" t="s">
        <v>30</v>
      </c>
      <c r="Q19" s="132"/>
      <c r="R19" s="132"/>
      <c r="S19" s="184">
        <f>IFERROR((((COUNTIF('Elève (4ème5)'!N19:R19,"A"))*4)+((COUNTIF('Elève (4ème5)'!N19:R19,"B"))*3)+((COUNTIF('Elève (4ème5)'!N19:R19,"C"))*2)+((COUNTIF('Elève (4ème5)'!N19:R19,"D"))*1))/(COUNTA(N19:R19)),"")</f>
        <v>2.6666666666666665</v>
      </c>
      <c r="T19" s="185" t="str">
        <f t="shared" si="2"/>
        <v>C</v>
      </c>
      <c r="U19" s="184">
        <f>IF(COUNT(F19,L19,S19)=0,"",SUM(F19,L19,S19)/COUNT(F19,L19,S19))</f>
        <v>2.333333333333333</v>
      </c>
      <c r="V19" s="207" t="str">
        <f t="shared" si="3"/>
        <v>C</v>
      </c>
      <c r="W19" s="130"/>
      <c r="X19" s="131"/>
      <c r="Y19" s="132"/>
      <c r="Z19" s="184" t="str">
        <f>IFERROR((((COUNTIF('Elève (4ème5)'!W19:Y19,"A"))*4)+((COUNTIF('Elève (4ème5)'!W19:Y19,"B"))*3)+((COUNTIF('Elève (4ème5)'!W19:Y19,"C"))*2)+((COUNTIF('Elève (4ème5)'!W19:Y19,"D"))*1))/(COUNTA(W19:Y19)),"")</f>
        <v/>
      </c>
      <c r="AA19" s="185" t="str">
        <f t="shared" si="4"/>
        <v/>
      </c>
      <c r="AB19" s="130"/>
      <c r="AC19" s="131" t="s">
        <v>31</v>
      </c>
      <c r="AD19" s="132"/>
      <c r="AE19" s="132"/>
      <c r="AF19" s="184">
        <f>IFERROR((((COUNTIF('Elève (4ème5)'!AB19:AE19,"A"))*4)+((COUNTIF('Elève (4ème5)'!AB19:AE19,"B"))*3)+((COUNTIF('Elève (4ème5)'!AB19:AE19,"C"))*2)+((COUNTIF('Elève (4ème5)'!AB19:AE19,"D"))*1))/(COUNTA(AB19:AE19)),"")</f>
        <v>2</v>
      </c>
      <c r="AG19" s="185" t="str">
        <f t="shared" si="5"/>
        <v>C</v>
      </c>
      <c r="AH19" s="130" t="s">
        <v>32</v>
      </c>
      <c r="AI19" s="131" t="s">
        <v>31</v>
      </c>
      <c r="AJ19" s="132" t="s">
        <v>31</v>
      </c>
      <c r="AK19" s="132"/>
      <c r="AL19" s="132"/>
      <c r="AM19" s="184">
        <f>IFERROR((((COUNTIF('Elève (4ème5)'!AH19:AL19,"A"))*4)+((COUNTIF('Elève (4ème5)'!AH19:AL19,"B"))*3)+((COUNTIF('Elève (4ème5)'!AH19:AL19,"C"))*2)+((COUNTIF('Elève (4ème5)'!AH19:AL19,"D"))*1))/(COUNTA(AH19:AL19)),"")</f>
        <v>1.6666666666666667</v>
      </c>
      <c r="AN19" s="185" t="str">
        <f t="shared" si="6"/>
        <v>C</v>
      </c>
      <c r="AO19" s="184">
        <f>IF(COUNT(Z19,AF19,AM19)=0,"",SUM(Z19,AF19,AM19)/COUNT(Z19,AF19,AM19))</f>
        <v>1.8333333333333335</v>
      </c>
      <c r="AP19" s="207" t="str">
        <f t="shared" si="7"/>
        <v>C</v>
      </c>
      <c r="AQ19" s="130"/>
      <c r="AR19" s="131"/>
      <c r="AS19" s="132"/>
      <c r="AT19" s="184" t="str">
        <f>IFERROR((((COUNTIF('Elève (4ème5)'!AQ19:AS19,"A"))*4)+((COUNTIF('Elève (4ème5)'!AQ19:AS19,"B"))*3)+((COUNTIF('Elève (4ème5)'!AQ19:AS19,"C"))*2)+((COUNTIF('Elève (4ème5)'!AQ19:AS19,"D"))*1))/(COUNTA(AQ19:AS19)),"")</f>
        <v/>
      </c>
      <c r="AU19" s="185" t="str">
        <f t="shared" si="8"/>
        <v/>
      </c>
      <c r="AV19" s="130"/>
      <c r="AW19" s="131" t="s">
        <v>31</v>
      </c>
      <c r="AX19" s="132"/>
      <c r="AY19" s="132"/>
      <c r="AZ19" s="184">
        <f>IFERROR((((COUNTIF('Elève (4ème5)'!AV19:AY19,"A"))*4)+((COUNTIF('Elève (4ème5)'!AV19:AY19,"B"))*3)+((COUNTIF('Elève (4ème5)'!AV19:AY19,"C"))*2)+((COUNTIF('Elève (4ème5)'!AV19:AY19,"D"))*1))/(COUNTA(AV19:AY19)),"")</f>
        <v>2</v>
      </c>
      <c r="BA19" s="185" t="str">
        <f t="shared" si="9"/>
        <v>C</v>
      </c>
      <c r="BB19" s="130" t="s">
        <v>31</v>
      </c>
      <c r="BC19" s="131" t="s">
        <v>30</v>
      </c>
      <c r="BD19" s="132" t="s">
        <v>31</v>
      </c>
      <c r="BE19" s="132"/>
      <c r="BF19" s="132"/>
      <c r="BG19" s="184">
        <f>IFERROR((((COUNTIF('Elève (4ème5)'!BB19:BF19,"A"))*4)+((COUNTIF('Elève (4ème5)'!BB19:BF19,"B"))*3)+((COUNTIF('Elève (4ème5)'!BB19:BF19,"C"))*2)+((COUNTIF('Elève (4ème5)'!BB19:BF19,"D"))*1))/(COUNTA(BB19:BF19)),"")</f>
        <v>2.3333333333333335</v>
      </c>
      <c r="BH19" s="185" t="str">
        <f t="shared" si="10"/>
        <v>C</v>
      </c>
      <c r="BI19" s="184">
        <f>IF(COUNT(AT19,AZ19,BG19)=0,"",SUM(AT19,AZ19,BG19)/COUNT(AT19,AZ19,BG19))</f>
        <v>2.166666666666667</v>
      </c>
      <c r="BJ19" s="207" t="str">
        <f t="shared" si="11"/>
        <v>C</v>
      </c>
      <c r="BK19" s="130"/>
      <c r="BL19" s="131"/>
      <c r="BM19" s="132"/>
      <c r="BN19" s="184" t="str">
        <f>IFERROR((((COUNTIF('Elève (4ème5)'!BK19:BM19,"A"))*4)+((COUNTIF('Elève (4ème5)'!BK19:BM19,"B"))*3)+((COUNTIF('Elève (4ème5)'!BK19:BM19,"C"))*2)+((COUNTIF('Elève (4ème5)'!BK19:BM19,"D"))*1))/(COUNTA(BK19:BM19)),"")</f>
        <v/>
      </c>
      <c r="BO19" s="185" t="str">
        <f t="shared" si="12"/>
        <v/>
      </c>
      <c r="BP19" s="130"/>
      <c r="BQ19" s="131" t="s">
        <v>30</v>
      </c>
      <c r="BR19" s="132"/>
      <c r="BS19" s="132"/>
      <c r="BT19" s="184">
        <f>IFERROR((((COUNTIF('Elève (4ème5)'!BP19:BS19,"A"))*4)+((COUNTIF('Elève (4ème5)'!BP19:BS19,"B"))*3)+((COUNTIF('Elève (4ème5)'!BP19:BS19,"C"))*2)+((COUNTIF('Elève (4ème5)'!BP19:BS19,"D"))*1))/(COUNTA(BP19:BS19)),"")</f>
        <v>3</v>
      </c>
      <c r="BU19" s="185" t="str">
        <f t="shared" si="13"/>
        <v>B</v>
      </c>
      <c r="BV19" s="130" t="s">
        <v>31</v>
      </c>
      <c r="BW19" s="131" t="s">
        <v>30</v>
      </c>
      <c r="BX19" s="132" t="s">
        <v>30</v>
      </c>
      <c r="BY19" s="132"/>
      <c r="BZ19" s="132"/>
      <c r="CA19" s="184">
        <f>IFERROR((((COUNTIF('Elève (4ème5)'!BV19:BZ19,"A"))*4)+((COUNTIF('Elève (4ème5)'!BV19:BZ19,"B"))*3)+((COUNTIF('Elève (4ème5)'!BV19:BZ19,"C"))*2)+((COUNTIF('Elève (4ème5)'!BV19:BZ19,"D"))*1))/(COUNTA(BV19:BZ19)),"")</f>
        <v>2.6666666666666665</v>
      </c>
      <c r="CB19" s="185" t="str">
        <f t="shared" si="14"/>
        <v>C</v>
      </c>
      <c r="CC19" s="184">
        <f>IF(COUNT(BN19,BT19,CA19)=0,"",SUM(BN19,BT19,CA19)/COUNT(BN19,BT19,CA19))</f>
        <v>2.833333333333333</v>
      </c>
      <c r="CD19" s="207" t="str">
        <f t="shared" si="15"/>
        <v>B</v>
      </c>
      <c r="CE19" s="130"/>
      <c r="CF19" s="131"/>
      <c r="CG19" s="132"/>
      <c r="CH19" s="184" t="str">
        <f>IFERROR((((COUNTIF('Elève (4ème5)'!CE19:CG19,"A"))*4)+((COUNTIF('Elève (4ème5)'!CE19:CG19,"B"))*3)+((COUNTIF('Elève (4ème5)'!CE19:CG19,"C"))*2)+((COUNTIF('Elève (4ème5)'!CE19:CG19,"D"))*1))/(COUNTA(CE19:CG19)),"")</f>
        <v/>
      </c>
      <c r="CI19" s="185" t="str">
        <f t="shared" si="16"/>
        <v/>
      </c>
      <c r="CJ19" s="130"/>
      <c r="CK19" s="131" t="s">
        <v>30</v>
      </c>
      <c r="CL19" s="132"/>
      <c r="CM19" s="132"/>
      <c r="CN19" s="184">
        <f>IFERROR((((COUNTIF('Elève (4ème5)'!CJ19:CM19,"A"))*4)+((COUNTIF('Elève (4ème5)'!CJ19:CM19,"B"))*3)+((COUNTIF('Elève (4ème5)'!CJ19:CM19,"C"))*2)+((COUNTIF('Elève (4ème5)'!CJ19:CM19,"D"))*1))/(COUNTA(CJ19:CM19)),"")</f>
        <v>3</v>
      </c>
      <c r="CO19" s="185" t="str">
        <f t="shared" si="17"/>
        <v>B</v>
      </c>
      <c r="CP19" s="130" t="s">
        <v>32</v>
      </c>
      <c r="CQ19" s="131" t="s">
        <v>31</v>
      </c>
      <c r="CR19" s="132" t="s">
        <v>31</v>
      </c>
      <c r="CS19" s="132"/>
      <c r="CT19" s="132"/>
      <c r="CU19" s="184">
        <f>IFERROR((((COUNTIF('Elève (4ème5)'!CP19:CT19,"A"))*4)+((COUNTIF('Elève (4ème5)'!CP19:CT19,"B"))*3)+((COUNTIF('Elève (4ème5)'!CP19:CT19,"C"))*2)+((COUNTIF('Elève (4ème5)'!CP19:CT19,"D"))*1))/(COUNTA(CP19:CT19)),"")</f>
        <v>1.6666666666666667</v>
      </c>
      <c r="CV19" s="185" t="str">
        <f t="shared" si="18"/>
        <v>C</v>
      </c>
      <c r="CW19" s="184">
        <f>IF(COUNT(CH19,CN19,CU19)=0,"",SUM(CH19,CN19,CU19)/COUNT(CH19,CN19,CU19))</f>
        <v>2.3333333333333335</v>
      </c>
      <c r="CX19" s="207" t="str">
        <f t="shared" si="19"/>
        <v>C</v>
      </c>
      <c r="CY19" s="130"/>
      <c r="CZ19" s="131"/>
      <c r="DA19" s="132"/>
      <c r="DB19" s="184" t="str">
        <f>IFERROR((((COUNTIF('Elève (4ème5)'!CY19:DA19,"A"))*4)+((COUNTIF('Elève (4ème5)'!CY19:DA19,"B"))*3)+((COUNTIF('Elève (4ème5)'!CY19:DA19,"C"))*2)+((COUNTIF('Elève (4ème5)'!CY19:DA19,"D"))*1))/(COUNTA(CY19:DA19)),"")</f>
        <v/>
      </c>
      <c r="DC19" s="185" t="str">
        <f t="shared" si="20"/>
        <v/>
      </c>
      <c r="DD19" s="130"/>
      <c r="DE19" s="131" t="s">
        <v>31</v>
      </c>
      <c r="DF19" s="132"/>
      <c r="DG19" s="132"/>
      <c r="DH19" s="184">
        <f>IFERROR((((COUNTIF('Elève (4ème5)'!DD19:DG19,"A"))*4)+((COUNTIF('Elève (4ème5)'!DD19:DG19,"B"))*3)+((COUNTIF('Elève (4ème5)'!DD19:DG19,"C"))*2)+((COUNTIF('Elève (4ème5)'!DD19:DG19,"D"))*1))/(COUNTA(DD19:DG19)),"")</f>
        <v>2</v>
      </c>
      <c r="DI19" s="185" t="str">
        <f t="shared" si="21"/>
        <v>C</v>
      </c>
      <c r="DJ19" s="130" t="s">
        <v>30</v>
      </c>
      <c r="DK19" s="131" t="s">
        <v>30</v>
      </c>
      <c r="DL19" s="132" t="s">
        <v>30</v>
      </c>
      <c r="DM19" s="132"/>
      <c r="DN19" s="132"/>
      <c r="DO19" s="184">
        <f>IFERROR((((COUNTIF('Elève (4ème5)'!DJ19:DN19,"A"))*4)+((COUNTIF('Elève (4ème5)'!DJ19:DN19,"B"))*3)+((COUNTIF('Elève (4ème5)'!DJ19:DN19,"C"))*2)+((COUNTIF('Elève (4ème5)'!DJ19:DN19,"D"))*1))/(COUNTA(DJ19:DN19)),"")</f>
        <v>3</v>
      </c>
      <c r="DP19" s="185" t="str">
        <f t="shared" si="22"/>
        <v>B</v>
      </c>
      <c r="DQ19" s="184">
        <f>IF(COUNT(DB19,DH19,DO19)=0,"",SUM(DB19,DH19,DO19)/COUNT(DB19,DH19,DO19))</f>
        <v>2.5</v>
      </c>
      <c r="DR19" s="207" t="str">
        <f t="shared" si="23"/>
        <v>C</v>
      </c>
      <c r="DS19" s="130"/>
      <c r="DT19" s="131"/>
      <c r="DU19" s="132"/>
      <c r="DV19" s="184" t="str">
        <f>IFERROR((((COUNTIF('Elève (4ème5)'!DS19:DU19,"A"))*4)+((COUNTIF('Elève (4ème5)'!DS19:DU19,"B"))*3)+((COUNTIF('Elève (4ème5)'!DS19:DU19,"C"))*2)+((COUNTIF('Elève (4ème5)'!DS19:DU19,"D"))*1))/(COUNTA(DS19:DU19)),"")</f>
        <v/>
      </c>
      <c r="DW19" s="185" t="str">
        <f t="shared" si="24"/>
        <v/>
      </c>
      <c r="DX19" s="130"/>
      <c r="DY19" s="131" t="s">
        <v>32</v>
      </c>
      <c r="DZ19" s="132"/>
      <c r="EA19" s="132"/>
      <c r="EB19" s="184">
        <f>IFERROR((((COUNTIF('Elève (4ème5)'!DX19:EA19,"A"))*4)+((COUNTIF('Elève (4ème5)'!DX19:EA19,"B"))*3)+((COUNTIF('Elève (4ème5)'!DX19:EA19,"C"))*2)+((COUNTIF('Elève (4ème5)'!DX19:EA19,"D"))*1))/(COUNTA(DX19:EA19)),"")</f>
        <v>1</v>
      </c>
      <c r="EC19" s="185" t="str">
        <f t="shared" si="25"/>
        <v>D</v>
      </c>
      <c r="ED19" s="130" t="s">
        <v>32</v>
      </c>
      <c r="EE19" s="131" t="s">
        <v>31</v>
      </c>
      <c r="EF19" s="132" t="s">
        <v>31</v>
      </c>
      <c r="EG19" s="132"/>
      <c r="EH19" s="132"/>
      <c r="EI19" s="184">
        <f>IFERROR((((COUNTIF('Elève (4ème5)'!ED19:EH19,"A"))*4)+((COUNTIF('Elève (4ème5)'!ED19:EH19,"B"))*3)+((COUNTIF('Elève (4ème5)'!ED19:EH19,"C"))*2)+((COUNTIF('Elève (4ème5)'!ED19:EH19,"D"))*1))/(COUNTA(ED19:EH19)),"")</f>
        <v>1.6666666666666667</v>
      </c>
      <c r="EJ19" s="185" t="str">
        <f t="shared" si="26"/>
        <v>C</v>
      </c>
      <c r="EK19" s="184">
        <f>IF(COUNT(DV19,EB19,EI19)=0,"",SUM(DV19,EB19,EI19)/COUNT(DV19,EB19,EI19))</f>
        <v>1.3333333333333335</v>
      </c>
      <c r="EL19" s="207" t="str">
        <f t="shared" si="27"/>
        <v>D</v>
      </c>
      <c r="EM19" s="130"/>
      <c r="EN19" s="131"/>
      <c r="EO19" s="132"/>
      <c r="EP19" s="184" t="str">
        <f>IFERROR((((COUNTIF('Elève (4ème5)'!EM19:EO19,"A"))*4)+((COUNTIF('Elève (4ème5)'!EM19:EO19,"B"))*3)+((COUNTIF('Elève (4ème5)'!EM19:EO19,"C"))*2)+((COUNTIF('Elève (4ème5)'!EM19:EO19,"D"))*1))/(COUNTA(EM19:EO19)),"")</f>
        <v/>
      </c>
      <c r="EQ19" s="185" t="str">
        <f t="shared" si="28"/>
        <v/>
      </c>
      <c r="ER19" s="130"/>
      <c r="ES19" s="131"/>
      <c r="ET19" s="132"/>
      <c r="EU19" s="132"/>
      <c r="EV19" s="184" t="str">
        <f>IFERROR((((COUNTIF('Elève (4ème5)'!ER19:EU19,"A"))*4)+((COUNTIF('Elève (4ème5)'!ER19:EU19,"B"))*3)+((COUNTIF('Elève (4ème5)'!ER19:EU19,"C"))*2)+((COUNTIF('Elève (4ème5)'!ER19:EU19,"D"))*1))/(COUNTA(ER19:EU19)),"")</f>
        <v/>
      </c>
      <c r="EW19" s="185" t="str">
        <f t="shared" si="29"/>
        <v/>
      </c>
      <c r="EX19" s="130" t="s">
        <v>31</v>
      </c>
      <c r="EY19" s="131" t="s">
        <v>31</v>
      </c>
      <c r="EZ19" s="132" t="s">
        <v>31</v>
      </c>
      <c r="FA19" s="132"/>
      <c r="FB19" s="132"/>
      <c r="FC19" s="184">
        <f>IFERROR((((COUNTIF('Elève (4ème5)'!EX19:FB19,"A"))*4)+((COUNTIF('Elève (4ème5)'!EX19:FB19,"B"))*3)+((COUNTIF('Elève (4ème5)'!EX19:FB19,"C"))*2)+((COUNTIF('Elève (4ème5)'!EX19:FB19,"D"))*1))/(COUNTA(EX19:FB19)),"")</f>
        <v>2</v>
      </c>
      <c r="FD19" s="185" t="str">
        <f t="shared" si="30"/>
        <v>C</v>
      </c>
      <c r="FE19" s="184">
        <f>IF(COUNT(EP19,EV19,FC19)=0,"",SUM(EP19,EV19,FC19)/COUNT(EP19,EV19,FC19))</f>
        <v>2</v>
      </c>
      <c r="FF19" s="207" t="str">
        <f t="shared" si="31"/>
        <v>C</v>
      </c>
      <c r="FG19" s="130"/>
      <c r="FH19" s="131"/>
      <c r="FI19" s="132"/>
      <c r="FJ19" s="184" t="str">
        <f>IFERROR((((COUNTIF('Elève (4ème5)'!FG19:FI19,"A"))*4)+((COUNTIF('Elève (4ème5)'!FG19:FI19,"B"))*3)+((COUNTIF('Elève (4ème5)'!FG19:FI19,"C"))*2)+((COUNTIF('Elève (4ème5)'!FG19:FI19,"D"))*1))/(COUNTA(FG19:FI19)),"")</f>
        <v/>
      </c>
      <c r="FK19" s="185" t="str">
        <f t="shared" si="32"/>
        <v/>
      </c>
      <c r="FL19" s="130"/>
      <c r="FM19" s="131" t="s">
        <v>31</v>
      </c>
      <c r="FN19" s="132"/>
      <c r="FO19" s="132"/>
      <c r="FP19" s="184">
        <f>IFERROR((((COUNTIF('Elève (4ème5)'!FL19:FO19,"A"))*4)+((COUNTIF('Elève (4ème5)'!FL19:FO19,"B"))*3)+((COUNTIF('Elève (4ème5)'!FL19:FO19,"C"))*2)+((COUNTIF('Elève (4ème5)'!FL19:FO19,"D"))*1))/(COUNTA(FL19:FO19)),"")</f>
        <v>2</v>
      </c>
      <c r="FQ19" s="185" t="str">
        <f t="shared" si="33"/>
        <v>C</v>
      </c>
      <c r="FR19" s="130" t="s">
        <v>32</v>
      </c>
      <c r="FS19" s="131" t="s">
        <v>31</v>
      </c>
      <c r="FT19" s="132" t="s">
        <v>31</v>
      </c>
      <c r="FU19" s="132"/>
      <c r="FV19" s="132"/>
      <c r="FW19" s="184">
        <f>IFERROR((((COUNTIF('Elève (4ème5)'!FR19:FV19,"A"))*4)+((COUNTIF('Elève (4ème5)'!FR19:FV19,"B"))*3)+((COUNTIF('Elève (4ème5)'!FR19:FV19,"C"))*2)+((COUNTIF('Elève (4ème5)'!FR19:FV19,"D"))*1))/(COUNTA(FR19:FV19)),"")</f>
        <v>1.6666666666666667</v>
      </c>
      <c r="FX19" s="185" t="str">
        <f t="shared" si="34"/>
        <v>C</v>
      </c>
      <c r="FY19" s="184">
        <f>IF(COUNT(FJ19,FP19,FW19)=0,"",SUM(FJ19,FP19,FW19)/COUNT(FJ19,FP19,FW19))</f>
        <v>1.8333333333333335</v>
      </c>
      <c r="FZ19" s="207" t="str">
        <f t="shared" si="35"/>
        <v>C</v>
      </c>
      <c r="GA19" s="130"/>
      <c r="GB19" s="131"/>
      <c r="GC19" s="132"/>
      <c r="GD19" s="184" t="str">
        <f>IFERROR((((COUNTIF('Elève (4ème5)'!GA19:GC19,"A"))*4)+((COUNTIF('Elève (4ème5)'!GA19:GC19,"B"))*3)+((COUNTIF('Elève (4ème5)'!GA19:GC19,"C"))*2)+((COUNTIF('Elève (4ème5)'!GA19:GC19,"D"))*1))/(COUNTA(GA19:GC19)),"")</f>
        <v/>
      </c>
      <c r="GE19" s="185" t="str">
        <f t="shared" si="36"/>
        <v/>
      </c>
      <c r="GF19" s="130"/>
      <c r="GG19" s="131" t="s">
        <v>30</v>
      </c>
      <c r="GH19" s="132"/>
      <c r="GI19" s="132"/>
      <c r="GJ19" s="184">
        <f>IFERROR((((COUNTIF('Elève (4ème5)'!GF19:GI19,"A"))*4)+((COUNTIF('Elève (4ème5)'!GF19:GI19,"B"))*3)+((COUNTIF('Elève (4ème5)'!GF19:GI19,"C"))*2)+((COUNTIF('Elève (4ème5)'!GF19:GI19,"D"))*1))/(COUNTA(GF19:GI19)),"")</f>
        <v>3</v>
      </c>
      <c r="GK19" s="185" t="str">
        <f t="shared" si="37"/>
        <v>B</v>
      </c>
      <c r="GL19" s="130" t="s">
        <v>30</v>
      </c>
      <c r="GM19" s="131" t="s">
        <v>30</v>
      </c>
      <c r="GN19" s="132" t="s">
        <v>30</v>
      </c>
      <c r="GO19" s="132"/>
      <c r="GP19" s="132"/>
      <c r="GQ19" s="184">
        <f>IFERROR((((COUNTIF('Elève (4ème5)'!GL19:GP19,"A"))*4)+((COUNTIF('Elève (4ème5)'!GL19:GP19,"B"))*3)+((COUNTIF('Elève (4ème5)'!GL19:GP19,"C"))*2)+((COUNTIF('Elève (4ème5)'!GL19:GP19,"D"))*1))/(COUNTA(GL19:GP19)),"")</f>
        <v>3</v>
      </c>
      <c r="GR19" s="185" t="str">
        <f t="shared" si="38"/>
        <v>B</v>
      </c>
      <c r="GS19" s="184">
        <f>IF(COUNT(GD19,GJ19,GQ19)=0,"",SUM(GD19,GJ19,GQ19)/COUNT(GD19,GJ19,GQ19))</f>
        <v>3</v>
      </c>
      <c r="GT19" s="207" t="str">
        <f t="shared" si="39"/>
        <v>B</v>
      </c>
      <c r="GU19" s="130"/>
      <c r="GV19" s="131"/>
      <c r="GW19" s="132"/>
      <c r="GX19" s="184" t="str">
        <f>IFERROR((((COUNTIF('Elève (4ème5)'!GU19:GW19,"A"))*4)+((COUNTIF('Elève (4ème5)'!GU19:GW19,"B"))*3)+((COUNTIF('Elève (4ème5)'!GU19:GW19,"C"))*2)+((COUNTIF('Elève (4ème5)'!GU19:GW19,"D"))*1))/(COUNTA(GU19:GW19)),"")</f>
        <v/>
      </c>
      <c r="GY19" s="185" t="str">
        <f t="shared" si="40"/>
        <v/>
      </c>
      <c r="GZ19" s="130"/>
      <c r="HA19" s="131"/>
      <c r="HB19" s="132"/>
      <c r="HC19" s="132"/>
      <c r="HD19" s="184" t="str">
        <f>IFERROR((((COUNTIF('Elève (4ème5)'!GZ19:HC19,"A"))*4)+((COUNTIF('Elève (4ème5)'!GZ19:HC19,"B"))*3)+((COUNTIF('Elève (4ème5)'!GZ19:HC19,"C"))*2)+((COUNTIF('Elève (4ème5)'!GZ19:HC19,"D"))*1))/(COUNTA(GZ19:HC19)),"")</f>
        <v/>
      </c>
      <c r="HE19" s="185" t="str">
        <f t="shared" si="41"/>
        <v/>
      </c>
      <c r="HF19" s="130" t="s">
        <v>31</v>
      </c>
      <c r="HG19" s="131" t="s">
        <v>31</v>
      </c>
      <c r="HH19" s="132" t="s">
        <v>32</v>
      </c>
      <c r="HI19" s="132"/>
      <c r="HJ19" s="132"/>
      <c r="HK19" s="184">
        <f>IFERROR((((COUNTIF('Elève (4ème5)'!HF19:HJ19,"A"))*4)+((COUNTIF('Elève (4ème5)'!HF19:HJ19,"B"))*3)+((COUNTIF('Elève (4ème5)'!HF19:HJ19,"C"))*2)+((COUNTIF('Elève (4ème5)'!HF19:HJ19,"D"))*1))/(COUNTA(HF19:HJ19)),"")</f>
        <v>1.6666666666666667</v>
      </c>
      <c r="HL19" s="185" t="str">
        <f t="shared" si="42"/>
        <v>C</v>
      </c>
      <c r="HM19" s="184">
        <f>IF(COUNT(GX19,HD19,HK19)=0,"",SUM(GX19,HD19,HK19)/COUNT(GX19,HD19,HK19))</f>
        <v>1.6666666666666667</v>
      </c>
      <c r="HN19" s="207" t="str">
        <f t="shared" si="43"/>
        <v>C</v>
      </c>
      <c r="HO19" s="130"/>
      <c r="HP19" s="131"/>
      <c r="HQ19" s="132"/>
      <c r="HR19" s="184" t="str">
        <f>IFERROR((((COUNTIF('Elève (4ème5)'!HO19:HQ19,"A"))*4)+((COUNTIF('Elève (4ème5)'!HO19:HQ19,"B"))*3)+((COUNTIF('Elève (4ème5)'!HO19:HQ19,"C"))*2)+((COUNTIF('Elève (4ème5)'!HO19:HQ19,"D"))*1))/(COUNTA(HO19:HQ19)),"")</f>
        <v/>
      </c>
      <c r="HS19" s="185" t="str">
        <f t="shared" si="44"/>
        <v/>
      </c>
      <c r="HT19" s="130"/>
      <c r="HU19" s="131" t="s">
        <v>31</v>
      </c>
      <c r="HV19" s="132"/>
      <c r="HW19" s="132"/>
      <c r="HX19" s="184">
        <f>IFERROR((((COUNTIF('Elève (4ème5)'!HT19:HW19,"A"))*4)+((COUNTIF('Elève (4ème5)'!HT19:HW19,"B"))*3)+((COUNTIF('Elève (4ème5)'!HT19:HW19,"C"))*2)+((COUNTIF('Elève (4ème5)'!HT19:HW19,"D"))*1))/(COUNTA(HT19:HW19)),"")</f>
        <v>2</v>
      </c>
      <c r="HY19" s="185" t="str">
        <f t="shared" si="45"/>
        <v>C</v>
      </c>
      <c r="HZ19" s="130" t="s">
        <v>30</v>
      </c>
      <c r="IA19" s="131" t="s">
        <v>31</v>
      </c>
      <c r="IB19" s="132" t="s">
        <v>30</v>
      </c>
      <c r="IC19" s="132"/>
      <c r="ID19" s="132"/>
      <c r="IE19" s="184">
        <f>IFERROR((((COUNTIF('Elève (4ème5)'!HZ19:ID19,"A"))*4)+((COUNTIF('Elève (4ème5)'!HZ19:ID19,"B"))*3)+((COUNTIF('Elève (4ème5)'!HZ19:ID19,"C"))*2)+((COUNTIF('Elève (4ème5)'!HZ19:ID19,"D"))*1))/(COUNTA(HZ19:ID19)),"")</f>
        <v>2.6666666666666665</v>
      </c>
      <c r="IF19" s="185" t="str">
        <f t="shared" si="46"/>
        <v>C</v>
      </c>
      <c r="IG19" s="184">
        <f>IF(COUNT(HR19,HX19,IE19)=0,"",SUM(HR19,HX19,IE19)/COUNT(HR19,HX19,IE19))</f>
        <v>2.333333333333333</v>
      </c>
      <c r="IH19" s="207" t="str">
        <f t="shared" si="47"/>
        <v>C</v>
      </c>
      <c r="II19" s="130"/>
      <c r="IJ19" s="131"/>
      <c r="IK19" s="132"/>
      <c r="IL19" s="184" t="str">
        <f>IFERROR((((COUNTIF('Elève (4ème5)'!II19:IK19,"A"))*4)+((COUNTIF('Elève (4ème5)'!II19:IK19,"B"))*3)+((COUNTIF('Elève (4ème5)'!II19:IK19,"C"))*2)+((COUNTIF('Elève (4ème5)'!II19:IK19,"D"))*1))/(COUNTA(II19:IK19)),"")</f>
        <v/>
      </c>
      <c r="IM19" s="185" t="str">
        <f t="shared" si="48"/>
        <v/>
      </c>
      <c r="IN19" s="130"/>
      <c r="IO19" s="131" t="s">
        <v>31</v>
      </c>
      <c r="IP19" s="132"/>
      <c r="IQ19" s="132"/>
      <c r="IR19" s="184">
        <f>IFERROR((((COUNTIF('Elève (4ème5)'!IN19:IQ19,"A"))*4)+((COUNTIF('Elève (4ème5)'!IN19:IQ19,"B"))*3)+((COUNTIF('Elève (4ème5)'!IN19:IQ19,"C"))*2)+((COUNTIF('Elève (4ème5)'!IN19:IQ19,"D"))*1))/(COUNTA(IN19:IQ19)),"")</f>
        <v>2</v>
      </c>
      <c r="IS19" s="185" t="str">
        <f t="shared" si="49"/>
        <v>C</v>
      </c>
      <c r="IT19" s="130" t="s">
        <v>31</v>
      </c>
      <c r="IU19" s="131" t="s">
        <v>31</v>
      </c>
      <c r="IV19" s="132" t="s">
        <v>30</v>
      </c>
      <c r="IW19" s="132"/>
      <c r="IX19" s="132"/>
      <c r="IY19" s="184">
        <f>IFERROR((((COUNTIF('Elève (4ème5)'!IT19:IX19,"A"))*4)+((COUNTIF('Elève (4ème5)'!IT19:IX19,"B"))*3)+((COUNTIF('Elève (4ème5)'!IT19:IX19,"C"))*2)+((COUNTIF('Elève (4ème5)'!IT19:IX19,"D"))*1))/(COUNTA(IT19:IX19)),"")</f>
        <v>2.3333333333333335</v>
      </c>
      <c r="IZ19" s="185" t="str">
        <f t="shared" si="50"/>
        <v>C</v>
      </c>
      <c r="JA19" s="184">
        <f>IF(COUNT(IL19,IR19,IY19)=0,"",SUM(IL19,IR19,IY19)/COUNT(IL19,IR19,IY19))</f>
        <v>2.166666666666667</v>
      </c>
      <c r="JB19" s="207" t="str">
        <f t="shared" si="51"/>
        <v>C</v>
      </c>
      <c r="JC19" s="130"/>
      <c r="JD19" s="131"/>
      <c r="JE19" s="132"/>
      <c r="JF19" s="184" t="str">
        <f>IFERROR((((COUNTIF('Elève (4ème5)'!JC19:JE19,"A"))*4)+((COUNTIF('Elève (4ème5)'!JC19:JE19,"B"))*3)+((COUNTIF('Elève (4ème5)'!JC19:JE19,"C"))*2)+((COUNTIF('Elève (4ème5)'!JC19:JE19,"D"))*1))/(COUNTA(JC19:JE19)),"")</f>
        <v/>
      </c>
      <c r="JG19" s="185" t="str">
        <f t="shared" si="52"/>
        <v/>
      </c>
      <c r="JH19" s="130"/>
      <c r="JI19" s="131" t="s">
        <v>31</v>
      </c>
      <c r="JJ19" s="132"/>
      <c r="JK19" s="132"/>
      <c r="JL19" s="184">
        <f>IFERROR((((COUNTIF('Elève (4ème5)'!JH19:JK19,"A"))*4)+((COUNTIF('Elève (4ème5)'!JH19:JK19,"B"))*3)+((COUNTIF('Elève (4ème5)'!JH19:JK19,"C"))*2)+((COUNTIF('Elève (4ème5)'!JH19:JK19,"D"))*1))/(COUNTA(JH19:JK19)),"")</f>
        <v>2</v>
      </c>
      <c r="JM19" s="185" t="str">
        <f t="shared" si="53"/>
        <v>C</v>
      </c>
      <c r="JN19" s="130" t="s">
        <v>30</v>
      </c>
      <c r="JO19" s="131" t="s">
        <v>31</v>
      </c>
      <c r="JP19" s="132" t="s">
        <v>30</v>
      </c>
      <c r="JQ19" s="132"/>
      <c r="JR19" s="132"/>
      <c r="JS19" s="184">
        <f>IFERROR((((COUNTIF('Elève (4ème5)'!JN19:JR19,"A"))*4)+((COUNTIF('Elève (4ème5)'!JN19:JR19,"B"))*3)+((COUNTIF('Elève (4ème5)'!JN19:JR19,"C"))*2)+((COUNTIF('Elève (4ème5)'!JN19:JR19,"D"))*1))/(COUNTA(JN19:JR19)),"")</f>
        <v>2.6666666666666665</v>
      </c>
      <c r="JT19" s="185" t="str">
        <f t="shared" si="54"/>
        <v>C</v>
      </c>
      <c r="JU19" s="184">
        <f>IF(COUNT(JF19,JL19,JS19)=0,"",SUM(JF19,JL19,JS19)/COUNT(JF19,JL19,JS19))</f>
        <v>2.333333333333333</v>
      </c>
      <c r="JV19" s="207" t="str">
        <f t="shared" si="55"/>
        <v>C</v>
      </c>
      <c r="JW19" s="130"/>
      <c r="JX19" s="131"/>
      <c r="JY19" s="132"/>
      <c r="JZ19" s="184" t="str">
        <f>IFERROR((((COUNTIF('Elève (4ème5)'!JW19:JY19,"A"))*4)+((COUNTIF('Elève (4ème5)'!JW19:JY19,"B"))*3)+((COUNTIF('Elève (4ème5)'!JW19:JY19,"C"))*2)+((COUNTIF('Elève (4ème5)'!JW19:JY19,"D"))*1))/(COUNTA(JW19:JY19)),"")</f>
        <v/>
      </c>
      <c r="KA19" s="185" t="str">
        <f t="shared" si="56"/>
        <v/>
      </c>
      <c r="KB19" s="130"/>
      <c r="KC19" s="131" t="s">
        <v>31</v>
      </c>
      <c r="KD19" s="132"/>
      <c r="KE19" s="132"/>
      <c r="KF19" s="184">
        <f>IFERROR((((COUNTIF('Elève (4ème5)'!KB19:KE19,"A"))*4)+((COUNTIF('Elève (4ème5)'!KB19:KE19,"B"))*3)+((COUNTIF('Elève (4ème5)'!KB19:KE19,"C"))*2)+((COUNTIF('Elève (4ème5)'!KB19:KE19,"D"))*1))/(COUNTA(KB19:KE19)),"")</f>
        <v>2</v>
      </c>
      <c r="KG19" s="185" t="str">
        <f t="shared" si="57"/>
        <v>C</v>
      </c>
      <c r="KH19" s="130" t="s">
        <v>31</v>
      </c>
      <c r="KI19" s="131" t="s">
        <v>30</v>
      </c>
      <c r="KJ19" s="132" t="s">
        <v>31</v>
      </c>
      <c r="KK19" s="132"/>
      <c r="KL19" s="132"/>
      <c r="KM19" s="184">
        <f>IFERROR((((COUNTIF('Elève (4ème5)'!KH19:KL19,"A"))*4)+((COUNTIF('Elève (4ème5)'!KH19:KL19,"B"))*3)+((COUNTIF('Elève (4ème5)'!KH19:KL19,"C"))*2)+((COUNTIF('Elève (4ème5)'!KH19:KL19,"D"))*1))/(COUNTA(KH19:KL19)),"")</f>
        <v>2.3333333333333335</v>
      </c>
      <c r="KN19" s="185" t="str">
        <f t="shared" si="58"/>
        <v>C</v>
      </c>
      <c r="KO19" s="184">
        <f>IF(COUNT(JZ19,KF19,KM19)=0,"",SUM(JZ19,KF19,KM19)/COUNT(JZ19,KF19,KM19))</f>
        <v>2.166666666666667</v>
      </c>
      <c r="KP19" s="207" t="str">
        <f t="shared" si="59"/>
        <v>C</v>
      </c>
      <c r="KQ19" s="130"/>
      <c r="KR19" s="131"/>
      <c r="KS19" s="132"/>
      <c r="KT19" s="184" t="str">
        <f>IFERROR((((COUNTIF('Elève (4ème5)'!KQ19:KS19,"A"))*4)+((COUNTIF('Elève (4ème5)'!KQ19:KS19,"B"))*3)+((COUNTIF('Elève (4ème5)'!KQ19:KS19,"C"))*2)+((COUNTIF('Elève (4ème5)'!KQ19:KS19,"D"))*1))/(COUNTA(KQ19:KS19)),"")</f>
        <v/>
      </c>
      <c r="KU19" s="185" t="str">
        <f t="shared" si="60"/>
        <v/>
      </c>
      <c r="KV19" s="130"/>
      <c r="KW19" s="131" t="s">
        <v>31</v>
      </c>
      <c r="KX19" s="132"/>
      <c r="KY19" s="132"/>
      <c r="KZ19" s="184">
        <f>IFERROR((((COUNTIF('Elève (4ème5)'!KV19:KY19,"A"))*4)+((COUNTIF('Elève (4ème5)'!KV19:KY19,"B"))*3)+((COUNTIF('Elève (4ème5)'!KV19:KY19,"C"))*2)+((COUNTIF('Elève (4ème5)'!KV19:KY19,"D"))*1))/(COUNTA(KV19:KY19)),"")</f>
        <v>2</v>
      </c>
      <c r="LA19" s="185" t="str">
        <f t="shared" si="61"/>
        <v>C</v>
      </c>
      <c r="LB19" s="130" t="s">
        <v>31</v>
      </c>
      <c r="LC19" s="131" t="s">
        <v>32</v>
      </c>
      <c r="LD19" s="132" t="s">
        <v>31</v>
      </c>
      <c r="LE19" s="132"/>
      <c r="LF19" s="132"/>
      <c r="LG19" s="184">
        <f>IFERROR((((COUNTIF('Elève (4ème5)'!LB19:LF19,"A"))*4)+((COUNTIF('Elève (4ème5)'!LB19:LF19,"B"))*3)+((COUNTIF('Elève (4ème5)'!LB19:LF19,"C"))*2)+((COUNTIF('Elève (4ème5)'!LB19:LF19,"D"))*1))/(COUNTA(LB19:LF19)),"")</f>
        <v>1.6666666666666667</v>
      </c>
      <c r="LH19" s="185" t="str">
        <f t="shared" si="62"/>
        <v>C</v>
      </c>
      <c r="LI19" s="184">
        <f>IF(COUNT(KT19,KZ19,LG19)=0,"",SUM(KT19,KZ19,LG19)/COUNT(KT19,KZ19,LG19))</f>
        <v>1.8333333333333335</v>
      </c>
      <c r="LJ19" s="207" t="str">
        <f t="shared" si="63"/>
        <v>C</v>
      </c>
      <c r="LK19" s="130"/>
      <c r="LL19" s="131"/>
      <c r="LM19" s="132"/>
      <c r="LN19" s="184" t="str">
        <f>IFERROR((((COUNTIF('Elève (4ème5)'!LK19:LM19,"A"))*4)+((COUNTIF('Elève (4ème5)'!LK19:LM19,"B"))*3)+((COUNTIF('Elève (4ème5)'!LK19:LM19,"C"))*2)+((COUNTIF('Elève (4ème5)'!LK19:LM19,"D"))*1))/(COUNTA(LK19:LM19)),"")</f>
        <v/>
      </c>
      <c r="LO19" s="185" t="str">
        <f t="shared" si="64"/>
        <v/>
      </c>
      <c r="LP19" s="130"/>
      <c r="LQ19" s="131"/>
      <c r="LR19" s="132"/>
      <c r="LS19" s="132"/>
      <c r="LT19" s="184" t="str">
        <f>IFERROR((((COUNTIF('Elève (4ème5)'!LP19:LS19,"A"))*4)+((COUNTIF('Elève (4ème5)'!LP19:LS19,"B"))*3)+((COUNTIF('Elève (4ème5)'!LP19:LS19,"C"))*2)+((COUNTIF('Elève (4ème5)'!LP19:LS19,"D"))*1))/(COUNTA(LP19:LS19)),"")</f>
        <v/>
      </c>
      <c r="LU19" s="185" t="str">
        <f t="shared" si="65"/>
        <v/>
      </c>
      <c r="LV19" s="130"/>
      <c r="LW19" s="131"/>
      <c r="LX19" s="132"/>
      <c r="LY19" s="132"/>
      <c r="LZ19" s="132"/>
      <c r="MA19" s="184" t="str">
        <f>IFERROR((((COUNTIF('Elève (4ème5)'!LV19:LZ19,"A"))*4)+((COUNTIF('Elève (4ème5)'!LV19:LZ19,"B"))*3)+((COUNTIF('Elève (4ème5)'!LV19:LZ19,"C"))*2)+((COUNTIF('Elève (4ème5)'!LV19:LZ19,"D"))*1))/(COUNTA(LV19:LZ19)),"")</f>
        <v/>
      </c>
      <c r="MB19" s="185" t="str">
        <f t="shared" si="66"/>
        <v/>
      </c>
      <c r="MC19" s="184" t="str">
        <f>IF(COUNT(LN19,LT19,MA19)=0,"",SUM(LN19,LT19,MA19)/COUNT(LN19,LT19,MA19))</f>
        <v/>
      </c>
      <c r="MD19" s="207" t="str">
        <f t="shared" si="67"/>
        <v/>
      </c>
      <c r="ME19" s="130"/>
      <c r="MF19" s="131"/>
      <c r="MG19" s="132"/>
      <c r="MH19" s="184" t="str">
        <f>IFERROR((((COUNTIF('Elève (4ème5)'!ME19:MG19,"A"))*4)+((COUNTIF('Elève (4ème5)'!ME19:MG19,"B"))*3)+((COUNTIF('Elève (4ème5)'!ME19:MG19,"C"))*2)+((COUNTIF('Elève (4ème5)'!ME19:MG19,"D"))*1))/(COUNTA(ME19:MG19)),"")</f>
        <v/>
      </c>
      <c r="MI19" s="185" t="str">
        <f t="shared" si="68"/>
        <v/>
      </c>
      <c r="MJ19" s="130"/>
      <c r="MK19" s="131" t="s">
        <v>31</v>
      </c>
      <c r="ML19" s="132"/>
      <c r="MM19" s="132"/>
      <c r="MN19" s="184">
        <f>IFERROR((((COUNTIF('Elève (4ème5)'!MJ19:MM19,"A"))*4)+((COUNTIF('Elève (4ème5)'!MJ19:MM19,"B"))*3)+((COUNTIF('Elève (4ème5)'!MJ19:MM19,"C"))*2)+((COUNTIF('Elève (4ème5)'!MJ19:MM19,"D"))*1))/(COUNTA(MJ19:MM19)),"")</f>
        <v>2</v>
      </c>
      <c r="MO19" s="185" t="str">
        <f t="shared" si="69"/>
        <v>C</v>
      </c>
      <c r="MP19" s="130" t="s">
        <v>31</v>
      </c>
      <c r="MQ19" s="131" t="s">
        <v>31</v>
      </c>
      <c r="MR19" s="132" t="s">
        <v>30</v>
      </c>
      <c r="MS19" s="132"/>
      <c r="MT19" s="132"/>
      <c r="MU19" s="184">
        <f>IFERROR((((COUNTIF('Elève (4ème5)'!MP19:MT19,"A"))*4)+((COUNTIF('Elève (4ème5)'!MP19:MT19,"B"))*3)+((COUNTIF('Elève (4ème5)'!MP19:MT19,"C"))*2)+((COUNTIF('Elève (4ème5)'!MP19:MT19,"D"))*1))/(COUNTA(MP19:MT19)),"")</f>
        <v>2.3333333333333335</v>
      </c>
      <c r="MV19" s="185" t="str">
        <f t="shared" si="70"/>
        <v>C</v>
      </c>
      <c r="MW19" s="184">
        <f>IF(COUNT(MH19,MN19,MU19)=0,"",SUM(MH19,MN19,MU19)/COUNT(MH19,MN19,MU19))</f>
        <v>2.166666666666667</v>
      </c>
      <c r="MX19" s="207" t="str">
        <f t="shared" si="71"/>
        <v>C</v>
      </c>
      <c r="MY19" s="130"/>
      <c r="MZ19" s="131"/>
      <c r="NA19" s="132"/>
      <c r="NB19" s="184" t="str">
        <f>IFERROR((((COUNTIF('Elève (4ème5)'!MY19:NA19,"A"))*4)+((COUNTIF('Elève (4ème5)'!MY19:NA19,"B"))*3)+((COUNTIF('Elève (4ème5)'!MY19:NA19,"C"))*2)+((COUNTIF('Elève (4ème5)'!MY19:NA19,"D"))*1))/(COUNTA(MY19:NA19)),"")</f>
        <v/>
      </c>
      <c r="NC19" s="185" t="str">
        <f t="shared" si="72"/>
        <v/>
      </c>
      <c r="ND19" s="130"/>
      <c r="NE19" s="131" t="s">
        <v>31</v>
      </c>
      <c r="NF19" s="132"/>
      <c r="NG19" s="132"/>
      <c r="NH19" s="184">
        <f>IFERROR((((COUNTIF('Elève (4ème5)'!ND19:NG19,"A"))*4)+((COUNTIF('Elève (4ème5)'!ND19:NG19,"B"))*3)+((COUNTIF('Elève (4ème5)'!ND19:NG19,"C"))*2)+((COUNTIF('Elève (4ème5)'!ND19:NG19,"D"))*1))/(COUNTA(ND19:NG19)),"")</f>
        <v>2</v>
      </c>
      <c r="NI19" s="185" t="str">
        <f t="shared" si="73"/>
        <v>C</v>
      </c>
      <c r="NJ19" s="130" t="s">
        <v>31</v>
      </c>
      <c r="NK19" s="131" t="s">
        <v>31</v>
      </c>
      <c r="NL19" s="132" t="s">
        <v>30</v>
      </c>
      <c r="NM19" s="132"/>
      <c r="NN19" s="132"/>
      <c r="NO19" s="184">
        <f>IFERROR((((COUNTIF('Elève (4ème5)'!NJ19:NN19,"A"))*4)+((COUNTIF('Elève (4ème5)'!NJ19:NN19,"B"))*3)+((COUNTIF('Elève (4ème5)'!NJ19:NN19,"C"))*2)+((COUNTIF('Elève (4ème5)'!NJ19:NN19,"D"))*1))/(COUNTA(NJ19:NN19)),"")</f>
        <v>2.3333333333333335</v>
      </c>
      <c r="NP19" s="185" t="str">
        <f t="shared" si="74"/>
        <v>C</v>
      </c>
      <c r="NQ19" s="184">
        <f>IF(COUNT(NB19,NH19,NO19)=0,"",SUM(NB19,NH19,NO19)/COUNT(NB19,NH19,NO19))</f>
        <v>2.166666666666667</v>
      </c>
      <c r="NR19" s="207" t="str">
        <f t="shared" si="75"/>
        <v>C</v>
      </c>
      <c r="NS19" s="130"/>
      <c r="NT19" s="131"/>
      <c r="NU19" s="132"/>
      <c r="NV19" s="184" t="str">
        <f>IFERROR((((COUNTIF('Elève (4ème5)'!NS19:NU19,"A"))*4)+((COUNTIF('Elève (4ème5)'!NS19:NU19,"B"))*3)+((COUNTIF('Elève (4ème5)'!NS19:NU19,"C"))*2)+((COUNTIF('Elève (4ème5)'!NS19:NU19,"D"))*1))/(COUNTA(NS19:NU19)),"")</f>
        <v/>
      </c>
      <c r="NW19" s="185" t="str">
        <f t="shared" si="76"/>
        <v/>
      </c>
      <c r="NX19" s="130"/>
      <c r="NY19" s="131" t="s">
        <v>31</v>
      </c>
      <c r="NZ19" s="132"/>
      <c r="OA19" s="132"/>
      <c r="OB19" s="184">
        <f>IFERROR((((COUNTIF('Elève (4ème5)'!NX19:OA19,"A"))*4)+((COUNTIF('Elève (4ème5)'!NX19:OA19,"B"))*3)+((COUNTIF('Elève (4ème5)'!NX19:OA19,"C"))*2)+((COUNTIF('Elève (4ème5)'!NX19:OA19,"D"))*1))/(COUNTA(NX19:OA19)),"")</f>
        <v>2</v>
      </c>
      <c r="OC19" s="185" t="str">
        <f t="shared" si="77"/>
        <v>C</v>
      </c>
      <c r="OD19" s="130" t="s">
        <v>31</v>
      </c>
      <c r="OE19" s="131" t="s">
        <v>31</v>
      </c>
      <c r="OF19" s="132" t="s">
        <v>31</v>
      </c>
      <c r="OG19" s="132"/>
      <c r="OH19" s="132"/>
      <c r="OI19" s="184">
        <f>IFERROR((((COUNTIF('Elève (4ème5)'!OD19:OH19,"A"))*4)+((COUNTIF('Elève (4ème5)'!OD19:OH19,"B"))*3)+((COUNTIF('Elève (4ème5)'!OD19:OH19,"C"))*2)+((COUNTIF('Elève (4ème5)'!OD19:OH19,"D"))*1))/(COUNTA(OD19:OH19)),"")</f>
        <v>2</v>
      </c>
      <c r="OJ19" s="185" t="str">
        <f t="shared" si="78"/>
        <v>C</v>
      </c>
      <c r="OK19" s="184">
        <f>IF(COUNT(NV19,OB19,OI19)=0,"",SUM(NV19,OB19,OI19)/COUNT(NV19,OB19,OI19))</f>
        <v>2</v>
      </c>
      <c r="OL19" s="207" t="str">
        <f t="shared" si="79"/>
        <v>C</v>
      </c>
      <c r="OM19" s="130"/>
      <c r="ON19" s="131"/>
      <c r="OO19" s="132"/>
      <c r="OP19" s="184" t="str">
        <f>IFERROR((((COUNTIF('Elève (4ème5)'!OM19:OO19,"A"))*4)+((COUNTIF('Elève (4ème5)'!OM19:OO19,"B"))*3)+((COUNTIF('Elève (4ème5)'!OM19:OO19,"C"))*2)+((COUNTIF('Elève (4ème5)'!OM19:OO19,"D"))*1))/(COUNTA(OM19:OO19)),"")</f>
        <v/>
      </c>
      <c r="OQ19" s="185" t="str">
        <f t="shared" si="80"/>
        <v/>
      </c>
      <c r="OR19" s="130"/>
      <c r="OS19" s="131" t="s">
        <v>30</v>
      </c>
      <c r="OT19" s="132"/>
      <c r="OU19" s="132"/>
      <c r="OV19" s="184">
        <f>IFERROR((((COUNTIF('Elève (4ème5)'!OR19:OU19,"A"))*4)+((COUNTIF('Elève (4ème5)'!OR19:OU19,"B"))*3)+((COUNTIF('Elève (4ème5)'!OR19:OU19,"C"))*2)+((COUNTIF('Elève (4ème5)'!OR19:OU19,"D"))*1))/(COUNTA(OR19:OU19)),"")</f>
        <v>3</v>
      </c>
      <c r="OW19" s="185" t="str">
        <f t="shared" si="81"/>
        <v>B</v>
      </c>
      <c r="OX19" s="130" t="s">
        <v>32</v>
      </c>
      <c r="OY19" s="131" t="s">
        <v>30</v>
      </c>
      <c r="OZ19" s="132" t="s">
        <v>30</v>
      </c>
      <c r="PA19" s="132"/>
      <c r="PB19" s="132"/>
      <c r="PC19" s="184">
        <f>IFERROR((((COUNTIF('Elève (4ème5)'!OX19:PB19,"A"))*4)+((COUNTIF('Elève (4ème5)'!OX19:PB19,"B"))*3)+((COUNTIF('Elève (4ème5)'!OX19:PB19,"C"))*2)+((COUNTIF('Elève (4ème5)'!OX19:PB19,"D"))*1))/(COUNTA(OX19:PB19)),"")</f>
        <v>2.3333333333333335</v>
      </c>
      <c r="PD19" s="185" t="str">
        <f t="shared" si="82"/>
        <v>C</v>
      </c>
      <c r="PE19" s="184">
        <f>IF(COUNT(OP19,OV19,PC19)=0,"",SUM(OP19,OV19,PC19)/COUNT(OP19,OV19,PC19))</f>
        <v>2.666666666666667</v>
      </c>
      <c r="PF19" s="207" t="str">
        <f t="shared" si="83"/>
        <v>C</v>
      </c>
      <c r="PG19" s="130"/>
      <c r="PH19" s="131"/>
      <c r="PI19" s="132"/>
      <c r="PJ19" s="184" t="str">
        <f>IFERROR((((COUNTIF('Elève (4ème5)'!PG19:PI19,"A"))*4)+((COUNTIF('Elève (4ème5)'!PG19:PI19,"B"))*3)+((COUNTIF('Elève (4ème5)'!PG19:PI19,"C"))*2)+((COUNTIF('Elève (4ème5)'!PG19:PI19,"D"))*1))/(COUNTA(PG19:PI19)),"")</f>
        <v/>
      </c>
      <c r="PK19" s="185" t="str">
        <f t="shared" si="84"/>
        <v/>
      </c>
      <c r="PL19" s="130"/>
      <c r="PM19" s="131" t="s">
        <v>31</v>
      </c>
      <c r="PN19" s="132"/>
      <c r="PO19" s="132"/>
      <c r="PP19" s="184">
        <f>IFERROR((((COUNTIF('Elève (4ème5)'!PL19:PO19,"A"))*4)+((COUNTIF('Elève (4ème5)'!PL19:PO19,"B"))*3)+((COUNTIF('Elève (4ème5)'!PL19:PO19,"C"))*2)+((COUNTIF('Elève (4ème5)'!PL19:PO19,"D"))*1))/(COUNTA(PL19:PO19)),"")</f>
        <v>2</v>
      </c>
      <c r="PQ19" s="185" t="str">
        <f t="shared" si="85"/>
        <v>C</v>
      </c>
      <c r="PR19" s="130" t="s">
        <v>31</v>
      </c>
      <c r="PS19" s="131" t="s">
        <v>31</v>
      </c>
      <c r="PT19" s="132" t="s">
        <v>30</v>
      </c>
      <c r="PU19" s="132"/>
      <c r="PV19" s="132"/>
      <c r="PW19" s="184">
        <f>IFERROR((((COUNTIF('Elève (4ème5)'!PR19:PV19,"A"))*4)+((COUNTIF('Elève (4ème5)'!PR19:PV19,"B"))*3)+((COUNTIF('Elève (4ème5)'!PR19:PV19,"C"))*2)+((COUNTIF('Elève (4ème5)'!PR19:PV19,"D"))*1))/(COUNTA(PR19:PV19)),"")</f>
        <v>2.3333333333333335</v>
      </c>
      <c r="PX19" s="185" t="str">
        <f t="shared" si="86"/>
        <v>C</v>
      </c>
      <c r="PY19" s="184">
        <f>IF(COUNT(PJ19,PP19,PW19)=0,"",SUM(PJ19,PP19,PW19)/COUNT(PJ19,PP19,PW19))</f>
        <v>2.166666666666667</v>
      </c>
      <c r="PZ19" s="207" t="str">
        <f t="shared" si="87"/>
        <v>C</v>
      </c>
      <c r="QA19" s="130"/>
      <c r="QB19" s="131"/>
      <c r="QC19" s="132"/>
      <c r="QD19" s="184" t="str">
        <f>IFERROR((((COUNTIF('Elève (4ème5)'!QA19:QC19,"A"))*4)+((COUNTIF('Elève (4ème5)'!QA19:QC19,"B"))*3)+((COUNTIF('Elève (4ème5)'!QA19:QC19,"C"))*2)+((COUNTIF('Elève (4ème5)'!QA19:QC19,"D"))*1))/(COUNTA(QA19:QC19)),"")</f>
        <v/>
      </c>
      <c r="QE19" s="185" t="str">
        <f t="shared" si="88"/>
        <v/>
      </c>
      <c r="QF19" s="130"/>
      <c r="QG19" s="131" t="s">
        <v>31</v>
      </c>
      <c r="QH19" s="132"/>
      <c r="QI19" s="132"/>
      <c r="QJ19" s="184">
        <f>IFERROR((((COUNTIF('Elève (4ème5)'!QF19:QI19,"A"))*4)+((COUNTIF('Elève (4ème5)'!QF19:QI19,"B"))*3)+((COUNTIF('Elève (4ème5)'!QF19:QI19,"C"))*2)+((COUNTIF('Elève (4ème5)'!QF19:QI19,"D"))*1))/(COUNTA(QF19:QI19)),"")</f>
        <v>2</v>
      </c>
      <c r="QK19" s="185" t="str">
        <f t="shared" si="89"/>
        <v>C</v>
      </c>
      <c r="QL19" s="130" t="s">
        <v>30</v>
      </c>
      <c r="QM19" s="131"/>
      <c r="QN19" s="132" t="s">
        <v>30</v>
      </c>
      <c r="QO19" s="132"/>
      <c r="QP19" s="132"/>
      <c r="QQ19" s="184">
        <f>IFERROR((((COUNTIF('Elève (4ème5)'!QL19:QP19,"A"))*4)+((COUNTIF('Elève (4ème5)'!QL19:QP19,"B"))*3)+((COUNTIF('Elève (4ème5)'!QL19:QP19,"C"))*2)+((COUNTIF('Elève (4ème5)'!QL19:QP19,"D"))*1))/(COUNTA(QL19:QP19)),"")</f>
        <v>3</v>
      </c>
      <c r="QR19" s="185" t="str">
        <f t="shared" si="90"/>
        <v>B</v>
      </c>
      <c r="QS19" s="184">
        <f>IF(COUNT(QD19,QJ19,QQ19)=0,"",SUM(QD19,QJ19,QQ19)/COUNT(QD19,QJ19,QQ19))</f>
        <v>2.5</v>
      </c>
      <c r="QT19" s="207" t="str">
        <f t="shared" si="91"/>
        <v>C</v>
      </c>
      <c r="QU19" s="130"/>
      <c r="QV19" s="131"/>
      <c r="QW19" s="132"/>
      <c r="QX19" s="184" t="str">
        <f>IFERROR((((COUNTIF('Elève (4ème5)'!QU19:QW19,"A"))*4)+((COUNTIF('Elève (4ème5)'!QU19:QW19,"B"))*3)+((COUNTIF('Elève (4ème5)'!QU19:QW19,"C"))*2)+((COUNTIF('Elève (4ème5)'!QU19:QW19,"D"))*1))/(COUNTA(QU19:QW19)),"")</f>
        <v/>
      </c>
      <c r="QY19" s="185" t="str">
        <f t="shared" si="92"/>
        <v/>
      </c>
      <c r="QZ19" s="130"/>
      <c r="RA19" s="131" t="s">
        <v>31</v>
      </c>
      <c r="RB19" s="132"/>
      <c r="RC19" s="132"/>
      <c r="RD19" s="184">
        <f>IFERROR((((COUNTIF('Elève (4ème5)'!QZ19:RC19,"A"))*4)+((COUNTIF('Elève (4ème5)'!QZ19:RC19,"B"))*3)+((COUNTIF('Elève (4ème5)'!QZ19:RC19,"C"))*2)+((COUNTIF('Elève (4ème5)'!QZ19:RC19,"D"))*1))/(COUNTA(QZ19:RC19)),"")</f>
        <v>2</v>
      </c>
      <c r="RE19" s="185" t="str">
        <f t="shared" si="93"/>
        <v>C</v>
      </c>
      <c r="RF19" s="130" t="s">
        <v>31</v>
      </c>
      <c r="RG19" s="131" t="s">
        <v>31</v>
      </c>
      <c r="RH19" s="132" t="s">
        <v>30</v>
      </c>
      <c r="RI19" s="132"/>
      <c r="RJ19" s="132"/>
      <c r="RK19" s="184">
        <f>IFERROR((((COUNTIF('Elève (4ème5)'!RF19:RJ19,"A"))*4)+((COUNTIF('Elève (4ème5)'!RF19:RJ19,"B"))*3)+((COUNTIF('Elève (4ème5)'!RF19:RJ19,"C"))*2)+((COUNTIF('Elève (4ème5)'!RF19:RJ19,"D"))*1))/(COUNTA(RF19:RJ19)),"")</f>
        <v>2.3333333333333335</v>
      </c>
      <c r="RL19" s="185" t="str">
        <f t="shared" si="94"/>
        <v>C</v>
      </c>
      <c r="RM19" s="184">
        <f>IF(COUNT(QX19,RD19,RK19)=0,"",SUM(QX19,RD19,RK19)/COUNT(QX19,RD19,RK19))</f>
        <v>2.166666666666667</v>
      </c>
      <c r="RN19" s="207" t="str">
        <f t="shared" si="95"/>
        <v>C</v>
      </c>
      <c r="RO19" s="130"/>
      <c r="RP19" s="131"/>
      <c r="RQ19" s="132"/>
      <c r="RR19" s="184" t="str">
        <f>IFERROR((((COUNTIF('Elève (4ème5)'!RO19:RQ19,"A"))*4)+((COUNTIF('Elève (4ème5)'!RO19:RQ19,"B"))*3)+((COUNTIF('Elève (4ème5)'!RO19:RQ19,"C"))*2)+((COUNTIF('Elève (4ème5)'!RO19:RQ19,"D"))*1))/(COUNTA(RO19:RQ19)),"")</f>
        <v/>
      </c>
      <c r="RS19" s="185" t="str">
        <f t="shared" si="96"/>
        <v/>
      </c>
      <c r="RT19" s="130"/>
      <c r="RU19" s="131" t="s">
        <v>31</v>
      </c>
      <c r="RV19" s="132"/>
      <c r="RW19" s="132"/>
      <c r="RX19" s="184">
        <f>IFERROR((((COUNTIF('Elève (4ème5)'!RT19:RW19,"A"))*4)+((COUNTIF('Elève (4ème5)'!RT19:RW19,"B"))*3)+((COUNTIF('Elève (4ème5)'!RT19:RW19,"C"))*2)+((COUNTIF('Elève (4ème5)'!RT19:RW19,"D"))*1))/(COUNTA(RT19:RW19)),"")</f>
        <v>2</v>
      </c>
      <c r="RY19" s="185" t="str">
        <f t="shared" si="97"/>
        <v>C</v>
      </c>
      <c r="RZ19" s="130" t="s">
        <v>31</v>
      </c>
      <c r="SA19" s="131" t="s">
        <v>30</v>
      </c>
      <c r="SB19" s="132" t="s">
        <v>31</v>
      </c>
      <c r="SC19" s="132"/>
      <c r="SD19" s="132"/>
      <c r="SE19" s="184">
        <f>IFERROR((((COUNTIF('Elève (4ème5)'!RZ19:SD19,"A"))*4)+((COUNTIF('Elève (4ème5)'!RZ19:SD19,"B"))*3)+((COUNTIF('Elève (4ème5)'!RZ19:SD19,"C"))*2)+((COUNTIF('Elève (4ème5)'!RZ19:SD19,"D"))*1))/(COUNTA(RZ19:SD19)),"")</f>
        <v>2.3333333333333335</v>
      </c>
      <c r="SF19" s="185" t="str">
        <f t="shared" si="98"/>
        <v>C</v>
      </c>
      <c r="SG19" s="184">
        <f>IF(COUNT(RR19,RX19,SE19)=0,"",SUM(RR19,RX19,SE19)/COUNT(RR19,RX19,SE19))</f>
        <v>2.166666666666667</v>
      </c>
      <c r="SH19" s="207" t="str">
        <f t="shared" si="99"/>
        <v>C</v>
      </c>
      <c r="SI19" s="130"/>
      <c r="SJ19" s="131"/>
      <c r="SK19" s="132"/>
      <c r="SL19" s="184" t="str">
        <f>IFERROR((((COUNTIF('Elève (4ème5)'!SI19:SK19,"A"))*4)+((COUNTIF('Elève (4ème5)'!SI19:SK19,"B"))*3)+((COUNTIF('Elève (4ème5)'!SI19:SK19,"C"))*2)+((COUNTIF('Elève (4ème5)'!SI19:SK19,"D"))*1))/(COUNTA(SI19:SK19)),"")</f>
        <v/>
      </c>
      <c r="SM19" s="185" t="str">
        <f t="shared" si="100"/>
        <v/>
      </c>
      <c r="SN19" s="130"/>
      <c r="SO19" s="131" t="s">
        <v>31</v>
      </c>
      <c r="SP19" s="132"/>
      <c r="SQ19" s="132"/>
      <c r="SR19" s="184">
        <f>IFERROR((((COUNTIF('Elève (4ème5)'!SN19:SQ19,"A"))*4)+((COUNTIF('Elève (4ème5)'!SN19:SQ19,"B"))*3)+((COUNTIF('Elève (4ème5)'!SN19:SQ19,"C"))*2)+((COUNTIF('Elève (4ème5)'!SN19:SQ19,"D"))*1))/(COUNTA(SN19:SQ19)),"")</f>
        <v>2</v>
      </c>
      <c r="SS19" s="185" t="str">
        <f t="shared" si="101"/>
        <v>C</v>
      </c>
      <c r="ST19" s="130" t="s">
        <v>31</v>
      </c>
      <c r="SU19" s="131" t="s">
        <v>31</v>
      </c>
      <c r="SV19" s="132" t="s">
        <v>30</v>
      </c>
      <c r="SW19" s="132"/>
      <c r="SX19" s="132"/>
      <c r="SY19" s="184">
        <f>IFERROR((((COUNTIF('Elève (4ème5)'!ST19:SX19,"A"))*4)+((COUNTIF('Elève (4ème5)'!ST19:SX19,"B"))*3)+((COUNTIF('Elève (4ème5)'!ST19:SX19,"C"))*2)+((COUNTIF('Elève (4ème5)'!ST19:SX19,"D"))*1))/(COUNTA(ST19:SX19)),"")</f>
        <v>2.3333333333333335</v>
      </c>
      <c r="SZ19" s="185" t="str">
        <f t="shared" si="102"/>
        <v>C</v>
      </c>
      <c r="TA19" s="184">
        <f>IF(COUNT(SL19,SR19,SY19)=0,"",SUM(SL19,SR19,SY19)/COUNT(SL19,SR19,SY19))</f>
        <v>2.166666666666667</v>
      </c>
      <c r="TB19" s="207" t="str">
        <f t="shared" si="103"/>
        <v>C</v>
      </c>
      <c r="TC19" s="130"/>
      <c r="TD19" s="131"/>
      <c r="TE19" s="132"/>
      <c r="TF19" s="184" t="str">
        <f>IFERROR((((COUNTIF('Elève (4ème5)'!TC19:TE19,"A"))*4)+((COUNTIF('Elève (4ème5)'!TC19:TE19,"B"))*3)+((COUNTIF('Elève (4ème5)'!TC19:TE19,"C"))*2)+((COUNTIF('Elève (4ème5)'!TC19:TE19,"D"))*1))/(COUNTA(TC19:TE19)),"")</f>
        <v/>
      </c>
      <c r="TG19" s="185" t="str">
        <f t="shared" si="104"/>
        <v/>
      </c>
      <c r="TH19" s="130"/>
      <c r="TI19" s="131"/>
      <c r="TJ19" s="132"/>
      <c r="TK19" s="132"/>
      <c r="TL19" s="184" t="str">
        <f>IFERROR((((COUNTIF('Elève (4ème5)'!TH19:TK19,"A"))*4)+((COUNTIF('Elève (4ème5)'!TH19:TK19,"B"))*3)+((COUNTIF('Elève (4ème5)'!TH19:TK19,"C"))*2)+((COUNTIF('Elève (4ème5)'!TH19:TK19,"D"))*1))/(COUNTA(TH19:TK19)),"")</f>
        <v/>
      </c>
      <c r="TM19" s="185" t="str">
        <f t="shared" si="105"/>
        <v/>
      </c>
      <c r="TN19" s="130" t="s">
        <v>30</v>
      </c>
      <c r="TO19" s="131" t="s">
        <v>30</v>
      </c>
      <c r="TP19" s="132"/>
      <c r="TQ19" s="132"/>
      <c r="TR19" s="132"/>
      <c r="TS19" s="184">
        <f>IFERROR((((COUNTIF('Elève (4ème5)'!TN19:TR19,"A"))*4)+((COUNTIF('Elève (4ème5)'!TN19:TR19,"B"))*3)+((COUNTIF('Elève (4ème5)'!TN19:TR19,"C"))*2)+((COUNTIF('Elève (4ème5)'!TN19:TR19,"D"))*1))/(COUNTA(TN19:TR19)),"")</f>
        <v>3</v>
      </c>
      <c r="TT19" s="185" t="str">
        <f t="shared" si="106"/>
        <v>B</v>
      </c>
      <c r="TU19" s="184">
        <f>IF(COUNT(TF19,TL19,TS19)=0,"",SUM(TF19,TL19,TS19)/COUNT(TF19,TL19,TS19))</f>
        <v>3</v>
      </c>
      <c r="TV19" s="207" t="str">
        <f t="shared" si="107"/>
        <v>B</v>
      </c>
      <c r="TW19" s="130"/>
      <c r="TX19" s="131"/>
      <c r="TY19" s="132"/>
      <c r="TZ19" s="184" t="str">
        <f>IFERROR((((COUNTIF('Elève (4ème5)'!TW19:TY19,"A"))*4)+((COUNTIF('Elève (4ème5)'!TW19:TY19,"B"))*3)+((COUNTIF('Elève (4ème5)'!TW19:TY19,"C"))*2)+((COUNTIF('Elève (4ème5)'!TW19:TY19,"D"))*1))/(COUNTA(TW19:TY19)),"")</f>
        <v/>
      </c>
      <c r="UA19" s="185" t="str">
        <f t="shared" si="108"/>
        <v/>
      </c>
      <c r="UB19" s="130"/>
      <c r="UC19" s="131" t="s">
        <v>31</v>
      </c>
      <c r="UD19" s="132"/>
      <c r="UE19" s="132"/>
      <c r="UF19" s="184">
        <f>IFERROR((((COUNTIF('Elève (4ème5)'!UB19:UE19,"A"))*4)+((COUNTIF('Elève (4ème5)'!UB19:UE19,"B"))*3)+((COUNTIF('Elève (4ème5)'!UB19:UE19,"C"))*2)+((COUNTIF('Elève (4ème5)'!UB19:UE19,"D"))*1))/(COUNTA(UB19:UE19)),"")</f>
        <v>2</v>
      </c>
      <c r="UG19" s="185" t="str">
        <f t="shared" si="109"/>
        <v>C</v>
      </c>
      <c r="UH19" s="130" t="s">
        <v>31</v>
      </c>
      <c r="UI19" s="131" t="s">
        <v>31</v>
      </c>
      <c r="UJ19" s="132" t="s">
        <v>31</v>
      </c>
      <c r="UK19" s="132"/>
      <c r="UL19" s="132"/>
      <c r="UM19" s="184">
        <f>IFERROR((((COUNTIF('Elève (4ème5)'!UH19:UL19,"A"))*4)+((COUNTIF('Elève (4ème5)'!UH19:UL19,"B"))*3)+((COUNTIF('Elève (4ème5)'!UH19:UL19,"C"))*2)+((COUNTIF('Elève (4ème5)'!UH19:UL19,"D"))*1))/(COUNTA(UH19:UL19)),"")</f>
        <v>2</v>
      </c>
      <c r="UN19" s="185" t="str">
        <f t="shared" si="110"/>
        <v>C</v>
      </c>
      <c r="UO19" s="184">
        <f>IF(COUNT(TZ19,UF19,UM19)=0,"",SUM(TZ19,UF19,UM19)/COUNT(TZ19,UF19,UM19))</f>
        <v>2</v>
      </c>
      <c r="UP19" s="207" t="str">
        <f t="shared" si="111"/>
        <v>C</v>
      </c>
      <c r="UQ19" s="130"/>
      <c r="UR19" s="131"/>
      <c r="US19" s="132"/>
      <c r="UT19" s="133" t="str">
        <f>IFERROR((((COUNTIF('Elève (4ème5)'!UQ19:US19,"A"))*4)+((COUNTIF('Elève (4ème5)'!UQ19:US19,"B"))*3)+((COUNTIF('Elève (4ème5)'!UQ19:US19,"C"))*2)+((COUNTIF('Elève (4ème5)'!UQ19:US19,"D"))*1))/(COUNTA(UQ19:US19)),"")</f>
        <v/>
      </c>
      <c r="UU19" s="134" t="str">
        <f t="shared" si="112"/>
        <v/>
      </c>
      <c r="UV19" s="130"/>
      <c r="UW19" s="131"/>
      <c r="UX19" s="132"/>
      <c r="UY19" s="133" t="str">
        <f>IFERROR((((COUNTIF('Elève (4ème5)'!UV19:UX19,"A"))*4)+((COUNTIF('Elève (4ème5)'!UV19:UX19,"B"))*3)+((COUNTIF('Elève (4ème5)'!UV19:UX19,"C"))*2)+((COUNTIF('Elève (4ème5)'!UV19:UX19,"D"))*1))/(COUNTA(UV19:UX19)),"")</f>
        <v/>
      </c>
      <c r="UZ19" s="134" t="str">
        <f t="shared" si="113"/>
        <v/>
      </c>
      <c r="VA19" s="130"/>
      <c r="VB19" s="131"/>
      <c r="VC19" s="136"/>
      <c r="VD19" s="133" t="str">
        <f>IFERROR((((COUNTIF('Elève (4ème5)'!VA19:VC19,"A"))*4)+((COUNTIF('Elève (4ème5)'!VA19:VC19,"B"))*3)+((COUNTIF('Elève (4ème5)'!VA19:VC19,"C"))*2)+((COUNTIF('Elève (4ème5)'!VA19:VC19,"D"))*1))/(COUNTA(VA19:VC19)),"")</f>
        <v/>
      </c>
      <c r="VE19" s="134" t="str">
        <f t="shared" si="114"/>
        <v/>
      </c>
      <c r="VF19" s="133" t="str">
        <f>IF(COUNT(UT19,UY19,VD19)=0,"",SUM(UT19,UY19,VD19)/COUNT(UT19,UY19,VD19))</f>
        <v/>
      </c>
      <c r="VG19" s="135" t="str">
        <f t="shared" si="115"/>
        <v/>
      </c>
      <c r="VH19" s="130"/>
      <c r="VI19" s="131"/>
      <c r="VJ19" s="132"/>
      <c r="VK19" s="133" t="str">
        <f>IFERROR((((COUNTIF('Elève (4ème5)'!VH19:VJ19,"A"))*4)+((COUNTIF('Elève (4ème5)'!VH19:VJ19,"B"))*3)+((COUNTIF('Elève (4ème5)'!VH19:VJ19,"C"))*2)+((COUNTIF('Elève (4ème5)'!VH19:VJ19,"D"))*1))/(COUNTA(VH19:VJ19)),"")</f>
        <v/>
      </c>
      <c r="VL19" s="134" t="str">
        <f t="shared" si="116"/>
        <v/>
      </c>
      <c r="VM19" s="130"/>
      <c r="VN19" s="131"/>
      <c r="VO19" s="132"/>
      <c r="VP19" s="133" t="str">
        <f>IFERROR((((COUNTIF('Elève (4ème5)'!VM19:VO19,"A"))*4)+((COUNTIF('Elève (4ème5)'!VM19:VO19,"B"))*3)+((COUNTIF('Elève (4ème5)'!VM19:VO19,"C"))*2)+((COUNTIF('Elève (4ème5)'!VM19:VO19,"D"))*1))/(COUNTA(VM19:VO19)),"")</f>
        <v/>
      </c>
      <c r="VQ19" s="134" t="str">
        <f t="shared" si="117"/>
        <v/>
      </c>
      <c r="VR19" s="130"/>
      <c r="VS19" s="131"/>
      <c r="VT19" s="136"/>
      <c r="VU19" s="133" t="str">
        <f>IFERROR((((COUNTIF('Elève (4ème5)'!VR19:VT19,"A"))*4)+((COUNTIF('Elève (4ème5)'!VR19:VT19,"B"))*3)+((COUNTIF('Elève (4ème5)'!VR19:VT19,"C"))*2)+((COUNTIF('Elève (4ème5)'!VR19:VT19,"D"))*1))/(COUNTA(VR19:VT19)),"")</f>
        <v/>
      </c>
      <c r="VV19" s="134" t="str">
        <f t="shared" si="118"/>
        <v/>
      </c>
      <c r="VW19" s="133" t="str">
        <f>IF(COUNT(VK19,VP19,VU19)=0,"",SUM(VK19,VP19,VU19)/COUNT(VK19,VP19,VU19))</f>
        <v/>
      </c>
      <c r="VX19" s="135" t="str">
        <f t="shared" si="119"/>
        <v/>
      </c>
    </row>
    <row r="20" spans="1:596" s="115" customFormat="1" ht="16.5" customHeight="1" thickBot="1" x14ac:dyDescent="0.6">
      <c r="A20" s="165" t="s">
        <v>26</v>
      </c>
      <c r="B20" s="140">
        <v>1</v>
      </c>
      <c r="C20" s="225"/>
      <c r="D20" s="85"/>
      <c r="E20" s="105"/>
      <c r="F20" s="178" t="str">
        <f>IF(COUNT(F21)=0,"",SUM(F21)/COUNT(F21))</f>
        <v/>
      </c>
      <c r="G20" s="179" t="str">
        <f t="shared" si="0"/>
        <v/>
      </c>
      <c r="H20" s="225"/>
      <c r="I20" s="85"/>
      <c r="J20" s="85"/>
      <c r="K20" s="105"/>
      <c r="L20" s="178" t="str">
        <f>IF(COUNT(L21)=0,"",SUM(L21)/COUNT(L21))</f>
        <v/>
      </c>
      <c r="M20" s="194" t="str">
        <f t="shared" si="1"/>
        <v/>
      </c>
      <c r="N20" s="172"/>
      <c r="O20" s="110"/>
      <c r="P20" s="110"/>
      <c r="Q20" s="110"/>
      <c r="R20" s="110"/>
      <c r="S20" s="178" t="str">
        <f>IF(COUNT(S21)=0,"",SUM(S21)/COUNT(S21))</f>
        <v/>
      </c>
      <c r="T20" s="202" t="str">
        <f t="shared" si="2"/>
        <v/>
      </c>
      <c r="U20" s="203" t="str">
        <f>IF(COUNT(U21)=0,"",SUM(U21)/COUNT(U21))</f>
        <v/>
      </c>
      <c r="V20" s="204" t="str">
        <f t="shared" si="3"/>
        <v/>
      </c>
      <c r="W20" s="215"/>
      <c r="X20" s="85"/>
      <c r="Y20" s="105"/>
      <c r="Z20" s="178" t="str">
        <f>IF(COUNT(Z21)=0,"",SUM(Z21)/COUNT(Z21))</f>
        <v/>
      </c>
      <c r="AA20" s="179" t="str">
        <f t="shared" si="4"/>
        <v/>
      </c>
      <c r="AB20" s="225"/>
      <c r="AC20" s="85"/>
      <c r="AD20" s="85"/>
      <c r="AE20" s="105"/>
      <c r="AF20" s="178" t="str">
        <f>IF(COUNT(AF21)=0,"",SUM(AF21)/COUNT(AF21))</f>
        <v/>
      </c>
      <c r="AG20" s="194" t="str">
        <f t="shared" si="5"/>
        <v/>
      </c>
      <c r="AH20" s="172"/>
      <c r="AI20" s="110"/>
      <c r="AJ20" s="110"/>
      <c r="AK20" s="110"/>
      <c r="AL20" s="110"/>
      <c r="AM20" s="178" t="str">
        <f>IF(COUNT(AM21)=0,"",SUM(AM21)/COUNT(AM21))</f>
        <v/>
      </c>
      <c r="AN20" s="202" t="str">
        <f t="shared" si="6"/>
        <v/>
      </c>
      <c r="AO20" s="203" t="str">
        <f>IF(COUNT(AO21)=0,"",SUM(AO21)/COUNT(AO21))</f>
        <v/>
      </c>
      <c r="AP20" s="204" t="str">
        <f t="shared" si="7"/>
        <v/>
      </c>
      <c r="AQ20" s="215"/>
      <c r="AR20" s="85"/>
      <c r="AS20" s="105"/>
      <c r="AT20" s="178" t="str">
        <f>IF(COUNT(AT21)=0,"",SUM(AT21)/COUNT(AT21))</f>
        <v/>
      </c>
      <c r="AU20" s="179" t="str">
        <f t="shared" si="8"/>
        <v/>
      </c>
      <c r="AV20" s="225"/>
      <c r="AW20" s="85"/>
      <c r="AX20" s="85"/>
      <c r="AY20" s="105"/>
      <c r="AZ20" s="178" t="str">
        <f>IF(COUNT(AZ21)=0,"",SUM(AZ21)/COUNT(AZ21))</f>
        <v/>
      </c>
      <c r="BA20" s="194" t="str">
        <f t="shared" si="9"/>
        <v/>
      </c>
      <c r="BB20" s="172"/>
      <c r="BC20" s="110"/>
      <c r="BD20" s="110"/>
      <c r="BE20" s="110"/>
      <c r="BF20" s="110"/>
      <c r="BG20" s="178" t="str">
        <f>IF(COUNT(BG21)=0,"",SUM(BG21)/COUNT(BG21))</f>
        <v/>
      </c>
      <c r="BH20" s="202" t="str">
        <f t="shared" si="10"/>
        <v/>
      </c>
      <c r="BI20" s="203" t="str">
        <f>IF(COUNT(BI21)=0,"",SUM(BI21)/COUNT(BI21))</f>
        <v/>
      </c>
      <c r="BJ20" s="204" t="str">
        <f t="shared" si="11"/>
        <v/>
      </c>
      <c r="BK20" s="215"/>
      <c r="BL20" s="85"/>
      <c r="BM20" s="105"/>
      <c r="BN20" s="178" t="str">
        <f>IF(COUNT(BN21)=0,"",SUM(BN21)/COUNT(BN21))</f>
        <v/>
      </c>
      <c r="BO20" s="179" t="str">
        <f t="shared" si="12"/>
        <v/>
      </c>
      <c r="BP20" s="225"/>
      <c r="BQ20" s="85"/>
      <c r="BR20" s="85"/>
      <c r="BS20" s="105"/>
      <c r="BT20" s="178" t="str">
        <f>IF(COUNT(BT21)=0,"",SUM(BT21)/COUNT(BT21))</f>
        <v/>
      </c>
      <c r="BU20" s="194" t="str">
        <f t="shared" si="13"/>
        <v/>
      </c>
      <c r="BV20" s="172"/>
      <c r="BW20" s="110"/>
      <c r="BX20" s="110"/>
      <c r="BY20" s="110"/>
      <c r="BZ20" s="110"/>
      <c r="CA20" s="178" t="str">
        <f>IF(COUNT(CA21)=0,"",SUM(CA21)/COUNT(CA21))</f>
        <v/>
      </c>
      <c r="CB20" s="202" t="str">
        <f t="shared" si="14"/>
        <v/>
      </c>
      <c r="CC20" s="203" t="str">
        <f>IF(COUNT(CC21)=0,"",SUM(CC21)/COUNT(CC21))</f>
        <v/>
      </c>
      <c r="CD20" s="204" t="str">
        <f t="shared" si="15"/>
        <v/>
      </c>
      <c r="CE20" s="215"/>
      <c r="CF20" s="85"/>
      <c r="CG20" s="105"/>
      <c r="CH20" s="178" t="str">
        <f>IF(COUNT(CH21)=0,"",SUM(CH21)/COUNT(CH21))</f>
        <v/>
      </c>
      <c r="CI20" s="179" t="str">
        <f t="shared" si="16"/>
        <v/>
      </c>
      <c r="CJ20" s="225"/>
      <c r="CK20" s="85"/>
      <c r="CL20" s="85"/>
      <c r="CM20" s="105"/>
      <c r="CN20" s="178" t="str">
        <f>IF(COUNT(CN21)=0,"",SUM(CN21)/COUNT(CN21))</f>
        <v/>
      </c>
      <c r="CO20" s="194" t="str">
        <f t="shared" si="17"/>
        <v/>
      </c>
      <c r="CP20" s="172"/>
      <c r="CQ20" s="110"/>
      <c r="CR20" s="110"/>
      <c r="CS20" s="110"/>
      <c r="CT20" s="110"/>
      <c r="CU20" s="178" t="str">
        <f>IF(COUNT(CU21)=0,"",SUM(CU21)/COUNT(CU21))</f>
        <v/>
      </c>
      <c r="CV20" s="202" t="str">
        <f t="shared" si="18"/>
        <v/>
      </c>
      <c r="CW20" s="203" t="str">
        <f>IF(COUNT(CW21)=0,"",SUM(CW21)/COUNT(CW21))</f>
        <v/>
      </c>
      <c r="CX20" s="204" t="str">
        <f t="shared" si="19"/>
        <v/>
      </c>
      <c r="CY20" s="215"/>
      <c r="CZ20" s="85"/>
      <c r="DA20" s="105"/>
      <c r="DB20" s="178" t="str">
        <f>IF(COUNT(DB21)=0,"",SUM(DB21)/COUNT(DB21))</f>
        <v/>
      </c>
      <c r="DC20" s="179" t="str">
        <f t="shared" si="20"/>
        <v/>
      </c>
      <c r="DD20" s="225"/>
      <c r="DE20" s="85"/>
      <c r="DF20" s="85"/>
      <c r="DG20" s="105"/>
      <c r="DH20" s="178" t="str">
        <f>IF(COUNT(DH21)=0,"",SUM(DH21)/COUNT(DH21))</f>
        <v/>
      </c>
      <c r="DI20" s="194" t="str">
        <f t="shared" si="21"/>
        <v/>
      </c>
      <c r="DJ20" s="172"/>
      <c r="DK20" s="110"/>
      <c r="DL20" s="110"/>
      <c r="DM20" s="110"/>
      <c r="DN20" s="110"/>
      <c r="DO20" s="178" t="str">
        <f>IF(COUNT(DO21)=0,"",SUM(DO21)/COUNT(DO21))</f>
        <v/>
      </c>
      <c r="DP20" s="202" t="str">
        <f t="shared" si="22"/>
        <v/>
      </c>
      <c r="DQ20" s="203" t="str">
        <f>IF(COUNT(DQ21)=0,"",SUM(DQ21)/COUNT(DQ21))</f>
        <v/>
      </c>
      <c r="DR20" s="204" t="str">
        <f t="shared" si="23"/>
        <v/>
      </c>
      <c r="DS20" s="215"/>
      <c r="DT20" s="85"/>
      <c r="DU20" s="105"/>
      <c r="DV20" s="178" t="str">
        <f>IF(COUNT(DV21)=0,"",SUM(DV21)/COUNT(DV21))</f>
        <v/>
      </c>
      <c r="DW20" s="179" t="str">
        <f t="shared" si="24"/>
        <v/>
      </c>
      <c r="DX20" s="225"/>
      <c r="DY20" s="85"/>
      <c r="DZ20" s="85"/>
      <c r="EA20" s="105"/>
      <c r="EB20" s="178" t="str">
        <f>IF(COUNT(EB21)=0,"",SUM(EB21)/COUNT(EB21))</f>
        <v/>
      </c>
      <c r="EC20" s="194" t="str">
        <f t="shared" si="25"/>
        <v/>
      </c>
      <c r="ED20" s="172"/>
      <c r="EE20" s="110"/>
      <c r="EF20" s="110"/>
      <c r="EG20" s="110"/>
      <c r="EH20" s="110"/>
      <c r="EI20" s="178" t="str">
        <f>IF(COUNT(EI21)=0,"",SUM(EI21)/COUNT(EI21))</f>
        <v/>
      </c>
      <c r="EJ20" s="202" t="str">
        <f t="shared" si="26"/>
        <v/>
      </c>
      <c r="EK20" s="203" t="str">
        <f>IF(COUNT(EK21)=0,"",SUM(EK21)/COUNT(EK21))</f>
        <v/>
      </c>
      <c r="EL20" s="204" t="str">
        <f t="shared" si="27"/>
        <v/>
      </c>
      <c r="EM20" s="215"/>
      <c r="EN20" s="85"/>
      <c r="EO20" s="105"/>
      <c r="EP20" s="178" t="str">
        <f>IF(COUNT(EP21)=0,"",SUM(EP21)/COUNT(EP21))</f>
        <v/>
      </c>
      <c r="EQ20" s="179" t="str">
        <f t="shared" si="28"/>
        <v/>
      </c>
      <c r="ER20" s="225"/>
      <c r="ES20" s="85"/>
      <c r="ET20" s="85"/>
      <c r="EU20" s="105"/>
      <c r="EV20" s="178" t="str">
        <f>IF(COUNT(EV21)=0,"",SUM(EV21)/COUNT(EV21))</f>
        <v/>
      </c>
      <c r="EW20" s="194" t="str">
        <f t="shared" si="29"/>
        <v/>
      </c>
      <c r="EX20" s="172"/>
      <c r="EY20" s="110"/>
      <c r="EZ20" s="110"/>
      <c r="FA20" s="110"/>
      <c r="FB20" s="110"/>
      <c r="FC20" s="178" t="str">
        <f>IF(COUNT(FC21)=0,"",SUM(FC21)/COUNT(FC21))</f>
        <v/>
      </c>
      <c r="FD20" s="202" t="str">
        <f t="shared" si="30"/>
        <v/>
      </c>
      <c r="FE20" s="203" t="str">
        <f>IF(COUNT(FE21)=0,"",SUM(FE21)/COUNT(FE21))</f>
        <v/>
      </c>
      <c r="FF20" s="204" t="str">
        <f t="shared" si="31"/>
        <v/>
      </c>
      <c r="FG20" s="215"/>
      <c r="FH20" s="85"/>
      <c r="FI20" s="105"/>
      <c r="FJ20" s="178" t="str">
        <f>IF(COUNT(FJ21)=0,"",SUM(FJ21)/COUNT(FJ21))</f>
        <v/>
      </c>
      <c r="FK20" s="179" t="str">
        <f t="shared" si="32"/>
        <v/>
      </c>
      <c r="FL20" s="225"/>
      <c r="FM20" s="85"/>
      <c r="FN20" s="85"/>
      <c r="FO20" s="105"/>
      <c r="FP20" s="178" t="str">
        <f>IF(COUNT(FP21)=0,"",SUM(FP21)/COUNT(FP21))</f>
        <v/>
      </c>
      <c r="FQ20" s="194" t="str">
        <f t="shared" si="33"/>
        <v/>
      </c>
      <c r="FR20" s="172"/>
      <c r="FS20" s="110"/>
      <c r="FT20" s="110"/>
      <c r="FU20" s="110"/>
      <c r="FV20" s="110"/>
      <c r="FW20" s="178" t="str">
        <f>IF(COUNT(FW21)=0,"",SUM(FW21)/COUNT(FW21))</f>
        <v/>
      </c>
      <c r="FX20" s="202" t="str">
        <f t="shared" si="34"/>
        <v/>
      </c>
      <c r="FY20" s="203" t="str">
        <f>IF(COUNT(FY21)=0,"",SUM(FY21)/COUNT(FY21))</f>
        <v/>
      </c>
      <c r="FZ20" s="204" t="str">
        <f t="shared" si="35"/>
        <v/>
      </c>
      <c r="GA20" s="215"/>
      <c r="GB20" s="85"/>
      <c r="GC20" s="105"/>
      <c r="GD20" s="178" t="str">
        <f>IF(COUNT(GD21)=0,"",SUM(GD21)/COUNT(GD21))</f>
        <v/>
      </c>
      <c r="GE20" s="179" t="str">
        <f t="shared" si="36"/>
        <v/>
      </c>
      <c r="GF20" s="225"/>
      <c r="GG20" s="85"/>
      <c r="GH20" s="85"/>
      <c r="GI20" s="105"/>
      <c r="GJ20" s="178" t="str">
        <f>IF(COUNT(GJ21)=0,"",SUM(GJ21)/COUNT(GJ21))</f>
        <v/>
      </c>
      <c r="GK20" s="194" t="str">
        <f t="shared" si="37"/>
        <v/>
      </c>
      <c r="GL20" s="172"/>
      <c r="GM20" s="110"/>
      <c r="GN20" s="110"/>
      <c r="GO20" s="110"/>
      <c r="GP20" s="110"/>
      <c r="GQ20" s="178" t="str">
        <f>IF(COUNT(GQ21)=0,"",SUM(GQ21)/COUNT(GQ21))</f>
        <v/>
      </c>
      <c r="GR20" s="202" t="str">
        <f t="shared" si="38"/>
        <v/>
      </c>
      <c r="GS20" s="203" t="str">
        <f>IF(COUNT(GS21)=0,"",SUM(GS21)/COUNT(GS21))</f>
        <v/>
      </c>
      <c r="GT20" s="204" t="str">
        <f t="shared" si="39"/>
        <v/>
      </c>
      <c r="GU20" s="215"/>
      <c r="GV20" s="85"/>
      <c r="GW20" s="105"/>
      <c r="GX20" s="178" t="str">
        <f>IF(COUNT(GX21)=0,"",SUM(GX21)/COUNT(GX21))</f>
        <v/>
      </c>
      <c r="GY20" s="179" t="str">
        <f t="shared" si="40"/>
        <v/>
      </c>
      <c r="GZ20" s="225"/>
      <c r="HA20" s="85"/>
      <c r="HB20" s="85"/>
      <c r="HC20" s="105"/>
      <c r="HD20" s="178" t="str">
        <f>IF(COUNT(HD21)=0,"",SUM(HD21)/COUNT(HD21))</f>
        <v/>
      </c>
      <c r="HE20" s="194" t="str">
        <f t="shared" si="41"/>
        <v/>
      </c>
      <c r="HF20" s="172"/>
      <c r="HG20" s="110"/>
      <c r="HH20" s="110"/>
      <c r="HI20" s="110"/>
      <c r="HJ20" s="110"/>
      <c r="HK20" s="178" t="str">
        <f>IF(COUNT(HK21)=0,"",SUM(HK21)/COUNT(HK21))</f>
        <v/>
      </c>
      <c r="HL20" s="202" t="str">
        <f t="shared" si="42"/>
        <v/>
      </c>
      <c r="HM20" s="203" t="str">
        <f>IF(COUNT(HM21)=0,"",SUM(HM21)/COUNT(HM21))</f>
        <v/>
      </c>
      <c r="HN20" s="204" t="str">
        <f t="shared" si="43"/>
        <v/>
      </c>
      <c r="HO20" s="215"/>
      <c r="HP20" s="85"/>
      <c r="HQ20" s="105"/>
      <c r="HR20" s="178" t="str">
        <f>IF(COUNT(HR21)=0,"",SUM(HR21)/COUNT(HR21))</f>
        <v/>
      </c>
      <c r="HS20" s="179" t="str">
        <f t="shared" si="44"/>
        <v/>
      </c>
      <c r="HT20" s="225"/>
      <c r="HU20" s="85"/>
      <c r="HV20" s="85"/>
      <c r="HW20" s="105"/>
      <c r="HX20" s="178" t="str">
        <f>IF(COUNT(HX21)=0,"",SUM(HX21)/COUNT(HX21))</f>
        <v/>
      </c>
      <c r="HY20" s="194" t="str">
        <f t="shared" si="45"/>
        <v/>
      </c>
      <c r="HZ20" s="172"/>
      <c r="IA20" s="110"/>
      <c r="IB20" s="110"/>
      <c r="IC20" s="110"/>
      <c r="ID20" s="110"/>
      <c r="IE20" s="178" t="str">
        <f>IF(COUNT(IE21)=0,"",SUM(IE21)/COUNT(IE21))</f>
        <v/>
      </c>
      <c r="IF20" s="202" t="str">
        <f t="shared" si="46"/>
        <v/>
      </c>
      <c r="IG20" s="203" t="str">
        <f>IF(COUNT(IG21)=0,"",SUM(IG21)/COUNT(IG21))</f>
        <v/>
      </c>
      <c r="IH20" s="204" t="str">
        <f t="shared" si="47"/>
        <v/>
      </c>
      <c r="II20" s="215"/>
      <c r="IJ20" s="85"/>
      <c r="IK20" s="105"/>
      <c r="IL20" s="178" t="str">
        <f>IF(COUNT(IL21)=0,"",SUM(IL21)/COUNT(IL21))</f>
        <v/>
      </c>
      <c r="IM20" s="179" t="str">
        <f t="shared" si="48"/>
        <v/>
      </c>
      <c r="IN20" s="225"/>
      <c r="IO20" s="85"/>
      <c r="IP20" s="85"/>
      <c r="IQ20" s="105"/>
      <c r="IR20" s="178" t="str">
        <f>IF(COUNT(IR21)=0,"",SUM(IR21)/COUNT(IR21))</f>
        <v/>
      </c>
      <c r="IS20" s="194" t="str">
        <f t="shared" si="49"/>
        <v/>
      </c>
      <c r="IT20" s="172"/>
      <c r="IU20" s="110"/>
      <c r="IV20" s="110"/>
      <c r="IW20" s="110"/>
      <c r="IX20" s="110"/>
      <c r="IY20" s="178" t="str">
        <f>IF(COUNT(IY21)=0,"",SUM(IY21)/COUNT(IY21))</f>
        <v/>
      </c>
      <c r="IZ20" s="202" t="str">
        <f t="shared" si="50"/>
        <v/>
      </c>
      <c r="JA20" s="203" t="str">
        <f>IF(COUNT(JA21)=0,"",SUM(JA21)/COUNT(JA21))</f>
        <v/>
      </c>
      <c r="JB20" s="204" t="str">
        <f t="shared" si="51"/>
        <v/>
      </c>
      <c r="JC20" s="215"/>
      <c r="JD20" s="85"/>
      <c r="JE20" s="105"/>
      <c r="JF20" s="178" t="str">
        <f>IF(COUNT(JF21)=0,"",SUM(JF21)/COUNT(JF21))</f>
        <v/>
      </c>
      <c r="JG20" s="179" t="str">
        <f t="shared" si="52"/>
        <v/>
      </c>
      <c r="JH20" s="225"/>
      <c r="JI20" s="85"/>
      <c r="JJ20" s="85"/>
      <c r="JK20" s="105"/>
      <c r="JL20" s="178" t="str">
        <f>IF(COUNT(JL21)=0,"",SUM(JL21)/COUNT(JL21))</f>
        <v/>
      </c>
      <c r="JM20" s="194" t="str">
        <f t="shared" si="53"/>
        <v/>
      </c>
      <c r="JN20" s="172"/>
      <c r="JO20" s="110"/>
      <c r="JP20" s="110"/>
      <c r="JQ20" s="110"/>
      <c r="JR20" s="110"/>
      <c r="JS20" s="178" t="str">
        <f>IF(COUNT(JS21)=0,"",SUM(JS21)/COUNT(JS21))</f>
        <v/>
      </c>
      <c r="JT20" s="202" t="str">
        <f t="shared" si="54"/>
        <v/>
      </c>
      <c r="JU20" s="203" t="str">
        <f>IF(COUNT(JU21)=0,"",SUM(JU21)/COUNT(JU21))</f>
        <v/>
      </c>
      <c r="JV20" s="204" t="str">
        <f t="shared" si="55"/>
        <v/>
      </c>
      <c r="JW20" s="215"/>
      <c r="JX20" s="85"/>
      <c r="JY20" s="105"/>
      <c r="JZ20" s="178" t="str">
        <f>IF(COUNT(JZ21)=0,"",SUM(JZ21)/COUNT(JZ21))</f>
        <v/>
      </c>
      <c r="KA20" s="179" t="str">
        <f t="shared" si="56"/>
        <v/>
      </c>
      <c r="KB20" s="225"/>
      <c r="KC20" s="85"/>
      <c r="KD20" s="85"/>
      <c r="KE20" s="105"/>
      <c r="KF20" s="178" t="str">
        <f>IF(COUNT(KF21)=0,"",SUM(KF21)/COUNT(KF21))</f>
        <v/>
      </c>
      <c r="KG20" s="194" t="str">
        <f t="shared" si="57"/>
        <v/>
      </c>
      <c r="KH20" s="172"/>
      <c r="KI20" s="110"/>
      <c r="KJ20" s="110"/>
      <c r="KK20" s="110"/>
      <c r="KL20" s="110"/>
      <c r="KM20" s="178" t="str">
        <f>IF(COUNT(KM21)=0,"",SUM(KM21)/COUNT(KM21))</f>
        <v/>
      </c>
      <c r="KN20" s="202" t="str">
        <f t="shared" si="58"/>
        <v/>
      </c>
      <c r="KO20" s="203" t="str">
        <f>IF(COUNT(KO21)=0,"",SUM(KO21)/COUNT(KO21))</f>
        <v/>
      </c>
      <c r="KP20" s="204" t="str">
        <f t="shared" si="59"/>
        <v/>
      </c>
      <c r="KQ20" s="215"/>
      <c r="KR20" s="85"/>
      <c r="KS20" s="105"/>
      <c r="KT20" s="178" t="str">
        <f>IF(COUNT(KT21)=0,"",SUM(KT21)/COUNT(KT21))</f>
        <v/>
      </c>
      <c r="KU20" s="179" t="str">
        <f t="shared" si="60"/>
        <v/>
      </c>
      <c r="KV20" s="225"/>
      <c r="KW20" s="85"/>
      <c r="KX20" s="85"/>
      <c r="KY20" s="105"/>
      <c r="KZ20" s="178" t="str">
        <f>IF(COUNT(KZ21)=0,"",SUM(KZ21)/COUNT(KZ21))</f>
        <v/>
      </c>
      <c r="LA20" s="194" t="str">
        <f t="shared" si="61"/>
        <v/>
      </c>
      <c r="LB20" s="172"/>
      <c r="LC20" s="110"/>
      <c r="LD20" s="110"/>
      <c r="LE20" s="110"/>
      <c r="LF20" s="110"/>
      <c r="LG20" s="178" t="str">
        <f>IF(COUNT(LG21)=0,"",SUM(LG21)/COUNT(LG21))</f>
        <v/>
      </c>
      <c r="LH20" s="202" t="str">
        <f t="shared" si="62"/>
        <v/>
      </c>
      <c r="LI20" s="203" t="str">
        <f>IF(COUNT(LI21)=0,"",SUM(LI21)/COUNT(LI21))</f>
        <v/>
      </c>
      <c r="LJ20" s="204" t="str">
        <f t="shared" si="63"/>
        <v/>
      </c>
      <c r="LK20" s="215"/>
      <c r="LL20" s="85"/>
      <c r="LM20" s="105"/>
      <c r="LN20" s="178" t="str">
        <f>IF(COUNT(LN21)=0,"",SUM(LN21)/COUNT(LN21))</f>
        <v/>
      </c>
      <c r="LO20" s="179" t="str">
        <f t="shared" si="64"/>
        <v/>
      </c>
      <c r="LP20" s="225"/>
      <c r="LQ20" s="85"/>
      <c r="LR20" s="85"/>
      <c r="LS20" s="105"/>
      <c r="LT20" s="178" t="str">
        <f>IF(COUNT(LT21)=0,"",SUM(LT21)/COUNT(LT21))</f>
        <v/>
      </c>
      <c r="LU20" s="194" t="str">
        <f t="shared" si="65"/>
        <v/>
      </c>
      <c r="LV20" s="172"/>
      <c r="LW20" s="110"/>
      <c r="LX20" s="110"/>
      <c r="LY20" s="110"/>
      <c r="LZ20" s="110"/>
      <c r="MA20" s="178" t="str">
        <f>IF(COUNT(MA21)=0,"",SUM(MA21)/COUNT(MA21))</f>
        <v/>
      </c>
      <c r="MB20" s="202" t="str">
        <f t="shared" si="66"/>
        <v/>
      </c>
      <c r="MC20" s="203" t="str">
        <f>IF(COUNT(MC21)=0,"",SUM(MC21)/COUNT(MC21))</f>
        <v/>
      </c>
      <c r="MD20" s="204" t="str">
        <f t="shared" si="67"/>
        <v/>
      </c>
      <c r="ME20" s="215"/>
      <c r="MF20" s="85"/>
      <c r="MG20" s="105"/>
      <c r="MH20" s="178" t="str">
        <f>IF(COUNT(MH21)=0,"",SUM(MH21)/COUNT(MH21))</f>
        <v/>
      </c>
      <c r="MI20" s="179" t="str">
        <f t="shared" si="68"/>
        <v/>
      </c>
      <c r="MJ20" s="225"/>
      <c r="MK20" s="85"/>
      <c r="ML20" s="85"/>
      <c r="MM20" s="105"/>
      <c r="MN20" s="178" t="str">
        <f>IF(COUNT(MN21)=0,"",SUM(MN21)/COUNT(MN21))</f>
        <v/>
      </c>
      <c r="MO20" s="194" t="str">
        <f t="shared" si="69"/>
        <v/>
      </c>
      <c r="MP20" s="172"/>
      <c r="MQ20" s="110"/>
      <c r="MR20" s="110"/>
      <c r="MS20" s="110"/>
      <c r="MT20" s="110"/>
      <c r="MU20" s="178" t="str">
        <f>IF(COUNT(MU21)=0,"",SUM(MU21)/COUNT(MU21))</f>
        <v/>
      </c>
      <c r="MV20" s="202" t="str">
        <f t="shared" si="70"/>
        <v/>
      </c>
      <c r="MW20" s="203" t="str">
        <f>IF(COUNT(MW21)=0,"",SUM(MW21)/COUNT(MW21))</f>
        <v/>
      </c>
      <c r="MX20" s="204" t="str">
        <f t="shared" si="71"/>
        <v/>
      </c>
      <c r="MY20" s="215"/>
      <c r="MZ20" s="85"/>
      <c r="NA20" s="105"/>
      <c r="NB20" s="178" t="str">
        <f>IF(COUNT(NB21)=0,"",SUM(NB21)/COUNT(NB21))</f>
        <v/>
      </c>
      <c r="NC20" s="179" t="str">
        <f t="shared" si="72"/>
        <v/>
      </c>
      <c r="ND20" s="225"/>
      <c r="NE20" s="85"/>
      <c r="NF20" s="85"/>
      <c r="NG20" s="105"/>
      <c r="NH20" s="178" t="str">
        <f>IF(COUNT(NH21)=0,"",SUM(NH21)/COUNT(NH21))</f>
        <v/>
      </c>
      <c r="NI20" s="194" t="str">
        <f t="shared" si="73"/>
        <v/>
      </c>
      <c r="NJ20" s="172"/>
      <c r="NK20" s="110"/>
      <c r="NL20" s="110"/>
      <c r="NM20" s="110"/>
      <c r="NN20" s="110"/>
      <c r="NO20" s="178" t="str">
        <f>IF(COUNT(NO21)=0,"",SUM(NO21)/COUNT(NO21))</f>
        <v/>
      </c>
      <c r="NP20" s="202" t="str">
        <f t="shared" si="74"/>
        <v/>
      </c>
      <c r="NQ20" s="203" t="str">
        <f>IF(COUNT(NQ21)=0,"",SUM(NQ21)/COUNT(NQ21))</f>
        <v/>
      </c>
      <c r="NR20" s="204" t="str">
        <f t="shared" si="75"/>
        <v/>
      </c>
      <c r="NS20" s="215"/>
      <c r="NT20" s="85"/>
      <c r="NU20" s="105"/>
      <c r="NV20" s="178" t="str">
        <f>IF(COUNT(NV21)=0,"",SUM(NV21)/COUNT(NV21))</f>
        <v/>
      </c>
      <c r="NW20" s="179" t="str">
        <f t="shared" si="76"/>
        <v/>
      </c>
      <c r="NX20" s="225"/>
      <c r="NY20" s="85"/>
      <c r="NZ20" s="85"/>
      <c r="OA20" s="105"/>
      <c r="OB20" s="178" t="str">
        <f>IF(COUNT(OB21)=0,"",SUM(OB21)/COUNT(OB21))</f>
        <v/>
      </c>
      <c r="OC20" s="194" t="str">
        <f t="shared" si="77"/>
        <v/>
      </c>
      <c r="OD20" s="172"/>
      <c r="OE20" s="110"/>
      <c r="OF20" s="110"/>
      <c r="OG20" s="110"/>
      <c r="OH20" s="110"/>
      <c r="OI20" s="178" t="str">
        <f>IF(COUNT(OI21)=0,"",SUM(OI21)/COUNT(OI21))</f>
        <v/>
      </c>
      <c r="OJ20" s="202" t="str">
        <f t="shared" si="78"/>
        <v/>
      </c>
      <c r="OK20" s="203" t="str">
        <f>IF(COUNT(OK21)=0,"",SUM(OK21)/COUNT(OK21))</f>
        <v/>
      </c>
      <c r="OL20" s="204" t="str">
        <f t="shared" si="79"/>
        <v/>
      </c>
      <c r="OM20" s="215"/>
      <c r="ON20" s="85"/>
      <c r="OO20" s="105"/>
      <c r="OP20" s="178" t="str">
        <f>IF(COUNT(OP21)=0,"",SUM(OP21)/COUNT(OP21))</f>
        <v/>
      </c>
      <c r="OQ20" s="179" t="str">
        <f t="shared" si="80"/>
        <v/>
      </c>
      <c r="OR20" s="225"/>
      <c r="OS20" s="85"/>
      <c r="OT20" s="85"/>
      <c r="OU20" s="105"/>
      <c r="OV20" s="178" t="str">
        <f>IF(COUNT(OV21)=0,"",SUM(OV21)/COUNT(OV21))</f>
        <v/>
      </c>
      <c r="OW20" s="194" t="str">
        <f t="shared" si="81"/>
        <v/>
      </c>
      <c r="OX20" s="172"/>
      <c r="OY20" s="110"/>
      <c r="OZ20" s="110"/>
      <c r="PA20" s="110"/>
      <c r="PB20" s="110"/>
      <c r="PC20" s="178" t="str">
        <f>IF(COUNT(PC21)=0,"",SUM(PC21)/COUNT(PC21))</f>
        <v/>
      </c>
      <c r="PD20" s="202" t="str">
        <f t="shared" si="82"/>
        <v/>
      </c>
      <c r="PE20" s="203" t="str">
        <f>IF(COUNT(PE21)=0,"",SUM(PE21)/COUNT(PE21))</f>
        <v/>
      </c>
      <c r="PF20" s="204" t="str">
        <f t="shared" si="83"/>
        <v/>
      </c>
      <c r="PG20" s="215"/>
      <c r="PH20" s="85"/>
      <c r="PI20" s="105"/>
      <c r="PJ20" s="178" t="str">
        <f>IF(COUNT(PJ21)=0,"",SUM(PJ21)/COUNT(PJ21))</f>
        <v/>
      </c>
      <c r="PK20" s="179" t="str">
        <f t="shared" si="84"/>
        <v/>
      </c>
      <c r="PL20" s="225"/>
      <c r="PM20" s="85"/>
      <c r="PN20" s="85"/>
      <c r="PO20" s="105"/>
      <c r="PP20" s="178" t="str">
        <f>IF(COUNT(PP21)=0,"",SUM(PP21)/COUNT(PP21))</f>
        <v/>
      </c>
      <c r="PQ20" s="194" t="str">
        <f t="shared" si="85"/>
        <v/>
      </c>
      <c r="PR20" s="172"/>
      <c r="PS20" s="110"/>
      <c r="PT20" s="110"/>
      <c r="PU20" s="110"/>
      <c r="PV20" s="110"/>
      <c r="PW20" s="178" t="str">
        <f>IF(COUNT(PW21)=0,"",SUM(PW21)/COUNT(PW21))</f>
        <v/>
      </c>
      <c r="PX20" s="202" t="str">
        <f t="shared" si="86"/>
        <v/>
      </c>
      <c r="PY20" s="203" t="str">
        <f>IF(COUNT(PY21)=0,"",SUM(PY21)/COUNT(PY21))</f>
        <v/>
      </c>
      <c r="PZ20" s="204" t="str">
        <f t="shared" si="87"/>
        <v/>
      </c>
      <c r="QA20" s="215"/>
      <c r="QB20" s="85"/>
      <c r="QC20" s="105"/>
      <c r="QD20" s="178" t="str">
        <f>IF(COUNT(QD21)=0,"",SUM(QD21)/COUNT(QD21))</f>
        <v/>
      </c>
      <c r="QE20" s="179" t="str">
        <f t="shared" si="88"/>
        <v/>
      </c>
      <c r="QF20" s="225"/>
      <c r="QG20" s="85"/>
      <c r="QH20" s="85"/>
      <c r="QI20" s="105"/>
      <c r="QJ20" s="178" t="str">
        <f>IF(COUNT(QJ21)=0,"",SUM(QJ21)/COUNT(QJ21))</f>
        <v/>
      </c>
      <c r="QK20" s="194" t="str">
        <f t="shared" si="89"/>
        <v/>
      </c>
      <c r="QL20" s="172"/>
      <c r="QM20" s="110"/>
      <c r="QN20" s="110"/>
      <c r="QO20" s="110"/>
      <c r="QP20" s="110"/>
      <c r="QQ20" s="178" t="str">
        <f>IF(COUNT(QQ21)=0,"",SUM(QQ21)/COUNT(QQ21))</f>
        <v/>
      </c>
      <c r="QR20" s="202" t="str">
        <f t="shared" si="90"/>
        <v/>
      </c>
      <c r="QS20" s="203" t="str">
        <f>IF(COUNT(QS21)=0,"",SUM(QS21)/COUNT(QS21))</f>
        <v/>
      </c>
      <c r="QT20" s="204" t="str">
        <f t="shared" si="91"/>
        <v/>
      </c>
      <c r="QU20" s="215"/>
      <c r="QV20" s="85"/>
      <c r="QW20" s="105"/>
      <c r="QX20" s="178" t="str">
        <f>IF(COUNT(QX21)=0,"",SUM(QX21)/COUNT(QX21))</f>
        <v/>
      </c>
      <c r="QY20" s="179" t="str">
        <f t="shared" si="92"/>
        <v/>
      </c>
      <c r="QZ20" s="225"/>
      <c r="RA20" s="85"/>
      <c r="RB20" s="85"/>
      <c r="RC20" s="105"/>
      <c r="RD20" s="178" t="str">
        <f>IF(COUNT(RD21)=0,"",SUM(RD21)/COUNT(RD21))</f>
        <v/>
      </c>
      <c r="RE20" s="194" t="str">
        <f t="shared" si="93"/>
        <v/>
      </c>
      <c r="RF20" s="172"/>
      <c r="RG20" s="110"/>
      <c r="RH20" s="110"/>
      <c r="RI20" s="110"/>
      <c r="RJ20" s="110"/>
      <c r="RK20" s="178" t="str">
        <f>IF(COUNT(RK21)=0,"",SUM(RK21)/COUNT(RK21))</f>
        <v/>
      </c>
      <c r="RL20" s="202" t="str">
        <f t="shared" si="94"/>
        <v/>
      </c>
      <c r="RM20" s="203" t="str">
        <f>IF(COUNT(RM21)=0,"",SUM(RM21)/COUNT(RM21))</f>
        <v/>
      </c>
      <c r="RN20" s="204" t="str">
        <f t="shared" si="95"/>
        <v/>
      </c>
      <c r="RO20" s="215"/>
      <c r="RP20" s="85"/>
      <c r="RQ20" s="105"/>
      <c r="RR20" s="178" t="str">
        <f>IF(COUNT(RR21)=0,"",SUM(RR21)/COUNT(RR21))</f>
        <v/>
      </c>
      <c r="RS20" s="179" t="str">
        <f t="shared" si="96"/>
        <v/>
      </c>
      <c r="RT20" s="225"/>
      <c r="RU20" s="85"/>
      <c r="RV20" s="85"/>
      <c r="RW20" s="105"/>
      <c r="RX20" s="178" t="str">
        <f>IF(COUNT(RX21)=0,"",SUM(RX21)/COUNT(RX21))</f>
        <v/>
      </c>
      <c r="RY20" s="194" t="str">
        <f t="shared" si="97"/>
        <v/>
      </c>
      <c r="RZ20" s="172"/>
      <c r="SA20" s="110"/>
      <c r="SB20" s="110"/>
      <c r="SC20" s="110"/>
      <c r="SD20" s="110"/>
      <c r="SE20" s="178" t="str">
        <f>IF(COUNT(SE21)=0,"",SUM(SE21)/COUNT(SE21))</f>
        <v/>
      </c>
      <c r="SF20" s="202" t="str">
        <f t="shared" si="98"/>
        <v/>
      </c>
      <c r="SG20" s="203" t="str">
        <f>IF(COUNT(SG21)=0,"",SUM(SG21)/COUNT(SG21))</f>
        <v/>
      </c>
      <c r="SH20" s="204" t="str">
        <f t="shared" si="99"/>
        <v/>
      </c>
      <c r="SI20" s="215"/>
      <c r="SJ20" s="85"/>
      <c r="SK20" s="105"/>
      <c r="SL20" s="178" t="str">
        <f>IF(COUNT(SL21)=0,"",SUM(SL21)/COUNT(SL21))</f>
        <v/>
      </c>
      <c r="SM20" s="179" t="str">
        <f t="shared" si="100"/>
        <v/>
      </c>
      <c r="SN20" s="225"/>
      <c r="SO20" s="85"/>
      <c r="SP20" s="85"/>
      <c r="SQ20" s="105"/>
      <c r="SR20" s="178" t="str">
        <f>IF(COUNT(SR21)=0,"",SUM(SR21)/COUNT(SR21))</f>
        <v/>
      </c>
      <c r="SS20" s="194" t="str">
        <f t="shared" si="101"/>
        <v/>
      </c>
      <c r="ST20" s="172"/>
      <c r="SU20" s="110"/>
      <c r="SV20" s="110"/>
      <c r="SW20" s="110"/>
      <c r="SX20" s="110"/>
      <c r="SY20" s="178" t="str">
        <f>IF(COUNT(SY21)=0,"",SUM(SY21)/COUNT(SY21))</f>
        <v/>
      </c>
      <c r="SZ20" s="202" t="str">
        <f t="shared" si="102"/>
        <v/>
      </c>
      <c r="TA20" s="203" t="str">
        <f>IF(COUNT(TA21)=0,"",SUM(TA21)/COUNT(TA21))</f>
        <v/>
      </c>
      <c r="TB20" s="204" t="str">
        <f t="shared" si="103"/>
        <v/>
      </c>
      <c r="TC20" s="215"/>
      <c r="TD20" s="85"/>
      <c r="TE20" s="105"/>
      <c r="TF20" s="178" t="str">
        <f>IF(COUNT(TF21)=0,"",SUM(TF21)/COUNT(TF21))</f>
        <v/>
      </c>
      <c r="TG20" s="179" t="str">
        <f t="shared" si="104"/>
        <v/>
      </c>
      <c r="TH20" s="225"/>
      <c r="TI20" s="85"/>
      <c r="TJ20" s="85"/>
      <c r="TK20" s="105"/>
      <c r="TL20" s="178" t="str">
        <f>IF(COUNT(TL21)=0,"",SUM(TL21)/COUNT(TL21))</f>
        <v/>
      </c>
      <c r="TM20" s="194" t="str">
        <f t="shared" si="105"/>
        <v/>
      </c>
      <c r="TN20" s="172"/>
      <c r="TO20" s="110"/>
      <c r="TP20" s="110"/>
      <c r="TQ20" s="110"/>
      <c r="TR20" s="110"/>
      <c r="TS20" s="178" t="str">
        <f>IF(COUNT(TS21)=0,"",SUM(TS21)/COUNT(TS21))</f>
        <v/>
      </c>
      <c r="TT20" s="202" t="str">
        <f t="shared" si="106"/>
        <v/>
      </c>
      <c r="TU20" s="203" t="str">
        <f>IF(COUNT(TU21)=0,"",SUM(TU21)/COUNT(TU21))</f>
        <v/>
      </c>
      <c r="TV20" s="204" t="str">
        <f t="shared" si="107"/>
        <v/>
      </c>
      <c r="TW20" s="215"/>
      <c r="TX20" s="85"/>
      <c r="TY20" s="105"/>
      <c r="TZ20" s="178" t="str">
        <f>IF(COUNT(TZ21)=0,"",SUM(TZ21)/COUNT(TZ21))</f>
        <v/>
      </c>
      <c r="UA20" s="179" t="str">
        <f t="shared" si="108"/>
        <v/>
      </c>
      <c r="UB20" s="225"/>
      <c r="UC20" s="85"/>
      <c r="UD20" s="85"/>
      <c r="UE20" s="105"/>
      <c r="UF20" s="178" t="str">
        <f>IF(COUNT(UF21)=0,"",SUM(UF21)/COUNT(UF21))</f>
        <v/>
      </c>
      <c r="UG20" s="194" t="str">
        <f t="shared" si="109"/>
        <v/>
      </c>
      <c r="UH20" s="172"/>
      <c r="UI20" s="110"/>
      <c r="UJ20" s="110"/>
      <c r="UK20" s="110"/>
      <c r="UL20" s="110"/>
      <c r="UM20" s="178" t="str">
        <f>IF(COUNT(UM21)=0,"",SUM(UM21)/COUNT(UM21))</f>
        <v/>
      </c>
      <c r="UN20" s="202" t="str">
        <f t="shared" si="110"/>
        <v/>
      </c>
      <c r="UO20" s="203" t="str">
        <f>IF(COUNT(UO21)=0,"",SUM(UO21)/COUNT(UO21))</f>
        <v/>
      </c>
      <c r="UP20" s="204" t="str">
        <f t="shared" si="111"/>
        <v/>
      </c>
      <c r="UQ20" s="141"/>
      <c r="UR20" s="85"/>
      <c r="US20" s="105"/>
      <c r="UT20" s="106" t="str">
        <f>IF(COUNT(UT21)=0,"",SUM(UT21)/COUNT(UT21))</f>
        <v/>
      </c>
      <c r="UU20" s="107" t="str">
        <f t="shared" si="112"/>
        <v/>
      </c>
      <c r="UV20" s="104"/>
      <c r="UW20" s="85"/>
      <c r="UX20" s="105"/>
      <c r="UY20" s="106" t="str">
        <f>IF(COUNT(UY21)=0,"",SUM(UY21)/COUNT(UY21))</f>
        <v/>
      </c>
      <c r="UZ20" s="108" t="str">
        <f t="shared" si="113"/>
        <v/>
      </c>
      <c r="VA20" s="109"/>
      <c r="VB20" s="110"/>
      <c r="VC20" s="111"/>
      <c r="VD20" s="106" t="str">
        <f>IF(COUNT(VD21)=0,"",SUM(VD21)/COUNT(VD21))</f>
        <v/>
      </c>
      <c r="VE20" s="112" t="str">
        <f t="shared" si="114"/>
        <v/>
      </c>
      <c r="VF20" s="113" t="str">
        <f>IF(COUNT(VF21)=0,"",SUM(VF21)/COUNT(VF21))</f>
        <v/>
      </c>
      <c r="VG20" s="114" t="str">
        <f t="shared" si="115"/>
        <v/>
      </c>
      <c r="VH20" s="141"/>
      <c r="VI20" s="85"/>
      <c r="VJ20" s="105"/>
      <c r="VK20" s="106" t="str">
        <f>IF(COUNT(VK21)=0,"",SUM(VK21)/COUNT(VK21))</f>
        <v/>
      </c>
      <c r="VL20" s="107" t="str">
        <f t="shared" si="116"/>
        <v/>
      </c>
      <c r="VM20" s="104"/>
      <c r="VN20" s="85"/>
      <c r="VO20" s="105"/>
      <c r="VP20" s="106" t="str">
        <f>IF(COUNT(VP21)=0,"",SUM(VP21)/COUNT(VP21))</f>
        <v/>
      </c>
      <c r="VQ20" s="108" t="str">
        <f t="shared" si="117"/>
        <v/>
      </c>
      <c r="VR20" s="109"/>
      <c r="VS20" s="110"/>
      <c r="VT20" s="111"/>
      <c r="VU20" s="106" t="str">
        <f>IF(COUNT(VU21)=0,"",SUM(VU21)/COUNT(VU21))</f>
        <v/>
      </c>
      <c r="VV20" s="112" t="str">
        <f t="shared" si="118"/>
        <v/>
      </c>
      <c r="VW20" s="113" t="str">
        <f>IF(COUNT(VW21)=0,"",SUM(VW21)/COUNT(VW21))</f>
        <v/>
      </c>
      <c r="VX20" s="114" t="str">
        <f t="shared" si="119"/>
        <v/>
      </c>
    </row>
    <row r="21" spans="1:596" ht="18" customHeight="1" thickBot="1" x14ac:dyDescent="0.6">
      <c r="A21" s="252" t="s">
        <v>27</v>
      </c>
      <c r="B21" s="253"/>
      <c r="C21" s="144"/>
      <c r="D21" s="145"/>
      <c r="E21" s="146"/>
      <c r="F21" s="186" t="str">
        <f>IFERROR((((COUNTIF('Elève (4ème5)'!C21:E21,"A"))*4)+((COUNTIF('Elève (4ème5)'!C21:E21,"B"))*3)+((COUNTIF('Elève (4ème5)'!C21:E21,"C"))*2)+((COUNTIF('Elève (4ème5)'!C21:E21,"D"))*1))/(COUNTA(C21:E21)),"")</f>
        <v/>
      </c>
      <c r="G21" s="187" t="str">
        <f t="shared" si="0"/>
        <v/>
      </c>
      <c r="H21" s="144"/>
      <c r="I21" s="145"/>
      <c r="J21" s="146"/>
      <c r="K21" s="146"/>
      <c r="L21" s="186" t="str">
        <f>IFERROR((((COUNTIF('Elève (4ème5)'!H21:K21,"A"))*4)+((COUNTIF('Elève (4ème5)'!H21:K21,"B"))*3)+((COUNTIF('Elève (4ème5)'!H21:K21,"C"))*2)+((COUNTIF('Elève (4ème5)'!H21:K21,"D"))*1))/(COUNTA(H21:K21)),"")</f>
        <v/>
      </c>
      <c r="M21" s="187" t="str">
        <f t="shared" si="1"/>
        <v/>
      </c>
      <c r="N21" s="144"/>
      <c r="O21" s="145"/>
      <c r="P21" s="146"/>
      <c r="Q21" s="146"/>
      <c r="R21" s="146"/>
      <c r="S21" s="186" t="str">
        <f>IFERROR((((COUNTIF('Elève (4ème5)'!N21:R21,"A"))*4)+((COUNTIF('Elève (4ème5)'!N21:R21,"B"))*3)+((COUNTIF('Elève (4ème5)'!N21:R21,"C"))*2)+((COUNTIF('Elève (4ème5)'!N21:R21,"D"))*1))/(COUNTA(N21:R21)),"")</f>
        <v/>
      </c>
      <c r="T21" s="187" t="str">
        <f t="shared" si="2"/>
        <v/>
      </c>
      <c r="U21" s="186" t="str">
        <f>IF(COUNT(F21,L21,S21)=0,"",SUM(F21,L21,S21)/COUNT(F21,L21,S21))</f>
        <v/>
      </c>
      <c r="V21" s="211" t="str">
        <f t="shared" si="3"/>
        <v/>
      </c>
      <c r="W21" s="144"/>
      <c r="X21" s="145"/>
      <c r="Y21" s="146"/>
      <c r="Z21" s="186" t="str">
        <f>IFERROR((((COUNTIF('Elève (4ème5)'!W21:Y21,"A"))*4)+((COUNTIF('Elève (4ème5)'!W21:Y21,"B"))*3)+((COUNTIF('Elève (4ème5)'!W21:Y21,"C"))*2)+((COUNTIF('Elève (4ème5)'!W21:Y21,"D"))*1))/(COUNTA(W21:Y21)),"")</f>
        <v/>
      </c>
      <c r="AA21" s="187" t="str">
        <f t="shared" si="4"/>
        <v/>
      </c>
      <c r="AB21" s="144"/>
      <c r="AC21" s="145"/>
      <c r="AD21" s="146"/>
      <c r="AE21" s="146"/>
      <c r="AF21" s="186" t="str">
        <f>IFERROR((((COUNTIF('Elève (4ème5)'!AB21:AE21,"A"))*4)+((COUNTIF('Elève (4ème5)'!AB21:AE21,"B"))*3)+((COUNTIF('Elève (4ème5)'!AB21:AE21,"C"))*2)+((COUNTIF('Elève (4ème5)'!AB21:AE21,"D"))*1))/(COUNTA(AB21:AE21)),"")</f>
        <v/>
      </c>
      <c r="AG21" s="187" t="str">
        <f t="shared" si="5"/>
        <v/>
      </c>
      <c r="AH21" s="144"/>
      <c r="AI21" s="145"/>
      <c r="AJ21" s="146"/>
      <c r="AK21" s="146"/>
      <c r="AL21" s="146"/>
      <c r="AM21" s="186" t="str">
        <f>IFERROR((((COUNTIF('Elève (4ème5)'!AH21:AL21,"A"))*4)+((COUNTIF('Elève (4ème5)'!AH21:AL21,"B"))*3)+((COUNTIF('Elève (4ème5)'!AH21:AL21,"C"))*2)+((COUNTIF('Elève (4ème5)'!AH21:AL21,"D"))*1))/(COUNTA(AH21:AL21)),"")</f>
        <v/>
      </c>
      <c r="AN21" s="187" t="str">
        <f t="shared" si="6"/>
        <v/>
      </c>
      <c r="AO21" s="186" t="str">
        <f>IF(COUNT(Z21,AF21,AM21)=0,"",SUM(Z21,AF21,AM21)/COUNT(Z21,AF21,AM21))</f>
        <v/>
      </c>
      <c r="AP21" s="211" t="str">
        <f t="shared" si="7"/>
        <v/>
      </c>
      <c r="AQ21" s="144"/>
      <c r="AR21" s="145"/>
      <c r="AS21" s="146"/>
      <c r="AT21" s="186" t="str">
        <f>IFERROR((((COUNTIF('Elève (4ème5)'!AQ21:AS21,"A"))*4)+((COUNTIF('Elève (4ème5)'!AQ21:AS21,"B"))*3)+((COUNTIF('Elève (4ème5)'!AQ21:AS21,"C"))*2)+((COUNTIF('Elève (4ème5)'!AQ21:AS21,"D"))*1))/(COUNTA(AQ21:AS21)),"")</f>
        <v/>
      </c>
      <c r="AU21" s="187" t="str">
        <f t="shared" si="8"/>
        <v/>
      </c>
      <c r="AV21" s="144"/>
      <c r="AW21" s="145"/>
      <c r="AX21" s="146"/>
      <c r="AY21" s="146"/>
      <c r="AZ21" s="186" t="str">
        <f>IFERROR((((COUNTIF('Elève (4ème5)'!AV21:AY21,"A"))*4)+((COUNTIF('Elève (4ème5)'!AV21:AY21,"B"))*3)+((COUNTIF('Elève (4ème5)'!AV21:AY21,"C"))*2)+((COUNTIF('Elève (4ème5)'!AV21:AY21,"D"))*1))/(COUNTA(AV21:AY21)),"")</f>
        <v/>
      </c>
      <c r="BA21" s="187" t="str">
        <f t="shared" si="9"/>
        <v/>
      </c>
      <c r="BB21" s="144"/>
      <c r="BC21" s="145"/>
      <c r="BD21" s="146"/>
      <c r="BE21" s="146"/>
      <c r="BF21" s="146"/>
      <c r="BG21" s="186" t="str">
        <f>IFERROR((((COUNTIF('Elève (4ème5)'!BB21:BF21,"A"))*4)+((COUNTIF('Elève (4ème5)'!BB21:BF21,"B"))*3)+((COUNTIF('Elève (4ème5)'!BB21:BF21,"C"))*2)+((COUNTIF('Elève (4ème5)'!BB21:BF21,"D"))*1))/(COUNTA(BB21:BF21)),"")</f>
        <v/>
      </c>
      <c r="BH21" s="187" t="str">
        <f t="shared" si="10"/>
        <v/>
      </c>
      <c r="BI21" s="186" t="str">
        <f>IF(COUNT(AT21,AZ21,BG21)=0,"",SUM(AT21,AZ21,BG21)/COUNT(AT21,AZ21,BG21))</f>
        <v/>
      </c>
      <c r="BJ21" s="211" t="str">
        <f t="shared" si="11"/>
        <v/>
      </c>
      <c r="BK21" s="144"/>
      <c r="BL21" s="145"/>
      <c r="BM21" s="146"/>
      <c r="BN21" s="186" t="str">
        <f>IFERROR((((COUNTIF('Elève (4ème5)'!BK21:BM21,"A"))*4)+((COUNTIF('Elève (4ème5)'!BK21:BM21,"B"))*3)+((COUNTIF('Elève (4ème5)'!BK21:BM21,"C"))*2)+((COUNTIF('Elève (4ème5)'!BK21:BM21,"D"))*1))/(COUNTA(BK21:BM21)),"")</f>
        <v/>
      </c>
      <c r="BO21" s="187" t="str">
        <f t="shared" si="12"/>
        <v/>
      </c>
      <c r="BP21" s="144"/>
      <c r="BQ21" s="145"/>
      <c r="BR21" s="146"/>
      <c r="BS21" s="146"/>
      <c r="BT21" s="186" t="str">
        <f>IFERROR((((COUNTIF('Elève (4ème5)'!BP21:BS21,"A"))*4)+((COUNTIF('Elève (4ème5)'!BP21:BS21,"B"))*3)+((COUNTIF('Elève (4ème5)'!BP21:BS21,"C"))*2)+((COUNTIF('Elève (4ème5)'!BP21:BS21,"D"))*1))/(COUNTA(BP21:BS21)),"")</f>
        <v/>
      </c>
      <c r="BU21" s="187" t="str">
        <f t="shared" si="13"/>
        <v/>
      </c>
      <c r="BV21" s="144"/>
      <c r="BW21" s="145"/>
      <c r="BX21" s="146"/>
      <c r="BY21" s="146"/>
      <c r="BZ21" s="146"/>
      <c r="CA21" s="186" t="str">
        <f>IFERROR((((COUNTIF('Elève (4ème5)'!BV21:BZ21,"A"))*4)+((COUNTIF('Elève (4ème5)'!BV21:BZ21,"B"))*3)+((COUNTIF('Elève (4ème5)'!BV21:BZ21,"C"))*2)+((COUNTIF('Elève (4ème5)'!BV21:BZ21,"D"))*1))/(COUNTA(BV21:BZ21)),"")</f>
        <v/>
      </c>
      <c r="CB21" s="187" t="str">
        <f t="shared" si="14"/>
        <v/>
      </c>
      <c r="CC21" s="186" t="str">
        <f>IF(COUNT(BN21,BT21,CA21)=0,"",SUM(BN21,BT21,CA21)/COUNT(BN21,BT21,CA21))</f>
        <v/>
      </c>
      <c r="CD21" s="211" t="str">
        <f t="shared" si="15"/>
        <v/>
      </c>
      <c r="CE21" s="144"/>
      <c r="CF21" s="145"/>
      <c r="CG21" s="146"/>
      <c r="CH21" s="186" t="str">
        <f>IFERROR((((COUNTIF('Elève (4ème5)'!CE21:CG21,"A"))*4)+((COUNTIF('Elève (4ème5)'!CE21:CG21,"B"))*3)+((COUNTIF('Elève (4ème5)'!CE21:CG21,"C"))*2)+((COUNTIF('Elève (4ème5)'!CE21:CG21,"D"))*1))/(COUNTA(CE21:CG21)),"")</f>
        <v/>
      </c>
      <c r="CI21" s="187" t="str">
        <f t="shared" si="16"/>
        <v/>
      </c>
      <c r="CJ21" s="144"/>
      <c r="CK21" s="145"/>
      <c r="CL21" s="146"/>
      <c r="CM21" s="146"/>
      <c r="CN21" s="186" t="str">
        <f>IFERROR((((COUNTIF('Elève (4ème5)'!CJ21:CM21,"A"))*4)+((COUNTIF('Elève (4ème5)'!CJ21:CM21,"B"))*3)+((COUNTIF('Elève (4ème5)'!CJ21:CM21,"C"))*2)+((COUNTIF('Elève (4ème5)'!CJ21:CM21,"D"))*1))/(COUNTA(CJ21:CM21)),"")</f>
        <v/>
      </c>
      <c r="CO21" s="187" t="str">
        <f t="shared" si="17"/>
        <v/>
      </c>
      <c r="CP21" s="144"/>
      <c r="CQ21" s="145"/>
      <c r="CR21" s="146"/>
      <c r="CS21" s="146"/>
      <c r="CT21" s="146"/>
      <c r="CU21" s="186" t="str">
        <f>IFERROR((((COUNTIF('Elève (4ème5)'!CP21:CT21,"A"))*4)+((COUNTIF('Elève (4ème5)'!CP21:CT21,"B"))*3)+((COUNTIF('Elève (4ème5)'!CP21:CT21,"C"))*2)+((COUNTIF('Elève (4ème5)'!CP21:CT21,"D"))*1))/(COUNTA(CP21:CT21)),"")</f>
        <v/>
      </c>
      <c r="CV21" s="187" t="str">
        <f t="shared" si="18"/>
        <v/>
      </c>
      <c r="CW21" s="186" t="str">
        <f>IF(COUNT(CH21,CN21,CU21)=0,"",SUM(CH21,CN21,CU21)/COUNT(CH21,CN21,CU21))</f>
        <v/>
      </c>
      <c r="CX21" s="211" t="str">
        <f t="shared" si="19"/>
        <v/>
      </c>
      <c r="CY21" s="144"/>
      <c r="CZ21" s="145"/>
      <c r="DA21" s="146"/>
      <c r="DB21" s="186" t="str">
        <f>IFERROR((((COUNTIF('Elève (4ème5)'!CY21:DA21,"A"))*4)+((COUNTIF('Elève (4ème5)'!CY21:DA21,"B"))*3)+((COUNTIF('Elève (4ème5)'!CY21:DA21,"C"))*2)+((COUNTIF('Elève (4ème5)'!CY21:DA21,"D"))*1))/(COUNTA(CY21:DA21)),"")</f>
        <v/>
      </c>
      <c r="DC21" s="187" t="str">
        <f t="shared" si="20"/>
        <v/>
      </c>
      <c r="DD21" s="144"/>
      <c r="DE21" s="145"/>
      <c r="DF21" s="146"/>
      <c r="DG21" s="146"/>
      <c r="DH21" s="186" t="str">
        <f>IFERROR((((COUNTIF('Elève (4ème5)'!DD21:DG21,"A"))*4)+((COUNTIF('Elève (4ème5)'!DD21:DG21,"B"))*3)+((COUNTIF('Elève (4ème5)'!DD21:DG21,"C"))*2)+((COUNTIF('Elève (4ème5)'!DD21:DG21,"D"))*1))/(COUNTA(DD21:DG21)),"")</f>
        <v/>
      </c>
      <c r="DI21" s="187" t="str">
        <f t="shared" si="21"/>
        <v/>
      </c>
      <c r="DJ21" s="144"/>
      <c r="DK21" s="145"/>
      <c r="DL21" s="146"/>
      <c r="DM21" s="146"/>
      <c r="DN21" s="146"/>
      <c r="DO21" s="186" t="str">
        <f>IFERROR((((COUNTIF('Elève (4ème5)'!DJ21:DN21,"A"))*4)+((COUNTIF('Elève (4ème5)'!DJ21:DN21,"B"))*3)+((COUNTIF('Elève (4ème5)'!DJ21:DN21,"C"))*2)+((COUNTIF('Elève (4ème5)'!DJ21:DN21,"D"))*1))/(COUNTA(DJ21:DN21)),"")</f>
        <v/>
      </c>
      <c r="DP21" s="187" t="str">
        <f t="shared" si="22"/>
        <v/>
      </c>
      <c r="DQ21" s="186" t="str">
        <f>IF(COUNT(DB21,DH21,DO21)=0,"",SUM(DB21,DH21,DO21)/COUNT(DB21,DH21,DO21))</f>
        <v/>
      </c>
      <c r="DR21" s="211" t="str">
        <f t="shared" si="23"/>
        <v/>
      </c>
      <c r="DS21" s="144"/>
      <c r="DT21" s="145"/>
      <c r="DU21" s="146"/>
      <c r="DV21" s="186" t="str">
        <f>IFERROR((((COUNTIF('Elève (4ème5)'!DS21:DU21,"A"))*4)+((COUNTIF('Elève (4ème5)'!DS21:DU21,"B"))*3)+((COUNTIF('Elève (4ème5)'!DS21:DU21,"C"))*2)+((COUNTIF('Elève (4ème5)'!DS21:DU21,"D"))*1))/(COUNTA(DS21:DU21)),"")</f>
        <v/>
      </c>
      <c r="DW21" s="187" t="str">
        <f t="shared" si="24"/>
        <v/>
      </c>
      <c r="DX21" s="144"/>
      <c r="DY21" s="145"/>
      <c r="DZ21" s="146"/>
      <c r="EA21" s="146"/>
      <c r="EB21" s="186" t="str">
        <f>IFERROR((((COUNTIF('Elève (4ème5)'!DX21:EA21,"A"))*4)+((COUNTIF('Elève (4ème5)'!DX21:EA21,"B"))*3)+((COUNTIF('Elève (4ème5)'!DX21:EA21,"C"))*2)+((COUNTIF('Elève (4ème5)'!DX21:EA21,"D"))*1))/(COUNTA(DX21:EA21)),"")</f>
        <v/>
      </c>
      <c r="EC21" s="187" t="str">
        <f t="shared" si="25"/>
        <v/>
      </c>
      <c r="ED21" s="144"/>
      <c r="EE21" s="145"/>
      <c r="EF21" s="146"/>
      <c r="EG21" s="146"/>
      <c r="EH21" s="146"/>
      <c r="EI21" s="186" t="str">
        <f>IFERROR((((COUNTIF('Elève (4ème5)'!ED21:EH21,"A"))*4)+((COUNTIF('Elève (4ème5)'!ED21:EH21,"B"))*3)+((COUNTIF('Elève (4ème5)'!ED21:EH21,"C"))*2)+((COUNTIF('Elève (4ème5)'!ED21:EH21,"D"))*1))/(COUNTA(ED21:EH21)),"")</f>
        <v/>
      </c>
      <c r="EJ21" s="187" t="str">
        <f t="shared" si="26"/>
        <v/>
      </c>
      <c r="EK21" s="186" t="str">
        <f>IF(COUNT(DV21,EB21,EI21)=0,"",SUM(DV21,EB21,EI21)/COUNT(DV21,EB21,EI21))</f>
        <v/>
      </c>
      <c r="EL21" s="211" t="str">
        <f t="shared" si="27"/>
        <v/>
      </c>
      <c r="EM21" s="144"/>
      <c r="EN21" s="145"/>
      <c r="EO21" s="146"/>
      <c r="EP21" s="186" t="str">
        <f>IFERROR((((COUNTIF('Elève (4ème5)'!EM21:EO21,"A"))*4)+((COUNTIF('Elève (4ème5)'!EM21:EO21,"B"))*3)+((COUNTIF('Elève (4ème5)'!EM21:EO21,"C"))*2)+((COUNTIF('Elève (4ème5)'!EM21:EO21,"D"))*1))/(COUNTA(EM21:EO21)),"")</f>
        <v/>
      </c>
      <c r="EQ21" s="187" t="str">
        <f t="shared" si="28"/>
        <v/>
      </c>
      <c r="ER21" s="144"/>
      <c r="ES21" s="145"/>
      <c r="ET21" s="146"/>
      <c r="EU21" s="146"/>
      <c r="EV21" s="186" t="str">
        <f>IFERROR((((COUNTIF('Elève (4ème5)'!ER21:EU21,"A"))*4)+((COUNTIF('Elève (4ème5)'!ER21:EU21,"B"))*3)+((COUNTIF('Elève (4ème5)'!ER21:EU21,"C"))*2)+((COUNTIF('Elève (4ème5)'!ER21:EU21,"D"))*1))/(COUNTA(ER21:EU21)),"")</f>
        <v/>
      </c>
      <c r="EW21" s="187" t="str">
        <f t="shared" si="29"/>
        <v/>
      </c>
      <c r="EX21" s="144"/>
      <c r="EY21" s="145"/>
      <c r="EZ21" s="146"/>
      <c r="FA21" s="146"/>
      <c r="FB21" s="146"/>
      <c r="FC21" s="186" t="str">
        <f>IFERROR((((COUNTIF('Elève (4ème5)'!EX21:FB21,"A"))*4)+((COUNTIF('Elève (4ème5)'!EX21:FB21,"B"))*3)+((COUNTIF('Elève (4ème5)'!EX21:FB21,"C"))*2)+((COUNTIF('Elève (4ème5)'!EX21:FB21,"D"))*1))/(COUNTA(EX21:FB21)),"")</f>
        <v/>
      </c>
      <c r="FD21" s="187" t="str">
        <f t="shared" si="30"/>
        <v/>
      </c>
      <c r="FE21" s="186" t="str">
        <f>IF(COUNT(EP21,EV21,FC21)=0,"",SUM(EP21,EV21,FC21)/COUNT(EP21,EV21,FC21))</f>
        <v/>
      </c>
      <c r="FF21" s="211" t="str">
        <f t="shared" si="31"/>
        <v/>
      </c>
      <c r="FG21" s="144"/>
      <c r="FH21" s="145"/>
      <c r="FI21" s="146"/>
      <c r="FJ21" s="186" t="str">
        <f>IFERROR((((COUNTIF('Elève (4ème5)'!FG21:FI21,"A"))*4)+((COUNTIF('Elève (4ème5)'!FG21:FI21,"B"))*3)+((COUNTIF('Elève (4ème5)'!FG21:FI21,"C"))*2)+((COUNTIF('Elève (4ème5)'!FG21:FI21,"D"))*1))/(COUNTA(FG21:FI21)),"")</f>
        <v/>
      </c>
      <c r="FK21" s="187" t="str">
        <f t="shared" si="32"/>
        <v/>
      </c>
      <c r="FL21" s="144"/>
      <c r="FM21" s="145"/>
      <c r="FN21" s="146"/>
      <c r="FO21" s="146"/>
      <c r="FP21" s="186" t="str">
        <f>IFERROR((((COUNTIF('Elève (4ème5)'!FL21:FO21,"A"))*4)+((COUNTIF('Elève (4ème5)'!FL21:FO21,"B"))*3)+((COUNTIF('Elève (4ème5)'!FL21:FO21,"C"))*2)+((COUNTIF('Elève (4ème5)'!FL21:FO21,"D"))*1))/(COUNTA(FL21:FO21)),"")</f>
        <v/>
      </c>
      <c r="FQ21" s="187" t="str">
        <f t="shared" si="33"/>
        <v/>
      </c>
      <c r="FR21" s="144"/>
      <c r="FS21" s="145"/>
      <c r="FT21" s="146"/>
      <c r="FU21" s="146"/>
      <c r="FV21" s="146"/>
      <c r="FW21" s="186" t="str">
        <f>IFERROR((((COUNTIF('Elève (4ème5)'!FR21:FV21,"A"))*4)+((COUNTIF('Elève (4ème5)'!FR21:FV21,"B"))*3)+((COUNTIF('Elève (4ème5)'!FR21:FV21,"C"))*2)+((COUNTIF('Elève (4ème5)'!FR21:FV21,"D"))*1))/(COUNTA(FR21:FV21)),"")</f>
        <v/>
      </c>
      <c r="FX21" s="187" t="str">
        <f t="shared" si="34"/>
        <v/>
      </c>
      <c r="FY21" s="186" t="str">
        <f>IF(COUNT(FJ21,FP21,FW21)=0,"",SUM(FJ21,FP21,FW21)/COUNT(FJ21,FP21,FW21))</f>
        <v/>
      </c>
      <c r="FZ21" s="211" t="str">
        <f t="shared" si="35"/>
        <v/>
      </c>
      <c r="GA21" s="144"/>
      <c r="GB21" s="145"/>
      <c r="GC21" s="146"/>
      <c r="GD21" s="186" t="str">
        <f>IFERROR((((COUNTIF('Elève (4ème5)'!GA21:GC21,"A"))*4)+((COUNTIF('Elève (4ème5)'!GA21:GC21,"B"))*3)+((COUNTIF('Elève (4ème5)'!GA21:GC21,"C"))*2)+((COUNTIF('Elève (4ème5)'!GA21:GC21,"D"))*1))/(COUNTA(GA21:GC21)),"")</f>
        <v/>
      </c>
      <c r="GE21" s="187" t="str">
        <f t="shared" si="36"/>
        <v/>
      </c>
      <c r="GF21" s="144"/>
      <c r="GG21" s="145"/>
      <c r="GH21" s="146"/>
      <c r="GI21" s="146"/>
      <c r="GJ21" s="186" t="str">
        <f>IFERROR((((COUNTIF('Elève (4ème5)'!GF21:GI21,"A"))*4)+((COUNTIF('Elève (4ème5)'!GF21:GI21,"B"))*3)+((COUNTIF('Elève (4ème5)'!GF21:GI21,"C"))*2)+((COUNTIF('Elève (4ème5)'!GF21:GI21,"D"))*1))/(COUNTA(GF21:GI21)),"")</f>
        <v/>
      </c>
      <c r="GK21" s="187" t="str">
        <f t="shared" si="37"/>
        <v/>
      </c>
      <c r="GL21" s="144"/>
      <c r="GM21" s="145"/>
      <c r="GN21" s="146"/>
      <c r="GO21" s="146"/>
      <c r="GP21" s="146"/>
      <c r="GQ21" s="186" t="str">
        <f>IFERROR((((COUNTIF('Elève (4ème5)'!GL21:GP21,"A"))*4)+((COUNTIF('Elève (4ème5)'!GL21:GP21,"B"))*3)+((COUNTIF('Elève (4ème5)'!GL21:GP21,"C"))*2)+((COUNTIF('Elève (4ème5)'!GL21:GP21,"D"))*1))/(COUNTA(GL21:GP21)),"")</f>
        <v/>
      </c>
      <c r="GR21" s="187" t="str">
        <f t="shared" si="38"/>
        <v/>
      </c>
      <c r="GS21" s="186" t="str">
        <f>IF(COUNT(GD21,GJ21,GQ21)=0,"",SUM(GD21,GJ21,GQ21)/COUNT(GD21,GJ21,GQ21))</f>
        <v/>
      </c>
      <c r="GT21" s="211" t="str">
        <f t="shared" si="39"/>
        <v/>
      </c>
      <c r="GU21" s="144"/>
      <c r="GV21" s="145"/>
      <c r="GW21" s="146"/>
      <c r="GX21" s="186" t="str">
        <f>IFERROR((((COUNTIF('Elève (4ème5)'!GU21:GW21,"A"))*4)+((COUNTIF('Elève (4ème5)'!GU21:GW21,"B"))*3)+((COUNTIF('Elève (4ème5)'!GU21:GW21,"C"))*2)+((COUNTIF('Elève (4ème5)'!GU21:GW21,"D"))*1))/(COUNTA(GU21:GW21)),"")</f>
        <v/>
      </c>
      <c r="GY21" s="187" t="str">
        <f t="shared" si="40"/>
        <v/>
      </c>
      <c r="GZ21" s="144"/>
      <c r="HA21" s="145"/>
      <c r="HB21" s="146"/>
      <c r="HC21" s="146"/>
      <c r="HD21" s="186" t="str">
        <f>IFERROR((((COUNTIF('Elève (4ème5)'!GZ21:HC21,"A"))*4)+((COUNTIF('Elève (4ème5)'!GZ21:HC21,"B"))*3)+((COUNTIF('Elève (4ème5)'!GZ21:HC21,"C"))*2)+((COUNTIF('Elève (4ème5)'!GZ21:HC21,"D"))*1))/(COUNTA(GZ21:HC21)),"")</f>
        <v/>
      </c>
      <c r="HE21" s="187" t="str">
        <f t="shared" si="41"/>
        <v/>
      </c>
      <c r="HF21" s="144"/>
      <c r="HG21" s="145"/>
      <c r="HH21" s="146"/>
      <c r="HI21" s="146"/>
      <c r="HJ21" s="146"/>
      <c r="HK21" s="186" t="str">
        <f>IFERROR((((COUNTIF('Elève (4ème5)'!HF21:HJ21,"A"))*4)+((COUNTIF('Elève (4ème5)'!HF21:HJ21,"B"))*3)+((COUNTIF('Elève (4ème5)'!HF21:HJ21,"C"))*2)+((COUNTIF('Elève (4ème5)'!HF21:HJ21,"D"))*1))/(COUNTA(HF21:HJ21)),"")</f>
        <v/>
      </c>
      <c r="HL21" s="187" t="str">
        <f t="shared" si="42"/>
        <v/>
      </c>
      <c r="HM21" s="186" t="str">
        <f>IF(COUNT(GX21,HD21,HK21)=0,"",SUM(GX21,HD21,HK21)/COUNT(GX21,HD21,HK21))</f>
        <v/>
      </c>
      <c r="HN21" s="211" t="str">
        <f t="shared" si="43"/>
        <v/>
      </c>
      <c r="HO21" s="144"/>
      <c r="HP21" s="145"/>
      <c r="HQ21" s="146"/>
      <c r="HR21" s="186" t="str">
        <f>IFERROR((((COUNTIF('Elève (4ème5)'!HO21:HQ21,"A"))*4)+((COUNTIF('Elève (4ème5)'!HO21:HQ21,"B"))*3)+((COUNTIF('Elève (4ème5)'!HO21:HQ21,"C"))*2)+((COUNTIF('Elève (4ème5)'!HO21:HQ21,"D"))*1))/(COUNTA(HO21:HQ21)),"")</f>
        <v/>
      </c>
      <c r="HS21" s="187" t="str">
        <f t="shared" si="44"/>
        <v/>
      </c>
      <c r="HT21" s="144"/>
      <c r="HU21" s="145"/>
      <c r="HV21" s="146"/>
      <c r="HW21" s="146"/>
      <c r="HX21" s="186" t="str">
        <f>IFERROR((((COUNTIF('Elève (4ème5)'!HT21:HW21,"A"))*4)+((COUNTIF('Elève (4ème5)'!HT21:HW21,"B"))*3)+((COUNTIF('Elève (4ème5)'!HT21:HW21,"C"))*2)+((COUNTIF('Elève (4ème5)'!HT21:HW21,"D"))*1))/(COUNTA(HT21:HW21)),"")</f>
        <v/>
      </c>
      <c r="HY21" s="187" t="str">
        <f t="shared" si="45"/>
        <v/>
      </c>
      <c r="HZ21" s="144"/>
      <c r="IA21" s="145"/>
      <c r="IB21" s="146"/>
      <c r="IC21" s="146"/>
      <c r="ID21" s="146"/>
      <c r="IE21" s="186" t="str">
        <f>IFERROR((((COUNTIF('Elève (4ème5)'!HZ21:ID21,"A"))*4)+((COUNTIF('Elève (4ème5)'!HZ21:ID21,"B"))*3)+((COUNTIF('Elève (4ème5)'!HZ21:ID21,"C"))*2)+((COUNTIF('Elève (4ème5)'!HZ21:ID21,"D"))*1))/(COUNTA(HZ21:ID21)),"")</f>
        <v/>
      </c>
      <c r="IF21" s="187" t="str">
        <f t="shared" si="46"/>
        <v/>
      </c>
      <c r="IG21" s="186" t="str">
        <f>IF(COUNT(HR21,HX21,IE21)=0,"",SUM(HR21,HX21,IE21)/COUNT(HR21,HX21,IE21))</f>
        <v/>
      </c>
      <c r="IH21" s="211" t="str">
        <f t="shared" si="47"/>
        <v/>
      </c>
      <c r="II21" s="144"/>
      <c r="IJ21" s="145"/>
      <c r="IK21" s="146"/>
      <c r="IL21" s="186" t="str">
        <f>IFERROR((((COUNTIF('Elève (4ème5)'!II21:IK21,"A"))*4)+((COUNTIF('Elève (4ème5)'!II21:IK21,"B"))*3)+((COUNTIF('Elève (4ème5)'!II21:IK21,"C"))*2)+((COUNTIF('Elève (4ème5)'!II21:IK21,"D"))*1))/(COUNTA(II21:IK21)),"")</f>
        <v/>
      </c>
      <c r="IM21" s="187" t="str">
        <f t="shared" si="48"/>
        <v/>
      </c>
      <c r="IN21" s="144"/>
      <c r="IO21" s="145"/>
      <c r="IP21" s="146"/>
      <c r="IQ21" s="146"/>
      <c r="IR21" s="186" t="str">
        <f>IFERROR((((COUNTIF('Elève (4ème5)'!IN21:IQ21,"A"))*4)+((COUNTIF('Elève (4ème5)'!IN21:IQ21,"B"))*3)+((COUNTIF('Elève (4ème5)'!IN21:IQ21,"C"))*2)+((COUNTIF('Elève (4ème5)'!IN21:IQ21,"D"))*1))/(COUNTA(IN21:IQ21)),"")</f>
        <v/>
      </c>
      <c r="IS21" s="187" t="str">
        <f t="shared" si="49"/>
        <v/>
      </c>
      <c r="IT21" s="144"/>
      <c r="IU21" s="145"/>
      <c r="IV21" s="146"/>
      <c r="IW21" s="146"/>
      <c r="IX21" s="146"/>
      <c r="IY21" s="186" t="str">
        <f>IFERROR((((COUNTIF('Elève (4ème5)'!IT21:IX21,"A"))*4)+((COUNTIF('Elève (4ème5)'!IT21:IX21,"B"))*3)+((COUNTIF('Elève (4ème5)'!IT21:IX21,"C"))*2)+((COUNTIF('Elève (4ème5)'!IT21:IX21,"D"))*1))/(COUNTA(IT21:IX21)),"")</f>
        <v/>
      </c>
      <c r="IZ21" s="187" t="str">
        <f t="shared" si="50"/>
        <v/>
      </c>
      <c r="JA21" s="186" t="str">
        <f>IF(COUNT(IL21,IR21,IY21)=0,"",SUM(IL21,IR21,IY21)/COUNT(IL21,IR21,IY21))</f>
        <v/>
      </c>
      <c r="JB21" s="211" t="str">
        <f t="shared" si="51"/>
        <v/>
      </c>
      <c r="JC21" s="144"/>
      <c r="JD21" s="145"/>
      <c r="JE21" s="146"/>
      <c r="JF21" s="186" t="str">
        <f>IFERROR((((COUNTIF('Elève (4ème5)'!JC21:JE21,"A"))*4)+((COUNTIF('Elève (4ème5)'!JC21:JE21,"B"))*3)+((COUNTIF('Elève (4ème5)'!JC21:JE21,"C"))*2)+((COUNTIF('Elève (4ème5)'!JC21:JE21,"D"))*1))/(COUNTA(JC21:JE21)),"")</f>
        <v/>
      </c>
      <c r="JG21" s="187" t="str">
        <f t="shared" si="52"/>
        <v/>
      </c>
      <c r="JH21" s="144"/>
      <c r="JI21" s="145"/>
      <c r="JJ21" s="146"/>
      <c r="JK21" s="146"/>
      <c r="JL21" s="186" t="str">
        <f>IFERROR((((COUNTIF('Elève (4ème5)'!JH21:JK21,"A"))*4)+((COUNTIF('Elève (4ème5)'!JH21:JK21,"B"))*3)+((COUNTIF('Elève (4ème5)'!JH21:JK21,"C"))*2)+((COUNTIF('Elève (4ème5)'!JH21:JK21,"D"))*1))/(COUNTA(JH21:JK21)),"")</f>
        <v/>
      </c>
      <c r="JM21" s="187" t="str">
        <f t="shared" si="53"/>
        <v/>
      </c>
      <c r="JN21" s="144"/>
      <c r="JO21" s="145"/>
      <c r="JP21" s="146"/>
      <c r="JQ21" s="146"/>
      <c r="JR21" s="146"/>
      <c r="JS21" s="186" t="str">
        <f>IFERROR((((COUNTIF('Elève (4ème5)'!JN21:JR21,"A"))*4)+((COUNTIF('Elève (4ème5)'!JN21:JR21,"B"))*3)+((COUNTIF('Elève (4ème5)'!JN21:JR21,"C"))*2)+((COUNTIF('Elève (4ème5)'!JN21:JR21,"D"))*1))/(COUNTA(JN21:JR21)),"")</f>
        <v/>
      </c>
      <c r="JT21" s="187" t="str">
        <f t="shared" si="54"/>
        <v/>
      </c>
      <c r="JU21" s="186" t="str">
        <f>IF(COUNT(JF21,JL21,JS21)=0,"",SUM(JF21,JL21,JS21)/COUNT(JF21,JL21,JS21))</f>
        <v/>
      </c>
      <c r="JV21" s="211" t="str">
        <f t="shared" si="55"/>
        <v/>
      </c>
      <c r="JW21" s="144"/>
      <c r="JX21" s="145"/>
      <c r="JY21" s="146"/>
      <c r="JZ21" s="186" t="str">
        <f>IFERROR((((COUNTIF('Elève (4ème5)'!JW21:JY21,"A"))*4)+((COUNTIF('Elève (4ème5)'!JW21:JY21,"B"))*3)+((COUNTIF('Elève (4ème5)'!JW21:JY21,"C"))*2)+((COUNTIF('Elève (4ème5)'!JW21:JY21,"D"))*1))/(COUNTA(JW21:JY21)),"")</f>
        <v/>
      </c>
      <c r="KA21" s="187" t="str">
        <f t="shared" si="56"/>
        <v/>
      </c>
      <c r="KB21" s="144"/>
      <c r="KC21" s="145"/>
      <c r="KD21" s="146"/>
      <c r="KE21" s="146"/>
      <c r="KF21" s="186" t="str">
        <f>IFERROR((((COUNTIF('Elève (4ème5)'!KB21:KE21,"A"))*4)+((COUNTIF('Elève (4ème5)'!KB21:KE21,"B"))*3)+((COUNTIF('Elève (4ème5)'!KB21:KE21,"C"))*2)+((COUNTIF('Elève (4ème5)'!KB21:KE21,"D"))*1))/(COUNTA(KB21:KE21)),"")</f>
        <v/>
      </c>
      <c r="KG21" s="187" t="str">
        <f t="shared" si="57"/>
        <v/>
      </c>
      <c r="KH21" s="144"/>
      <c r="KI21" s="145"/>
      <c r="KJ21" s="146"/>
      <c r="KK21" s="146"/>
      <c r="KL21" s="146"/>
      <c r="KM21" s="186" t="str">
        <f>IFERROR((((COUNTIF('Elève (4ème5)'!KH21:KL21,"A"))*4)+((COUNTIF('Elève (4ème5)'!KH21:KL21,"B"))*3)+((COUNTIF('Elève (4ème5)'!KH21:KL21,"C"))*2)+((COUNTIF('Elève (4ème5)'!KH21:KL21,"D"))*1))/(COUNTA(KH21:KL21)),"")</f>
        <v/>
      </c>
      <c r="KN21" s="187" t="str">
        <f t="shared" si="58"/>
        <v/>
      </c>
      <c r="KO21" s="186" t="str">
        <f>IF(COUNT(JZ21,KF21,KM21)=0,"",SUM(JZ21,KF21,KM21)/COUNT(JZ21,KF21,KM21))</f>
        <v/>
      </c>
      <c r="KP21" s="211" t="str">
        <f t="shared" si="59"/>
        <v/>
      </c>
      <c r="KQ21" s="144"/>
      <c r="KR21" s="145"/>
      <c r="KS21" s="146"/>
      <c r="KT21" s="186" t="str">
        <f>IFERROR((((COUNTIF('Elève (4ème5)'!KQ21:KS21,"A"))*4)+((COUNTIF('Elève (4ème5)'!KQ21:KS21,"B"))*3)+((COUNTIF('Elève (4ème5)'!KQ21:KS21,"C"))*2)+((COUNTIF('Elève (4ème5)'!KQ21:KS21,"D"))*1))/(COUNTA(KQ21:KS21)),"")</f>
        <v/>
      </c>
      <c r="KU21" s="187" t="str">
        <f t="shared" si="60"/>
        <v/>
      </c>
      <c r="KV21" s="144"/>
      <c r="KW21" s="145"/>
      <c r="KX21" s="146"/>
      <c r="KY21" s="146"/>
      <c r="KZ21" s="186" t="str">
        <f>IFERROR((((COUNTIF('Elève (4ème5)'!KV21:KY21,"A"))*4)+((COUNTIF('Elève (4ème5)'!KV21:KY21,"B"))*3)+((COUNTIF('Elève (4ème5)'!KV21:KY21,"C"))*2)+((COUNTIF('Elève (4ème5)'!KV21:KY21,"D"))*1))/(COUNTA(KV21:KY21)),"")</f>
        <v/>
      </c>
      <c r="LA21" s="187" t="str">
        <f t="shared" si="61"/>
        <v/>
      </c>
      <c r="LB21" s="144"/>
      <c r="LC21" s="145"/>
      <c r="LD21" s="146"/>
      <c r="LE21" s="146"/>
      <c r="LF21" s="146"/>
      <c r="LG21" s="186" t="str">
        <f>IFERROR((((COUNTIF('Elève (4ème5)'!LB21:LF21,"A"))*4)+((COUNTIF('Elève (4ème5)'!LB21:LF21,"B"))*3)+((COUNTIF('Elève (4ème5)'!LB21:LF21,"C"))*2)+((COUNTIF('Elève (4ème5)'!LB21:LF21,"D"))*1))/(COUNTA(LB21:LF21)),"")</f>
        <v/>
      </c>
      <c r="LH21" s="187" t="str">
        <f t="shared" si="62"/>
        <v/>
      </c>
      <c r="LI21" s="186" t="str">
        <f>IF(COUNT(KT21,KZ21,LG21)=0,"",SUM(KT21,KZ21,LG21)/COUNT(KT21,KZ21,LG21))</f>
        <v/>
      </c>
      <c r="LJ21" s="211" t="str">
        <f t="shared" si="63"/>
        <v/>
      </c>
      <c r="LK21" s="144"/>
      <c r="LL21" s="145"/>
      <c r="LM21" s="146"/>
      <c r="LN21" s="186" t="str">
        <f>IFERROR((((COUNTIF('Elève (4ème5)'!LK21:LM21,"A"))*4)+((COUNTIF('Elève (4ème5)'!LK21:LM21,"B"))*3)+((COUNTIF('Elève (4ème5)'!LK21:LM21,"C"))*2)+((COUNTIF('Elève (4ème5)'!LK21:LM21,"D"))*1))/(COUNTA(LK21:LM21)),"")</f>
        <v/>
      </c>
      <c r="LO21" s="187" t="str">
        <f t="shared" si="64"/>
        <v/>
      </c>
      <c r="LP21" s="144"/>
      <c r="LQ21" s="145"/>
      <c r="LR21" s="146"/>
      <c r="LS21" s="146"/>
      <c r="LT21" s="186" t="str">
        <f>IFERROR((((COUNTIF('Elève (4ème5)'!LP21:LS21,"A"))*4)+((COUNTIF('Elève (4ème5)'!LP21:LS21,"B"))*3)+((COUNTIF('Elève (4ème5)'!LP21:LS21,"C"))*2)+((COUNTIF('Elève (4ème5)'!LP21:LS21,"D"))*1))/(COUNTA(LP21:LS21)),"")</f>
        <v/>
      </c>
      <c r="LU21" s="187" t="str">
        <f t="shared" si="65"/>
        <v/>
      </c>
      <c r="LV21" s="144"/>
      <c r="LW21" s="145"/>
      <c r="LX21" s="146"/>
      <c r="LY21" s="146"/>
      <c r="LZ21" s="146"/>
      <c r="MA21" s="186" t="str">
        <f>IFERROR((((COUNTIF('Elève (4ème5)'!LV21:LZ21,"A"))*4)+((COUNTIF('Elève (4ème5)'!LV21:LZ21,"B"))*3)+((COUNTIF('Elève (4ème5)'!LV21:LZ21,"C"))*2)+((COUNTIF('Elève (4ème5)'!LV21:LZ21,"D"))*1))/(COUNTA(LV21:LZ21)),"")</f>
        <v/>
      </c>
      <c r="MB21" s="187" t="str">
        <f t="shared" si="66"/>
        <v/>
      </c>
      <c r="MC21" s="186" t="str">
        <f>IF(COUNT(LN21,LT21,MA21)=0,"",SUM(LN21,LT21,MA21)/COUNT(LN21,LT21,MA21))</f>
        <v/>
      </c>
      <c r="MD21" s="211" t="str">
        <f t="shared" si="67"/>
        <v/>
      </c>
      <c r="ME21" s="144"/>
      <c r="MF21" s="145"/>
      <c r="MG21" s="146"/>
      <c r="MH21" s="186" t="str">
        <f>IFERROR((((COUNTIF('Elève (4ème5)'!ME21:MG21,"A"))*4)+((COUNTIF('Elève (4ème5)'!ME21:MG21,"B"))*3)+((COUNTIF('Elève (4ème5)'!ME21:MG21,"C"))*2)+((COUNTIF('Elève (4ème5)'!ME21:MG21,"D"))*1))/(COUNTA(ME21:MG21)),"")</f>
        <v/>
      </c>
      <c r="MI21" s="187" t="str">
        <f t="shared" si="68"/>
        <v/>
      </c>
      <c r="MJ21" s="144"/>
      <c r="MK21" s="145"/>
      <c r="ML21" s="146"/>
      <c r="MM21" s="146"/>
      <c r="MN21" s="186" t="str">
        <f>IFERROR((((COUNTIF('Elève (4ème5)'!MJ21:MM21,"A"))*4)+((COUNTIF('Elève (4ème5)'!MJ21:MM21,"B"))*3)+((COUNTIF('Elève (4ème5)'!MJ21:MM21,"C"))*2)+((COUNTIF('Elève (4ème5)'!MJ21:MM21,"D"))*1))/(COUNTA(MJ21:MM21)),"")</f>
        <v/>
      </c>
      <c r="MO21" s="187" t="str">
        <f t="shared" si="69"/>
        <v/>
      </c>
      <c r="MP21" s="144"/>
      <c r="MQ21" s="145"/>
      <c r="MR21" s="146"/>
      <c r="MS21" s="146"/>
      <c r="MT21" s="146"/>
      <c r="MU21" s="186" t="str">
        <f>IFERROR((((COUNTIF('Elève (4ème5)'!MP21:MT21,"A"))*4)+((COUNTIF('Elève (4ème5)'!MP21:MT21,"B"))*3)+((COUNTIF('Elève (4ème5)'!MP21:MT21,"C"))*2)+((COUNTIF('Elève (4ème5)'!MP21:MT21,"D"))*1))/(COUNTA(MP21:MT21)),"")</f>
        <v/>
      </c>
      <c r="MV21" s="187" t="str">
        <f t="shared" si="70"/>
        <v/>
      </c>
      <c r="MW21" s="186" t="str">
        <f>IF(COUNT(MH21,MN21,MU21)=0,"",SUM(MH21,MN21,MU21)/COUNT(MH21,MN21,MU21))</f>
        <v/>
      </c>
      <c r="MX21" s="211" t="str">
        <f t="shared" si="71"/>
        <v/>
      </c>
      <c r="MY21" s="144"/>
      <c r="MZ21" s="145"/>
      <c r="NA21" s="146"/>
      <c r="NB21" s="186" t="str">
        <f>IFERROR((((COUNTIF('Elève (4ème5)'!MY21:NA21,"A"))*4)+((COUNTIF('Elève (4ème5)'!MY21:NA21,"B"))*3)+((COUNTIF('Elève (4ème5)'!MY21:NA21,"C"))*2)+((COUNTIF('Elève (4ème5)'!MY21:NA21,"D"))*1))/(COUNTA(MY21:NA21)),"")</f>
        <v/>
      </c>
      <c r="NC21" s="187" t="str">
        <f t="shared" si="72"/>
        <v/>
      </c>
      <c r="ND21" s="144"/>
      <c r="NE21" s="145"/>
      <c r="NF21" s="146"/>
      <c r="NG21" s="146"/>
      <c r="NH21" s="186" t="str">
        <f>IFERROR((((COUNTIF('Elève (4ème5)'!ND21:NG21,"A"))*4)+((COUNTIF('Elève (4ème5)'!ND21:NG21,"B"))*3)+((COUNTIF('Elève (4ème5)'!ND21:NG21,"C"))*2)+((COUNTIF('Elève (4ème5)'!ND21:NG21,"D"))*1))/(COUNTA(ND21:NG21)),"")</f>
        <v/>
      </c>
      <c r="NI21" s="187" t="str">
        <f t="shared" si="73"/>
        <v/>
      </c>
      <c r="NJ21" s="144"/>
      <c r="NK21" s="145"/>
      <c r="NL21" s="146"/>
      <c r="NM21" s="146"/>
      <c r="NN21" s="146"/>
      <c r="NO21" s="186" t="str">
        <f>IFERROR((((COUNTIF('Elève (4ème5)'!NJ21:NN21,"A"))*4)+((COUNTIF('Elève (4ème5)'!NJ21:NN21,"B"))*3)+((COUNTIF('Elève (4ème5)'!NJ21:NN21,"C"))*2)+((COUNTIF('Elève (4ème5)'!NJ21:NN21,"D"))*1))/(COUNTA(NJ21:NN21)),"")</f>
        <v/>
      </c>
      <c r="NP21" s="187" t="str">
        <f t="shared" si="74"/>
        <v/>
      </c>
      <c r="NQ21" s="186" t="str">
        <f>IF(COUNT(NB21,NH21,NO21)=0,"",SUM(NB21,NH21,NO21)/COUNT(NB21,NH21,NO21))</f>
        <v/>
      </c>
      <c r="NR21" s="211" t="str">
        <f t="shared" si="75"/>
        <v/>
      </c>
      <c r="NS21" s="144"/>
      <c r="NT21" s="145"/>
      <c r="NU21" s="146"/>
      <c r="NV21" s="186" t="str">
        <f>IFERROR((((COUNTIF('Elève (4ème5)'!NS21:NU21,"A"))*4)+((COUNTIF('Elève (4ème5)'!NS21:NU21,"B"))*3)+((COUNTIF('Elève (4ème5)'!NS21:NU21,"C"))*2)+((COUNTIF('Elève (4ème5)'!NS21:NU21,"D"))*1))/(COUNTA(NS21:NU21)),"")</f>
        <v/>
      </c>
      <c r="NW21" s="187" t="str">
        <f t="shared" si="76"/>
        <v/>
      </c>
      <c r="NX21" s="144"/>
      <c r="NY21" s="145"/>
      <c r="NZ21" s="146"/>
      <c r="OA21" s="146"/>
      <c r="OB21" s="186" t="str">
        <f>IFERROR((((COUNTIF('Elève (4ème5)'!NX21:OA21,"A"))*4)+((COUNTIF('Elève (4ème5)'!NX21:OA21,"B"))*3)+((COUNTIF('Elève (4ème5)'!NX21:OA21,"C"))*2)+((COUNTIF('Elève (4ème5)'!NX21:OA21,"D"))*1))/(COUNTA(NX21:OA21)),"")</f>
        <v/>
      </c>
      <c r="OC21" s="187" t="str">
        <f t="shared" si="77"/>
        <v/>
      </c>
      <c r="OD21" s="144"/>
      <c r="OE21" s="145"/>
      <c r="OF21" s="146"/>
      <c r="OG21" s="146"/>
      <c r="OH21" s="146"/>
      <c r="OI21" s="186" t="str">
        <f>IFERROR((((COUNTIF('Elève (4ème5)'!OD21:OH21,"A"))*4)+((COUNTIF('Elève (4ème5)'!OD21:OH21,"B"))*3)+((COUNTIF('Elève (4ème5)'!OD21:OH21,"C"))*2)+((COUNTIF('Elève (4ème5)'!OD21:OH21,"D"))*1))/(COUNTA(OD21:OH21)),"")</f>
        <v/>
      </c>
      <c r="OJ21" s="187" t="str">
        <f t="shared" si="78"/>
        <v/>
      </c>
      <c r="OK21" s="186" t="str">
        <f>IF(COUNT(NV21,OB21,OI21)=0,"",SUM(NV21,OB21,OI21)/COUNT(NV21,OB21,OI21))</f>
        <v/>
      </c>
      <c r="OL21" s="211" t="str">
        <f t="shared" si="79"/>
        <v/>
      </c>
      <c r="OM21" s="144"/>
      <c r="ON21" s="145"/>
      <c r="OO21" s="146"/>
      <c r="OP21" s="186" t="str">
        <f>IFERROR((((COUNTIF('Elève (4ème5)'!OM21:OO21,"A"))*4)+((COUNTIF('Elève (4ème5)'!OM21:OO21,"B"))*3)+((COUNTIF('Elève (4ème5)'!OM21:OO21,"C"))*2)+((COUNTIF('Elève (4ème5)'!OM21:OO21,"D"))*1))/(COUNTA(OM21:OO21)),"")</f>
        <v/>
      </c>
      <c r="OQ21" s="187" t="str">
        <f t="shared" si="80"/>
        <v/>
      </c>
      <c r="OR21" s="144"/>
      <c r="OS21" s="145"/>
      <c r="OT21" s="146"/>
      <c r="OU21" s="146"/>
      <c r="OV21" s="186" t="str">
        <f>IFERROR((((COUNTIF('Elève (4ème5)'!OR21:OU21,"A"))*4)+((COUNTIF('Elève (4ème5)'!OR21:OU21,"B"))*3)+((COUNTIF('Elève (4ème5)'!OR21:OU21,"C"))*2)+((COUNTIF('Elève (4ème5)'!OR21:OU21,"D"))*1))/(COUNTA(OR21:OU21)),"")</f>
        <v/>
      </c>
      <c r="OW21" s="187" t="str">
        <f t="shared" si="81"/>
        <v/>
      </c>
      <c r="OX21" s="144"/>
      <c r="OY21" s="145"/>
      <c r="OZ21" s="146"/>
      <c r="PA21" s="146"/>
      <c r="PB21" s="146"/>
      <c r="PC21" s="186" t="str">
        <f>IFERROR((((COUNTIF('Elève (4ème5)'!OX21:PB21,"A"))*4)+((COUNTIF('Elève (4ème5)'!OX21:PB21,"B"))*3)+((COUNTIF('Elève (4ème5)'!OX21:PB21,"C"))*2)+((COUNTIF('Elève (4ème5)'!OX21:PB21,"D"))*1))/(COUNTA(OX21:PB21)),"")</f>
        <v/>
      </c>
      <c r="PD21" s="187" t="str">
        <f t="shared" si="82"/>
        <v/>
      </c>
      <c r="PE21" s="186" t="str">
        <f>IF(COUNT(OP21,OV21,PC21)=0,"",SUM(OP21,OV21,PC21)/COUNT(OP21,OV21,PC21))</f>
        <v/>
      </c>
      <c r="PF21" s="211" t="str">
        <f t="shared" si="83"/>
        <v/>
      </c>
      <c r="PG21" s="144"/>
      <c r="PH21" s="145"/>
      <c r="PI21" s="146"/>
      <c r="PJ21" s="186" t="str">
        <f>IFERROR((((COUNTIF('Elève (4ème5)'!PG21:PI21,"A"))*4)+((COUNTIF('Elève (4ème5)'!PG21:PI21,"B"))*3)+((COUNTIF('Elève (4ème5)'!PG21:PI21,"C"))*2)+((COUNTIF('Elève (4ème5)'!PG21:PI21,"D"))*1))/(COUNTA(PG21:PI21)),"")</f>
        <v/>
      </c>
      <c r="PK21" s="187" t="str">
        <f t="shared" si="84"/>
        <v/>
      </c>
      <c r="PL21" s="144"/>
      <c r="PM21" s="145"/>
      <c r="PN21" s="146"/>
      <c r="PO21" s="146"/>
      <c r="PP21" s="186" t="str">
        <f>IFERROR((((COUNTIF('Elève (4ème5)'!PL21:PO21,"A"))*4)+((COUNTIF('Elève (4ème5)'!PL21:PO21,"B"))*3)+((COUNTIF('Elève (4ème5)'!PL21:PO21,"C"))*2)+((COUNTIF('Elève (4ème5)'!PL21:PO21,"D"))*1))/(COUNTA(PL21:PO21)),"")</f>
        <v/>
      </c>
      <c r="PQ21" s="187" t="str">
        <f t="shared" si="85"/>
        <v/>
      </c>
      <c r="PR21" s="144"/>
      <c r="PS21" s="145"/>
      <c r="PT21" s="146"/>
      <c r="PU21" s="146"/>
      <c r="PV21" s="146"/>
      <c r="PW21" s="186" t="str">
        <f>IFERROR((((COUNTIF('Elève (4ème5)'!PR21:PV21,"A"))*4)+((COUNTIF('Elève (4ème5)'!PR21:PV21,"B"))*3)+((COUNTIF('Elève (4ème5)'!PR21:PV21,"C"))*2)+((COUNTIF('Elève (4ème5)'!PR21:PV21,"D"))*1))/(COUNTA(PR21:PV21)),"")</f>
        <v/>
      </c>
      <c r="PX21" s="187" t="str">
        <f t="shared" si="86"/>
        <v/>
      </c>
      <c r="PY21" s="186" t="str">
        <f>IF(COUNT(PJ21,PP21,PW21)=0,"",SUM(PJ21,PP21,PW21)/COUNT(PJ21,PP21,PW21))</f>
        <v/>
      </c>
      <c r="PZ21" s="211" t="str">
        <f t="shared" si="87"/>
        <v/>
      </c>
      <c r="QA21" s="144"/>
      <c r="QB21" s="145"/>
      <c r="QC21" s="146"/>
      <c r="QD21" s="186" t="str">
        <f>IFERROR((((COUNTIF('Elève (4ème5)'!QA21:QC21,"A"))*4)+((COUNTIF('Elève (4ème5)'!QA21:QC21,"B"))*3)+((COUNTIF('Elève (4ème5)'!QA21:QC21,"C"))*2)+((COUNTIF('Elève (4ème5)'!QA21:QC21,"D"))*1))/(COUNTA(QA21:QC21)),"")</f>
        <v/>
      </c>
      <c r="QE21" s="187" t="str">
        <f t="shared" si="88"/>
        <v/>
      </c>
      <c r="QF21" s="144"/>
      <c r="QG21" s="145"/>
      <c r="QH21" s="146"/>
      <c r="QI21" s="146"/>
      <c r="QJ21" s="186" t="str">
        <f>IFERROR((((COUNTIF('Elève (4ème5)'!QF21:QI21,"A"))*4)+((COUNTIF('Elève (4ème5)'!QF21:QI21,"B"))*3)+((COUNTIF('Elève (4ème5)'!QF21:QI21,"C"))*2)+((COUNTIF('Elève (4ème5)'!QF21:QI21,"D"))*1))/(COUNTA(QF21:QI21)),"")</f>
        <v/>
      </c>
      <c r="QK21" s="187" t="str">
        <f t="shared" si="89"/>
        <v/>
      </c>
      <c r="QL21" s="144"/>
      <c r="QM21" s="145"/>
      <c r="QN21" s="146"/>
      <c r="QO21" s="146"/>
      <c r="QP21" s="146"/>
      <c r="QQ21" s="186" t="str">
        <f>IFERROR((((COUNTIF('Elève (4ème5)'!QL21:QP21,"A"))*4)+((COUNTIF('Elève (4ème5)'!QL21:QP21,"B"))*3)+((COUNTIF('Elève (4ème5)'!QL21:QP21,"C"))*2)+((COUNTIF('Elève (4ème5)'!QL21:QP21,"D"))*1))/(COUNTA(QL21:QP21)),"")</f>
        <v/>
      </c>
      <c r="QR21" s="187" t="str">
        <f t="shared" si="90"/>
        <v/>
      </c>
      <c r="QS21" s="186" t="str">
        <f>IF(COUNT(QD21,QJ21,QQ21)=0,"",SUM(QD21,QJ21,QQ21)/COUNT(QD21,QJ21,QQ21))</f>
        <v/>
      </c>
      <c r="QT21" s="211" t="str">
        <f t="shared" si="91"/>
        <v/>
      </c>
      <c r="QU21" s="144"/>
      <c r="QV21" s="145"/>
      <c r="QW21" s="146"/>
      <c r="QX21" s="186" t="str">
        <f>IFERROR((((COUNTIF('Elève (4ème5)'!QU21:QW21,"A"))*4)+((COUNTIF('Elève (4ème5)'!QU21:QW21,"B"))*3)+((COUNTIF('Elève (4ème5)'!QU21:QW21,"C"))*2)+((COUNTIF('Elève (4ème5)'!QU21:QW21,"D"))*1))/(COUNTA(QU21:QW21)),"")</f>
        <v/>
      </c>
      <c r="QY21" s="187" t="str">
        <f t="shared" si="92"/>
        <v/>
      </c>
      <c r="QZ21" s="144"/>
      <c r="RA21" s="145"/>
      <c r="RB21" s="146"/>
      <c r="RC21" s="146"/>
      <c r="RD21" s="186" t="str">
        <f>IFERROR((((COUNTIF('Elève (4ème5)'!QZ21:RC21,"A"))*4)+((COUNTIF('Elève (4ème5)'!QZ21:RC21,"B"))*3)+((COUNTIF('Elève (4ème5)'!QZ21:RC21,"C"))*2)+((COUNTIF('Elève (4ème5)'!QZ21:RC21,"D"))*1))/(COUNTA(QZ21:RC21)),"")</f>
        <v/>
      </c>
      <c r="RE21" s="187" t="str">
        <f t="shared" si="93"/>
        <v/>
      </c>
      <c r="RF21" s="144"/>
      <c r="RG21" s="145"/>
      <c r="RH21" s="146"/>
      <c r="RI21" s="146"/>
      <c r="RJ21" s="146"/>
      <c r="RK21" s="186" t="str">
        <f>IFERROR((((COUNTIF('Elève (4ème5)'!RF21:RJ21,"A"))*4)+((COUNTIF('Elève (4ème5)'!RF21:RJ21,"B"))*3)+((COUNTIF('Elève (4ème5)'!RF21:RJ21,"C"))*2)+((COUNTIF('Elève (4ème5)'!RF21:RJ21,"D"))*1))/(COUNTA(RF21:RJ21)),"")</f>
        <v/>
      </c>
      <c r="RL21" s="187" t="str">
        <f t="shared" si="94"/>
        <v/>
      </c>
      <c r="RM21" s="186" t="str">
        <f>IF(COUNT(QX21,RD21,RK21)=0,"",SUM(QX21,RD21,RK21)/COUNT(QX21,RD21,RK21))</f>
        <v/>
      </c>
      <c r="RN21" s="211" t="str">
        <f t="shared" si="95"/>
        <v/>
      </c>
      <c r="RO21" s="144"/>
      <c r="RP21" s="145"/>
      <c r="RQ21" s="146"/>
      <c r="RR21" s="186" t="str">
        <f>IFERROR((((COUNTIF('Elève (4ème5)'!RO21:RQ21,"A"))*4)+((COUNTIF('Elève (4ème5)'!RO21:RQ21,"B"))*3)+((COUNTIF('Elève (4ème5)'!RO21:RQ21,"C"))*2)+((COUNTIF('Elève (4ème5)'!RO21:RQ21,"D"))*1))/(COUNTA(RO21:RQ21)),"")</f>
        <v/>
      </c>
      <c r="RS21" s="187" t="str">
        <f t="shared" si="96"/>
        <v/>
      </c>
      <c r="RT21" s="144"/>
      <c r="RU21" s="145"/>
      <c r="RV21" s="146"/>
      <c r="RW21" s="146"/>
      <c r="RX21" s="186" t="str">
        <f>IFERROR((((COUNTIF('Elève (4ème5)'!RT21:RW21,"A"))*4)+((COUNTIF('Elève (4ème5)'!RT21:RW21,"B"))*3)+((COUNTIF('Elève (4ème5)'!RT21:RW21,"C"))*2)+((COUNTIF('Elève (4ème5)'!RT21:RW21,"D"))*1))/(COUNTA(RT21:RW21)),"")</f>
        <v/>
      </c>
      <c r="RY21" s="187" t="str">
        <f t="shared" si="97"/>
        <v/>
      </c>
      <c r="RZ21" s="144"/>
      <c r="SA21" s="145"/>
      <c r="SB21" s="146"/>
      <c r="SC21" s="146"/>
      <c r="SD21" s="146"/>
      <c r="SE21" s="186" t="str">
        <f>IFERROR((((COUNTIF('Elève (4ème5)'!RZ21:SD21,"A"))*4)+((COUNTIF('Elève (4ème5)'!RZ21:SD21,"B"))*3)+((COUNTIF('Elève (4ème5)'!RZ21:SD21,"C"))*2)+((COUNTIF('Elève (4ème5)'!RZ21:SD21,"D"))*1))/(COUNTA(RZ21:SD21)),"")</f>
        <v/>
      </c>
      <c r="SF21" s="187" t="str">
        <f t="shared" si="98"/>
        <v/>
      </c>
      <c r="SG21" s="186" t="str">
        <f>IF(COUNT(RR21,RX21,SE21)=0,"",SUM(RR21,RX21,SE21)/COUNT(RR21,RX21,SE21))</f>
        <v/>
      </c>
      <c r="SH21" s="211" t="str">
        <f t="shared" si="99"/>
        <v/>
      </c>
      <c r="SI21" s="144"/>
      <c r="SJ21" s="145"/>
      <c r="SK21" s="146"/>
      <c r="SL21" s="186" t="str">
        <f>IFERROR((((COUNTIF('Elève (4ème5)'!SI21:SK21,"A"))*4)+((COUNTIF('Elève (4ème5)'!SI21:SK21,"B"))*3)+((COUNTIF('Elève (4ème5)'!SI21:SK21,"C"))*2)+((COUNTIF('Elève (4ème5)'!SI21:SK21,"D"))*1))/(COUNTA(SI21:SK21)),"")</f>
        <v/>
      </c>
      <c r="SM21" s="187" t="str">
        <f t="shared" si="100"/>
        <v/>
      </c>
      <c r="SN21" s="144"/>
      <c r="SO21" s="145"/>
      <c r="SP21" s="146"/>
      <c r="SQ21" s="146"/>
      <c r="SR21" s="186" t="str">
        <f>IFERROR((((COUNTIF('Elève (4ème5)'!SN21:SQ21,"A"))*4)+((COUNTIF('Elève (4ème5)'!SN21:SQ21,"B"))*3)+((COUNTIF('Elève (4ème5)'!SN21:SQ21,"C"))*2)+((COUNTIF('Elève (4ème5)'!SN21:SQ21,"D"))*1))/(COUNTA(SN21:SQ21)),"")</f>
        <v/>
      </c>
      <c r="SS21" s="187" t="str">
        <f t="shared" si="101"/>
        <v/>
      </c>
      <c r="ST21" s="144"/>
      <c r="SU21" s="145"/>
      <c r="SV21" s="146"/>
      <c r="SW21" s="146"/>
      <c r="SX21" s="146"/>
      <c r="SY21" s="186" t="str">
        <f>IFERROR((((COUNTIF('Elève (4ème5)'!ST21:SX21,"A"))*4)+((COUNTIF('Elève (4ème5)'!ST21:SX21,"B"))*3)+((COUNTIF('Elève (4ème5)'!ST21:SX21,"C"))*2)+((COUNTIF('Elève (4ème5)'!ST21:SX21,"D"))*1))/(COUNTA(ST21:SX21)),"")</f>
        <v/>
      </c>
      <c r="SZ21" s="187" t="str">
        <f t="shared" si="102"/>
        <v/>
      </c>
      <c r="TA21" s="186" t="str">
        <f>IF(COUNT(SL21,SR21,SY21)=0,"",SUM(SL21,SR21,SY21)/COUNT(SL21,SR21,SY21))</f>
        <v/>
      </c>
      <c r="TB21" s="211" t="str">
        <f t="shared" si="103"/>
        <v/>
      </c>
      <c r="TC21" s="144"/>
      <c r="TD21" s="145"/>
      <c r="TE21" s="146"/>
      <c r="TF21" s="186" t="str">
        <f>IFERROR((((COUNTIF('Elève (4ème5)'!TC21:TE21,"A"))*4)+((COUNTIF('Elève (4ème5)'!TC21:TE21,"B"))*3)+((COUNTIF('Elève (4ème5)'!TC21:TE21,"C"))*2)+((COUNTIF('Elève (4ème5)'!TC21:TE21,"D"))*1))/(COUNTA(TC21:TE21)),"")</f>
        <v/>
      </c>
      <c r="TG21" s="187" t="str">
        <f t="shared" si="104"/>
        <v/>
      </c>
      <c r="TH21" s="144"/>
      <c r="TI21" s="145"/>
      <c r="TJ21" s="146"/>
      <c r="TK21" s="146"/>
      <c r="TL21" s="186" t="str">
        <f>IFERROR((((COUNTIF('Elève (4ème5)'!TH21:TK21,"A"))*4)+((COUNTIF('Elève (4ème5)'!TH21:TK21,"B"))*3)+((COUNTIF('Elève (4ème5)'!TH21:TK21,"C"))*2)+((COUNTIF('Elève (4ème5)'!TH21:TK21,"D"))*1))/(COUNTA(TH21:TK21)),"")</f>
        <v/>
      </c>
      <c r="TM21" s="187" t="str">
        <f t="shared" si="105"/>
        <v/>
      </c>
      <c r="TN21" s="144"/>
      <c r="TO21" s="145"/>
      <c r="TP21" s="146"/>
      <c r="TQ21" s="146"/>
      <c r="TR21" s="146"/>
      <c r="TS21" s="186" t="str">
        <f>IFERROR((((COUNTIF('Elève (4ème5)'!TN21:TR21,"A"))*4)+((COUNTIF('Elève (4ème5)'!TN21:TR21,"B"))*3)+((COUNTIF('Elève (4ème5)'!TN21:TR21,"C"))*2)+((COUNTIF('Elève (4ème5)'!TN21:TR21,"D"))*1))/(COUNTA(TN21:TR21)),"")</f>
        <v/>
      </c>
      <c r="TT21" s="187" t="str">
        <f t="shared" si="106"/>
        <v/>
      </c>
      <c r="TU21" s="186" t="str">
        <f>IF(COUNT(TF21,TL21,TS21)=0,"",SUM(TF21,TL21,TS21)/COUNT(TF21,TL21,TS21))</f>
        <v/>
      </c>
      <c r="TV21" s="211" t="str">
        <f t="shared" si="107"/>
        <v/>
      </c>
      <c r="TW21" s="144"/>
      <c r="TX21" s="145"/>
      <c r="TY21" s="146"/>
      <c r="TZ21" s="186" t="str">
        <f>IFERROR((((COUNTIF('Elève (4ème5)'!TW21:TY21,"A"))*4)+((COUNTIF('Elève (4ème5)'!TW21:TY21,"B"))*3)+((COUNTIF('Elève (4ème5)'!TW21:TY21,"C"))*2)+((COUNTIF('Elève (4ème5)'!TW21:TY21,"D"))*1))/(COUNTA(TW21:TY21)),"")</f>
        <v/>
      </c>
      <c r="UA21" s="187" t="str">
        <f t="shared" si="108"/>
        <v/>
      </c>
      <c r="UB21" s="144"/>
      <c r="UC21" s="145"/>
      <c r="UD21" s="146"/>
      <c r="UE21" s="146"/>
      <c r="UF21" s="186" t="str">
        <f>IFERROR((((COUNTIF('Elève (4ème5)'!UB21:UE21,"A"))*4)+((COUNTIF('Elève (4ème5)'!UB21:UE21,"B"))*3)+((COUNTIF('Elève (4ème5)'!UB21:UE21,"C"))*2)+((COUNTIF('Elève (4ème5)'!UB21:UE21,"D"))*1))/(COUNTA(UB21:UE21)),"")</f>
        <v/>
      </c>
      <c r="UG21" s="187" t="str">
        <f t="shared" si="109"/>
        <v/>
      </c>
      <c r="UH21" s="144"/>
      <c r="UI21" s="145"/>
      <c r="UJ21" s="146"/>
      <c r="UK21" s="146"/>
      <c r="UL21" s="146"/>
      <c r="UM21" s="186" t="str">
        <f>IFERROR((((COUNTIF('Elève (4ème5)'!UH21:UL21,"A"))*4)+((COUNTIF('Elève (4ème5)'!UH21:UL21,"B"))*3)+((COUNTIF('Elève (4ème5)'!UH21:UL21,"C"))*2)+((COUNTIF('Elève (4ème5)'!UH21:UL21,"D"))*1))/(COUNTA(UH21:UL21)),"")</f>
        <v/>
      </c>
      <c r="UN21" s="187" t="str">
        <f t="shared" si="110"/>
        <v/>
      </c>
      <c r="UO21" s="186" t="str">
        <f>IF(COUNT(TZ21,UF21,UM21)=0,"",SUM(TZ21,UF21,UM21)/COUNT(TZ21,UF21,UM21))</f>
        <v/>
      </c>
      <c r="UP21" s="211" t="str">
        <f t="shared" si="111"/>
        <v/>
      </c>
      <c r="UQ21" s="144"/>
      <c r="UR21" s="145"/>
      <c r="US21" s="146"/>
      <c r="UT21" s="147" t="str">
        <f>IFERROR((((COUNTIF('Elève (4ème5)'!UQ21:US21,"A"))*4)+((COUNTIF('Elève (4ème5)'!UQ21:US21,"B"))*3)+((COUNTIF('Elève (4ème5)'!UQ21:US21,"C"))*2)+((COUNTIF('Elève (4ème5)'!UQ21:US21,"D"))*1))/(COUNTA(UQ21:US21)),"")</f>
        <v/>
      </c>
      <c r="UU21" s="148" t="str">
        <f t="shared" si="112"/>
        <v/>
      </c>
      <c r="UV21" s="144"/>
      <c r="UW21" s="145"/>
      <c r="UX21" s="146"/>
      <c r="UY21" s="147" t="str">
        <f>IFERROR((((COUNTIF('Elève (4ème5)'!UV21:UX21,"A"))*4)+((COUNTIF('Elève (4ème5)'!UV21:UX21,"B"))*3)+((COUNTIF('Elève (4ème5)'!UV21:UX21,"C"))*2)+((COUNTIF('Elève (4ème5)'!UV21:UX21,"D"))*1))/(COUNTA(UV21:UX21)),"")</f>
        <v/>
      </c>
      <c r="UZ21" s="148" t="str">
        <f t="shared" si="113"/>
        <v/>
      </c>
      <c r="VA21" s="144"/>
      <c r="VB21" s="145"/>
      <c r="VC21" s="150"/>
      <c r="VD21" s="147" t="str">
        <f>IFERROR((((COUNTIF('Elève (4ème5)'!VA21:VC21,"A"))*4)+((COUNTIF('Elève (4ème5)'!VA21:VC21,"B"))*3)+((COUNTIF('Elève (4ème5)'!VA21:VC21,"C"))*2)+((COUNTIF('Elève (4ème5)'!VA21:VC21,"D"))*1))/(COUNTA(VA21:VC21)),"")</f>
        <v/>
      </c>
      <c r="VE21" s="148" t="str">
        <f t="shared" si="114"/>
        <v/>
      </c>
      <c r="VF21" s="147" t="str">
        <f>IF(COUNT(UT21,UY21,VD21)=0,"",SUM(UT21,UY21,VD21)/COUNT(UT21,UY21,VD21))</f>
        <v/>
      </c>
      <c r="VG21" s="149" t="str">
        <f t="shared" si="115"/>
        <v/>
      </c>
      <c r="VH21" s="144"/>
      <c r="VI21" s="145"/>
      <c r="VJ21" s="146"/>
      <c r="VK21" s="147" t="str">
        <f>IFERROR((((COUNTIF('Elève (4ème5)'!VH21:VJ21,"A"))*4)+((COUNTIF('Elève (4ème5)'!VH21:VJ21,"B"))*3)+((COUNTIF('Elève (4ème5)'!VH21:VJ21,"C"))*2)+((COUNTIF('Elève (4ème5)'!VH21:VJ21,"D"))*1))/(COUNTA(VH21:VJ21)),"")</f>
        <v/>
      </c>
      <c r="VL21" s="148" t="str">
        <f t="shared" si="116"/>
        <v/>
      </c>
      <c r="VM21" s="144"/>
      <c r="VN21" s="145"/>
      <c r="VO21" s="146"/>
      <c r="VP21" s="147" t="str">
        <f>IFERROR((((COUNTIF('Elève (4ème5)'!VM21:VO21,"A"))*4)+((COUNTIF('Elève (4ème5)'!VM21:VO21,"B"))*3)+((COUNTIF('Elève (4ème5)'!VM21:VO21,"C"))*2)+((COUNTIF('Elève (4ème5)'!VM21:VO21,"D"))*1))/(COUNTA(VM21:VO21)),"")</f>
        <v/>
      </c>
      <c r="VQ21" s="148" t="str">
        <f t="shared" si="117"/>
        <v/>
      </c>
      <c r="VR21" s="144"/>
      <c r="VS21" s="145"/>
      <c r="VT21" s="150"/>
      <c r="VU21" s="147" t="str">
        <f>IFERROR((((COUNTIF('Elève (4ème5)'!VR21:VT21,"A"))*4)+((COUNTIF('Elève (4ème5)'!VR21:VT21,"B"))*3)+((COUNTIF('Elève (4ème5)'!VR21:VT21,"C"))*2)+((COUNTIF('Elève (4ème5)'!VR21:VT21,"D"))*1))/(COUNTA(VR21:VT21)),"")</f>
        <v/>
      </c>
      <c r="VV21" s="148" t="str">
        <f t="shared" si="118"/>
        <v/>
      </c>
      <c r="VW21" s="147" t="str">
        <f>IF(COUNT(VK21,VP21,VU21)=0,"",SUM(VK21,VP21,VU21)/COUNT(VK21,VP21,VU21))</f>
        <v/>
      </c>
      <c r="VX21" s="149" t="str">
        <f t="shared" si="119"/>
        <v/>
      </c>
    </row>
    <row r="22" spans="1:596" ht="14.7" thickBot="1" x14ac:dyDescent="0.6">
      <c r="A22" s="254" t="s">
        <v>28</v>
      </c>
      <c r="B22" s="255"/>
      <c r="C22" s="151"/>
      <c r="D22" s="151"/>
      <c r="E22" s="151"/>
      <c r="F22" s="188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2.6666666666666665</v>
      </c>
      <c r="G22" s="189">
        <f>IF(F22="","",F22*5)</f>
        <v>13.333333333333332</v>
      </c>
      <c r="H22" s="82"/>
      <c r="I22" s="82"/>
      <c r="J22" s="82"/>
      <c r="K22" s="82"/>
      <c r="L22" s="188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3.0277777777777772</v>
      </c>
      <c r="M22" s="195">
        <f>IF(L22="","",L22*5)</f>
        <v>15.138888888888886</v>
      </c>
      <c r="N22" s="82"/>
      <c r="O22" s="82"/>
      <c r="P22" s="82"/>
      <c r="Q22" s="82"/>
      <c r="R22" s="82"/>
      <c r="S22" s="188">
        <f>IF(COUNT(S20,S16,S13,S10,S4)=0,"",SUM($B$4*IF(COUNT(S4)=0,0,S4),$B$10*IF(COUNT(S10)=0,0,S10),$B$13*IF(COUNT(S13)=0,0,S13),$B$16*IF(COUNT(S16)=0,0,S16),$B$20*IF(COUNT(S20)=0,0,S20))/SUM($B$4*COUNT(S4),$B$10*COUNT(S10),$B$13*COUNT(S13),$B$16*COUNT(S16),$B$20*COUNT(S20)))</f>
        <v>3.074074074074074</v>
      </c>
      <c r="T22" s="212">
        <f>IF(S22="","",S22*5)</f>
        <v>15.37037037037037</v>
      </c>
      <c r="U22" s="175"/>
      <c r="V22" s="175"/>
      <c r="W22" s="151"/>
      <c r="X22" s="151"/>
      <c r="Y22" s="151"/>
      <c r="Z22" s="188">
        <f>IF(COUNT(Z20,Z16,Z13,Z10,Z4)=0,"",SUM($B$4*IF(COUNT(Z4)=0,0,Z4),$B$10*IF(COUNT(Z10)=0,0,Z10),$B$13*IF(COUNT(Z13)=0,0,Z13),$B$16*IF(COUNT(Z16)=0,0,Z16),$B$20*IF(COUNT(Z20)=0,0,Z20))/SUM($B$4*COUNT(Z4),$B$10*COUNT(Z10),$B$13*COUNT(Z13),$B$16*COUNT(Z16),$B$20*COUNT(Z20)))</f>
        <v>2.7222222222222219</v>
      </c>
      <c r="AA22" s="189">
        <f>IF(Z22="","",Z22*5)</f>
        <v>13.611111111111109</v>
      </c>
      <c r="AB22" s="82"/>
      <c r="AC22" s="82"/>
      <c r="AD22" s="82"/>
      <c r="AE22" s="82"/>
      <c r="AF22" s="188">
        <f>IF(COUNT(AF20,AF16,AF13,AF10,AF4)=0,"",SUM($B$4*IF(COUNT(AF4)=0,0,AF4),$B$10*IF(COUNT(AF10)=0,0,AF10),$B$13*IF(COUNT(AF13)=0,0,AF13),$B$16*IF(COUNT(AF16)=0,0,AF16),$B$20*IF(COUNT(AF20)=0,0,AF20))/SUM($B$4*COUNT(AF4),$B$10*COUNT(AF10),$B$13*COUNT(AF13),$B$16*COUNT(AF16),$B$20*COUNT(AF20)))</f>
        <v>2.6666666666666665</v>
      </c>
      <c r="AG22" s="195">
        <f>IF(AF22="","",AF22*5)</f>
        <v>13.333333333333332</v>
      </c>
      <c r="AH22" s="82"/>
      <c r="AI22" s="82"/>
      <c r="AJ22" s="82"/>
      <c r="AK22" s="82"/>
      <c r="AL22" s="82"/>
      <c r="AM22" s="188">
        <f>IF(COUNT(AM20,AM16,AM13,AM10,AM4)=0,"",SUM($B$4*IF(COUNT(AM4)=0,0,AM4),$B$10*IF(COUNT(AM10)=0,0,AM10),$B$13*IF(COUNT(AM13)=0,0,AM13),$B$16*IF(COUNT(AM16)=0,0,AM16),$B$20*IF(COUNT(AM20)=0,0,AM20))/SUM($B$4*COUNT(AM4),$B$10*COUNT(AM10),$B$13*COUNT(AM13),$B$16*COUNT(AM16),$B$20*COUNT(AM20)))</f>
        <v>3.2407407407407405</v>
      </c>
      <c r="AN22" s="212">
        <f>IF(AM22="","",AM22*5)</f>
        <v>16.203703703703702</v>
      </c>
      <c r="AO22" s="175"/>
      <c r="AP22" s="175"/>
      <c r="AQ22" s="151"/>
      <c r="AR22" s="151"/>
      <c r="AS22" s="151"/>
      <c r="AT22" s="188">
        <f>IF(COUNT(AT20,AT16,AT13,AT10,AT4)=0,"",SUM($B$4*IF(COUNT(AT4)=0,0,AT4),$B$10*IF(COUNT(AT10)=0,0,AT10),$B$13*IF(COUNT(AT13)=0,0,AT13),$B$16*IF(COUNT(AT16)=0,0,AT16),$B$20*IF(COUNT(AT20)=0,0,AT20))/SUM($B$4*COUNT(AT4),$B$10*COUNT(AT10),$B$13*COUNT(AT13),$B$16*COUNT(AT16),$B$20*COUNT(AT20)))</f>
        <v>2.8333333333333335</v>
      </c>
      <c r="AU22" s="189">
        <f>IF(AT22="","",AT22*5)</f>
        <v>14.166666666666668</v>
      </c>
      <c r="AV22" s="82"/>
      <c r="AW22" s="82"/>
      <c r="AX22" s="82"/>
      <c r="AY22" s="82"/>
      <c r="AZ22" s="188">
        <f>IF(COUNT(AZ20,AZ16,AZ13,AZ10,AZ4)=0,"",SUM($B$4*IF(COUNT(AZ4)=0,0,AZ4),$B$10*IF(COUNT(AZ10)=0,0,AZ10),$B$13*IF(COUNT(AZ13)=0,0,AZ13),$B$16*IF(COUNT(AZ16)=0,0,AZ16),$B$20*IF(COUNT(AZ20)=0,0,AZ20))/SUM($B$4*COUNT(AZ4),$B$10*COUNT(AZ10),$B$13*COUNT(AZ13),$B$16*COUNT(AZ16),$B$20*COUNT(AZ20)))</f>
        <v>2.8333333333333335</v>
      </c>
      <c r="BA22" s="195">
        <f>IF(AZ22="","",AZ22*5)</f>
        <v>14.166666666666668</v>
      </c>
      <c r="BB22" s="82"/>
      <c r="BC22" s="82"/>
      <c r="BD22" s="82"/>
      <c r="BE22" s="82"/>
      <c r="BF22" s="82"/>
      <c r="BG22" s="188">
        <f>IF(COUNT(BG20,BG16,BG13,BG10,BG4)=0,"",SUM($B$4*IF(COUNT(BG4)=0,0,BG4),$B$10*IF(COUNT(BG10)=0,0,BG10),$B$13*IF(COUNT(BG13)=0,0,BG13),$B$16*IF(COUNT(BG16)=0,0,BG16),$B$20*IF(COUNT(BG20)=0,0,BG20))/SUM($B$4*COUNT(BG4),$B$10*COUNT(BG10),$B$13*COUNT(BG13),$B$16*COUNT(BG16),$B$20*COUNT(BG20)))</f>
        <v>2.9537037037037037</v>
      </c>
      <c r="BH22" s="212">
        <f>IF(BG22="","",BG22*5)</f>
        <v>14.768518518518519</v>
      </c>
      <c r="BI22" s="175"/>
      <c r="BJ22" s="175"/>
      <c r="BK22" s="151"/>
      <c r="BL22" s="151"/>
      <c r="BM22" s="151"/>
      <c r="BN22" s="188">
        <f>IF(COUNT(BN20,BN16,BN13,BN10,BN4)=0,"",SUM($B$4*IF(COUNT(BN4)=0,0,BN4),$B$10*IF(COUNT(BN10)=0,0,BN10),$B$13*IF(COUNT(BN13)=0,0,BN13),$B$16*IF(COUNT(BN16)=0,0,BN16),$B$20*IF(COUNT(BN20)=0,0,BN20))/SUM($B$4*COUNT(BN4),$B$10*COUNT(BN10),$B$13*COUNT(BN13),$B$16*COUNT(BN16),$B$20*COUNT(BN20)))</f>
        <v>3.2222222222222219</v>
      </c>
      <c r="BO22" s="189">
        <f>IF(BN22="","",BN22*5)</f>
        <v>16.111111111111111</v>
      </c>
      <c r="BP22" s="82"/>
      <c r="BQ22" s="82"/>
      <c r="BR22" s="82"/>
      <c r="BS22" s="82"/>
      <c r="BT22" s="188">
        <f>IF(COUNT(BT20,BT16,BT13,BT10,BT4)=0,"",SUM($B$4*IF(COUNT(BT4)=0,0,BT4),$B$10*IF(COUNT(BT10)=0,0,BT10),$B$13*IF(COUNT(BT13)=0,0,BT13),$B$16*IF(COUNT(BT16)=0,0,BT16),$B$20*IF(COUNT(BT20)=0,0,BT20))/SUM($B$4*COUNT(BT4),$B$10*COUNT(BT10),$B$13*COUNT(BT13),$B$16*COUNT(BT16),$B$20*COUNT(BT20)))</f>
        <v>3.3611111111111112</v>
      </c>
      <c r="BU22" s="195">
        <f>IF(BT22="","",BT22*5)</f>
        <v>16.805555555555557</v>
      </c>
      <c r="BV22" s="82"/>
      <c r="BW22" s="82"/>
      <c r="BX22" s="82"/>
      <c r="BY22" s="82"/>
      <c r="BZ22" s="82"/>
      <c r="CA22" s="188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>3.2962962962962963</v>
      </c>
      <c r="CB22" s="212">
        <f>IF(CA22="","",CA22*5)</f>
        <v>16.481481481481481</v>
      </c>
      <c r="CC22" s="175"/>
      <c r="CD22" s="175"/>
      <c r="CE22" s="151"/>
      <c r="CF22" s="151"/>
      <c r="CG22" s="151"/>
      <c r="CH22" s="188">
        <f>IF(COUNT(CH20,CH16,CH13,CH10,CH4)=0,"",SUM($B$4*IF(COUNT(CH4)=0,0,CH4),$B$10*IF(COUNT(CH10)=0,0,CH10),$B$13*IF(COUNT(CH13)=0,0,CH13),$B$16*IF(COUNT(CH16)=0,0,CH16),$B$20*IF(COUNT(CH20)=0,0,CH20))/SUM($B$4*COUNT(CH4),$B$10*COUNT(CH10),$B$13*COUNT(CH13),$B$16*COUNT(CH16),$B$20*COUNT(CH20)))</f>
        <v>2.7777777777777781</v>
      </c>
      <c r="CI22" s="189">
        <f>IF(CH22="","",CH22*5)</f>
        <v>13.888888888888891</v>
      </c>
      <c r="CJ22" s="82"/>
      <c r="CK22" s="82"/>
      <c r="CL22" s="82"/>
      <c r="CM22" s="82"/>
      <c r="CN22" s="188">
        <f>IF(COUNT(CN20,CN16,CN13,CN10,CN4)=0,"",SUM($B$4*IF(COUNT(CN4)=0,0,CN4),$B$10*IF(COUNT(CN10)=0,0,CN10),$B$13*IF(COUNT(CN13)=0,0,CN13),$B$16*IF(COUNT(CN16)=0,0,CN16),$B$20*IF(COUNT(CN20)=0,0,CN20))/SUM($B$4*COUNT(CN4),$B$10*COUNT(CN10),$B$13*COUNT(CN13),$B$16*COUNT(CN16),$B$20*COUNT(CN20)))</f>
        <v>2.9166666666666665</v>
      </c>
      <c r="CO22" s="195">
        <f>IF(CN22="","",CN22*5)</f>
        <v>14.583333333333332</v>
      </c>
      <c r="CP22" s="82"/>
      <c r="CQ22" s="82"/>
      <c r="CR22" s="82"/>
      <c r="CS22" s="82"/>
      <c r="CT22" s="82"/>
      <c r="CU22" s="188">
        <f>IF(COUNT(CU20,CU16,CU13,CU10,CU4)=0,"",SUM($B$4*IF(COUNT(CU4)=0,0,CU4),$B$10*IF(COUNT(CU10)=0,0,CU10),$B$13*IF(COUNT(CU13)=0,0,CU13),$B$16*IF(COUNT(CU16)=0,0,CU16),$B$20*IF(COUNT(CU20)=0,0,CU20))/SUM($B$4*COUNT(CU4),$B$10*COUNT(CU10),$B$13*COUNT(CU13),$B$16*COUNT(CU16),$B$20*COUNT(CU20)))</f>
        <v>2.9351851851851851</v>
      </c>
      <c r="CV22" s="212">
        <f>IF(CU22="","",CU22*5)</f>
        <v>14.675925925925926</v>
      </c>
      <c r="CW22" s="175"/>
      <c r="CX22" s="175"/>
      <c r="CY22" s="151"/>
      <c r="CZ22" s="151"/>
      <c r="DA22" s="151"/>
      <c r="DB22" s="188">
        <f>IF(COUNT(DB20,DB16,DB13,DB10,DB4)=0,"",SUM($B$4*IF(COUNT(DB4)=0,0,DB4),$B$10*IF(COUNT(DB10)=0,0,DB10),$B$13*IF(COUNT(DB13)=0,0,DB13),$B$16*IF(COUNT(DB16)=0,0,DB16),$B$20*IF(COUNT(DB20)=0,0,DB20))/SUM($B$4*COUNT(DB4),$B$10*COUNT(DB10),$B$13*COUNT(DB13),$B$16*COUNT(DB16),$B$20*COUNT(DB20)))</f>
        <v>2.5555555555555554</v>
      </c>
      <c r="DC22" s="189">
        <f>IF(DB22="","",DB22*5)</f>
        <v>12.777777777777777</v>
      </c>
      <c r="DD22" s="82"/>
      <c r="DE22" s="82"/>
      <c r="DF22" s="82"/>
      <c r="DG22" s="82"/>
      <c r="DH22" s="188">
        <f>IF(COUNT(DH20,DH16,DH13,DH10,DH4)=0,"",SUM($B$4*IF(COUNT(DH4)=0,0,DH4),$B$10*IF(COUNT(DH10)=0,0,DH10),$B$13*IF(COUNT(DH13)=0,0,DH13),$B$16*IF(COUNT(DH16)=0,0,DH16),$B$20*IF(COUNT(DH20)=0,0,DH20))/SUM($B$4*COUNT(DH4),$B$10*COUNT(DH10),$B$13*COUNT(DH13),$B$16*COUNT(DH16),$B$20*COUNT(DH20)))</f>
        <v>2.8333333333333335</v>
      </c>
      <c r="DI22" s="195">
        <f>IF(DH22="","",DH22*5)</f>
        <v>14.166666666666668</v>
      </c>
      <c r="DJ22" s="82"/>
      <c r="DK22" s="82"/>
      <c r="DL22" s="82"/>
      <c r="DM22" s="82"/>
      <c r="DN22" s="82"/>
      <c r="DO22" s="188">
        <f>IF(COUNT(DO20,DO16,DO13,DO10,DO4)=0,"",SUM($B$4*IF(COUNT(DO4)=0,0,DO4),$B$10*IF(COUNT(DO10)=0,0,DO10),$B$13*IF(COUNT(DO13)=0,0,DO13),$B$16*IF(COUNT(DO16)=0,0,DO16),$B$20*IF(COUNT(DO20)=0,0,DO20))/SUM($B$4*COUNT(DO4),$B$10*COUNT(DO10),$B$13*COUNT(DO13),$B$16*COUNT(DO16),$B$20*COUNT(DO20)))</f>
        <v>3.1666666666666665</v>
      </c>
      <c r="DP22" s="212">
        <f>IF(DO22="","",DO22*5)</f>
        <v>15.833333333333332</v>
      </c>
      <c r="DQ22" s="175"/>
      <c r="DR22" s="175"/>
      <c r="DS22" s="151"/>
      <c r="DT22" s="151"/>
      <c r="DU22" s="151"/>
      <c r="DV22" s="188">
        <f>IF(COUNT(DV20,DV16,DV13,DV10,DV4)=0,"",SUM($B$4*IF(COUNT(DV4)=0,0,DV4),$B$10*IF(COUNT(DV10)=0,0,DV10),$B$13*IF(COUNT(DV13)=0,0,DV13),$B$16*IF(COUNT(DV16)=0,0,DV16),$B$20*IF(COUNT(DV20)=0,0,DV20))/SUM($B$4*COUNT(DV4),$B$10*COUNT(DV10),$B$13*COUNT(DV13),$B$16*COUNT(DV16),$B$20*COUNT(DV20)))</f>
        <v>1.7777777777777777</v>
      </c>
      <c r="DW22" s="189">
        <f>IF(DV22="","",DV22*5)</f>
        <v>8.8888888888888893</v>
      </c>
      <c r="DX22" s="82"/>
      <c r="DY22" s="82"/>
      <c r="DZ22" s="82"/>
      <c r="EA22" s="82"/>
      <c r="EB22" s="188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2.3888888888888888</v>
      </c>
      <c r="EC22" s="195">
        <f>IF(EB22="","",EB22*5)</f>
        <v>11.944444444444445</v>
      </c>
      <c r="ED22" s="82"/>
      <c r="EE22" s="82"/>
      <c r="EF22" s="82"/>
      <c r="EG22" s="82"/>
      <c r="EH22" s="82"/>
      <c r="EI22" s="188">
        <f>IF(COUNT(EI20,EI16,EI13,EI10,EI4)=0,"",SUM($B$4*IF(COUNT(EI4)=0,0,EI4),$B$10*IF(COUNT(EI10)=0,0,EI10),$B$13*IF(COUNT(EI13)=0,0,EI13),$B$16*IF(COUNT(EI16)=0,0,EI16),$B$20*IF(COUNT(EI20)=0,0,EI20))/SUM($B$4*COUNT(EI4),$B$10*COUNT(EI10),$B$13*COUNT(EI13),$B$16*COUNT(EI16),$B$20*COUNT(EI20)))</f>
        <v>2.9351851851851851</v>
      </c>
      <c r="EJ22" s="212">
        <f>IF(EI22="","",EI22*5)</f>
        <v>14.675925925925926</v>
      </c>
      <c r="EK22" s="175"/>
      <c r="EL22" s="175"/>
      <c r="EM22" s="151"/>
      <c r="EN22" s="151"/>
      <c r="EO22" s="151"/>
      <c r="EP22" s="188">
        <f>IF(COUNT(EP20,EP16,EP13,EP10,EP4)=0,"",SUM($B$4*IF(COUNT(EP4)=0,0,EP4),$B$10*IF(COUNT(EP10)=0,0,EP10),$B$13*IF(COUNT(EP13)=0,0,EP13),$B$16*IF(COUNT(EP16)=0,0,EP16),$B$20*IF(COUNT(EP20)=0,0,EP20))/SUM($B$4*COUNT(EP4),$B$10*COUNT(EP10),$B$13*COUNT(EP13),$B$16*COUNT(EP16),$B$20*COUNT(EP20)))</f>
        <v>3.2222222222222219</v>
      </c>
      <c r="EQ22" s="189">
        <f>IF(EP22="","",EP22*5)</f>
        <v>16.111111111111111</v>
      </c>
      <c r="ER22" s="82"/>
      <c r="ES22" s="82"/>
      <c r="ET22" s="82"/>
      <c r="EU22" s="82"/>
      <c r="EV22" s="188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>3.8</v>
      </c>
      <c r="EW22" s="195">
        <f>IF(EV22="","",EV22*5)</f>
        <v>19</v>
      </c>
      <c r="EX22" s="82"/>
      <c r="EY22" s="82"/>
      <c r="EZ22" s="82"/>
      <c r="FA22" s="82"/>
      <c r="FB22" s="82"/>
      <c r="FC22" s="188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3.0833333333333335</v>
      </c>
      <c r="FD22" s="212">
        <f>IF(FC22="","",FC22*5)</f>
        <v>15.416666666666668</v>
      </c>
      <c r="FE22" s="175"/>
      <c r="FF22" s="175"/>
      <c r="FG22" s="151"/>
      <c r="FH22" s="151"/>
      <c r="FI22" s="151"/>
      <c r="FJ22" s="188">
        <f>IF(COUNT(FJ20,FJ16,FJ13,FJ10,FJ4)=0,"",SUM($B$4*IF(COUNT(FJ4)=0,0,FJ4),$B$10*IF(COUNT(FJ10)=0,0,FJ10),$B$13*IF(COUNT(FJ13)=0,0,FJ13),$B$16*IF(COUNT(FJ16)=0,0,FJ16),$B$20*IF(COUNT(FJ20)=0,0,FJ20))/SUM($B$4*COUNT(FJ4),$B$10*COUNT(FJ10),$B$13*COUNT(FJ13),$B$16*COUNT(FJ16),$B$20*COUNT(FJ20)))</f>
        <v>2.0555555555555558</v>
      </c>
      <c r="FK22" s="189">
        <f>IF(FJ22="","",FJ22*5)</f>
        <v>10.277777777777779</v>
      </c>
      <c r="FL22" s="82"/>
      <c r="FM22" s="82"/>
      <c r="FN22" s="82"/>
      <c r="FO22" s="82"/>
      <c r="FP22" s="188">
        <f>IF(COUNT(FP20,FP16,FP13,FP10,FP4)=0,"",SUM($B$4*IF(COUNT(FP4)=0,0,FP4),$B$10*IF(COUNT(FP10)=0,0,FP10),$B$13*IF(COUNT(FP13)=0,0,FP13),$B$16*IF(COUNT(FP16)=0,0,FP16),$B$20*IF(COUNT(FP20)=0,0,FP20))/SUM($B$4*COUNT(FP4),$B$10*COUNT(FP10),$B$13*COUNT(FP13),$B$16*COUNT(FP16),$B$20*COUNT(FP20)))</f>
        <v>2.6666666666666665</v>
      </c>
      <c r="FQ22" s="195">
        <f>IF(FP22="","",FP22*5)</f>
        <v>13.333333333333332</v>
      </c>
      <c r="FR22" s="82"/>
      <c r="FS22" s="82"/>
      <c r="FT22" s="82"/>
      <c r="FU22" s="82"/>
      <c r="FV22" s="82"/>
      <c r="FW22" s="188">
        <f>IF(COUNT(FW20,FW16,FW13,FW10,FW4)=0,"",SUM($B$4*IF(COUNT(FW4)=0,0,FW4),$B$10*IF(COUNT(FW10)=0,0,FW10),$B$13*IF(COUNT(FW13)=0,0,FW13),$B$16*IF(COUNT(FW16)=0,0,FW16),$B$20*IF(COUNT(FW20)=0,0,FW20))/SUM($B$4*COUNT(FW4),$B$10*COUNT(FW10),$B$13*COUNT(FW13),$B$16*COUNT(FW16),$B$20*COUNT(FW20)))</f>
        <v>2.6018518518518521</v>
      </c>
      <c r="FX22" s="212">
        <f>IF(FW22="","",FW22*5)</f>
        <v>13.00925925925926</v>
      </c>
      <c r="FY22" s="175"/>
      <c r="FZ22" s="175"/>
      <c r="GA22" s="151"/>
      <c r="GB22" s="151"/>
      <c r="GC22" s="151"/>
      <c r="GD22" s="188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>3.2777777777777781</v>
      </c>
      <c r="GE22" s="189">
        <f>IF(GD22="","",GD22*5)</f>
        <v>16.388888888888889</v>
      </c>
      <c r="GF22" s="82"/>
      <c r="GG22" s="82"/>
      <c r="GH22" s="82"/>
      <c r="GI22" s="82"/>
      <c r="GJ22" s="188">
        <f>IF(COUNT(GJ20,GJ16,GJ13,GJ10,GJ4)=0,"",SUM($B$4*IF(COUNT(GJ4)=0,0,GJ4),$B$10*IF(COUNT(GJ10)=0,0,GJ10),$B$13*IF(COUNT(GJ13)=0,0,GJ13),$B$16*IF(COUNT(GJ16)=0,0,GJ16),$B$20*IF(COUNT(GJ20)=0,0,GJ20))/SUM($B$4*COUNT(GJ4),$B$10*COUNT(GJ10),$B$13*COUNT(GJ13),$B$16*COUNT(GJ16),$B$20*COUNT(GJ20)))</f>
        <v>3.3611111111111112</v>
      </c>
      <c r="GK22" s="195">
        <f>IF(GJ22="","",GJ22*5)</f>
        <v>16.805555555555557</v>
      </c>
      <c r="GL22" s="82"/>
      <c r="GM22" s="82"/>
      <c r="GN22" s="82"/>
      <c r="GO22" s="82"/>
      <c r="GP22" s="82"/>
      <c r="GQ22" s="188">
        <f>IF(COUNT(GQ20,GQ16,GQ13,GQ10,GQ4)=0,"",SUM($B$4*IF(COUNT(GQ4)=0,0,GQ4),$B$10*IF(COUNT(GQ10)=0,0,GQ10),$B$13*IF(COUNT(GQ13)=0,0,GQ13),$B$16*IF(COUNT(GQ16)=0,0,GQ16),$B$20*IF(COUNT(GQ20)=0,0,GQ20))/SUM($B$4*COUNT(GQ4),$B$10*COUNT(GQ10),$B$13*COUNT(GQ13),$B$16*COUNT(GQ16),$B$20*COUNT(GQ20)))</f>
        <v>3.5555555555555558</v>
      </c>
      <c r="GR22" s="212">
        <f>IF(GQ22="","",GQ22*5)</f>
        <v>17.777777777777779</v>
      </c>
      <c r="GS22" s="175"/>
      <c r="GT22" s="175"/>
      <c r="GU22" s="151"/>
      <c r="GV22" s="151"/>
      <c r="GW22" s="151"/>
      <c r="GX22" s="188">
        <f>IF(COUNT(GX20,GX16,GX13,GX10,GX4)=0,"",SUM($B$4*IF(COUNT(GX4)=0,0,GX4),$B$10*IF(COUNT(GX10)=0,0,GX10),$B$13*IF(COUNT(GX13)=0,0,GX13),$B$16*IF(COUNT(GX16)=0,0,GX16),$B$20*IF(COUNT(GX20)=0,0,GX20))/SUM($B$4*COUNT(GX4),$B$10*COUNT(GX10),$B$13*COUNT(GX13),$B$16*COUNT(GX16),$B$20*COUNT(GX20)))</f>
        <v>1.6111111111111109</v>
      </c>
      <c r="GY22" s="189">
        <f>IF(GX22="","",GX22*5)</f>
        <v>8.0555555555555554</v>
      </c>
      <c r="GZ22" s="82"/>
      <c r="HA22" s="82"/>
      <c r="HB22" s="82"/>
      <c r="HC22" s="82"/>
      <c r="HD22" s="188">
        <f>IF(COUNT(HD20,HD16,HD13,HD10,HD4)=0,"",SUM($B$4*IF(COUNT(HD4)=0,0,HD4),$B$10*IF(COUNT(HD10)=0,0,HD10),$B$13*IF(COUNT(HD13)=0,0,HD13),$B$16*IF(COUNT(HD16)=0,0,HD16),$B$20*IF(COUNT(HD20)=0,0,HD20))/SUM($B$4*COUNT(HD4),$B$10*COUNT(HD10),$B$13*COUNT(HD13),$B$16*COUNT(HD16),$B$20*COUNT(HD20)))</f>
        <v>2.6</v>
      </c>
      <c r="HE22" s="195">
        <f>IF(HD22="","",HD22*5)</f>
        <v>13</v>
      </c>
      <c r="HF22" s="82"/>
      <c r="HG22" s="82"/>
      <c r="HH22" s="82"/>
      <c r="HI22" s="82"/>
      <c r="HJ22" s="82"/>
      <c r="HK22" s="188">
        <f>IF(COUNT(HK20,HK16,HK13,HK10,HK4)=0,"",SUM($B$4*IF(COUNT(HK4)=0,0,HK4),$B$10*IF(COUNT(HK10)=0,0,HK10),$B$13*IF(COUNT(HK13)=0,0,HK13),$B$16*IF(COUNT(HK16)=0,0,HK16),$B$20*IF(COUNT(HK20)=0,0,HK20))/SUM($B$4*COUNT(HK4),$B$10*COUNT(HK10),$B$13*COUNT(HK13),$B$16*COUNT(HK16),$B$20*COUNT(HK20)))</f>
        <v>2.7685185185185186</v>
      </c>
      <c r="HL22" s="212">
        <f>IF(HK22="","",HK22*5)</f>
        <v>13.842592592592593</v>
      </c>
      <c r="HM22" s="175"/>
      <c r="HN22" s="175"/>
      <c r="HO22" s="151"/>
      <c r="HP22" s="151"/>
      <c r="HQ22" s="151"/>
      <c r="HR22" s="188">
        <f>IF(COUNT(HR20,HR16,HR13,HR10,HR4)=0,"",SUM($B$4*IF(COUNT(HR4)=0,0,HR4),$B$10*IF(COUNT(HR10)=0,0,HR10),$B$13*IF(COUNT(HR13)=0,0,HR13),$B$16*IF(COUNT(HR16)=0,0,HR16),$B$20*IF(COUNT(HR20)=0,0,HR20))/SUM($B$4*COUNT(HR4),$B$10*COUNT(HR10),$B$13*COUNT(HR13),$B$16*COUNT(HR16),$B$20*COUNT(HR20)))</f>
        <v>2.6111111111111112</v>
      </c>
      <c r="HS22" s="189">
        <f>IF(HR22="","",HR22*5)</f>
        <v>13.055555555555555</v>
      </c>
      <c r="HT22" s="82"/>
      <c r="HU22" s="82"/>
      <c r="HV22" s="82"/>
      <c r="HW22" s="82"/>
      <c r="HX22" s="188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>3.2222222222222219</v>
      </c>
      <c r="HY22" s="195">
        <f>IF(HX22="","",HX22*5)</f>
        <v>16.111111111111111</v>
      </c>
      <c r="HZ22" s="82"/>
      <c r="IA22" s="82"/>
      <c r="IB22" s="82"/>
      <c r="IC22" s="82"/>
      <c r="ID22" s="82"/>
      <c r="IE22" s="188">
        <f>IF(COUNT(IE20,IE16,IE13,IE10,IE4)=0,"",SUM($B$4*IF(COUNT(IE4)=0,0,IE4),$B$10*IF(COUNT(IE10)=0,0,IE10),$B$13*IF(COUNT(IE13)=0,0,IE13),$B$16*IF(COUNT(IE16)=0,0,IE16),$B$20*IF(COUNT(IE20)=0,0,IE20))/SUM($B$4*COUNT(IE4),$B$10*COUNT(IE10),$B$13*COUNT(IE13),$B$16*COUNT(IE16),$B$20*COUNT(IE20)))</f>
        <v>3.4351851851851851</v>
      </c>
      <c r="IF22" s="212">
        <f>IF(IE22="","",IE22*5)</f>
        <v>17.175925925925924</v>
      </c>
      <c r="IG22" s="175"/>
      <c r="IH22" s="175"/>
      <c r="II22" s="151"/>
      <c r="IJ22" s="151"/>
      <c r="IK22" s="151"/>
      <c r="IL22" s="188">
        <f>IF(COUNT(IL20,IL16,IL13,IL10,IL4)=0,"",SUM($B$4*IF(COUNT(IL4)=0,0,IL4),$B$10*IF(COUNT(IL10)=0,0,IL10),$B$13*IF(COUNT(IL13)=0,0,IL13),$B$16*IF(COUNT(IL16)=0,0,IL16),$B$20*IF(COUNT(IL20)=0,0,IL20))/SUM($B$4*COUNT(IL4),$B$10*COUNT(IL10),$B$13*COUNT(IL13),$B$16*COUNT(IL16),$B$20*COUNT(IL20)))</f>
        <v>3.3333333333333335</v>
      </c>
      <c r="IM22" s="189">
        <f>IF(IL22="","",IL22*5)</f>
        <v>16.666666666666668</v>
      </c>
      <c r="IN22" s="82"/>
      <c r="IO22" s="82"/>
      <c r="IP22" s="82"/>
      <c r="IQ22" s="82"/>
      <c r="IR22" s="188">
        <f>IF(COUNT(IR20,IR16,IR13,IR10,IR4)=0,"",SUM($B$4*IF(COUNT(IR4)=0,0,IR4),$B$10*IF(COUNT(IR10)=0,0,IR10),$B$13*IF(COUNT(IR13)=0,0,IR13),$B$16*IF(COUNT(IR16)=0,0,IR16),$B$20*IF(COUNT(IR20)=0,0,IR20))/SUM($B$4*COUNT(IR4),$B$10*COUNT(IR10),$B$13*COUNT(IR13),$B$16*COUNT(IR16),$B$20*COUNT(IR20)))</f>
        <v>2.9166666666666665</v>
      </c>
      <c r="IS22" s="195">
        <f>IF(IR22="","",IR22*5)</f>
        <v>14.583333333333332</v>
      </c>
      <c r="IT22" s="82"/>
      <c r="IU22" s="82"/>
      <c r="IV22" s="82"/>
      <c r="IW22" s="82"/>
      <c r="IX22" s="82"/>
      <c r="IY22" s="188">
        <f>IF(COUNT(IY20,IY16,IY13,IY10,IY4)=0,"",SUM($B$4*IF(COUNT(IY4)=0,0,IY4),$B$10*IF(COUNT(IY10)=0,0,IY10),$B$13*IF(COUNT(IY13)=0,0,IY13),$B$16*IF(COUNT(IY16)=0,0,IY16),$B$20*IF(COUNT(IY20)=0,0,IY20))/SUM($B$4*COUNT(IY4),$B$10*COUNT(IY10),$B$13*COUNT(IY13),$B$16*COUNT(IY16),$B$20*COUNT(IY20)))</f>
        <v>2.8148148148148149</v>
      </c>
      <c r="IZ22" s="212">
        <f>IF(IY22="","",IY22*5)</f>
        <v>14.074074074074074</v>
      </c>
      <c r="JA22" s="175"/>
      <c r="JB22" s="175"/>
      <c r="JC22" s="151"/>
      <c r="JD22" s="151"/>
      <c r="JE22" s="151"/>
      <c r="JF22" s="188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>3.1666666666666665</v>
      </c>
      <c r="JG22" s="189">
        <f>IF(JF22="","",JF22*5)</f>
        <v>15.833333333333332</v>
      </c>
      <c r="JH22" s="82"/>
      <c r="JI22" s="82"/>
      <c r="JJ22" s="82"/>
      <c r="JK22" s="82"/>
      <c r="JL22" s="188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3</v>
      </c>
      <c r="JM22" s="195">
        <f>IF(JL22="","",JL22*5)</f>
        <v>15</v>
      </c>
      <c r="JN22" s="82"/>
      <c r="JO22" s="82"/>
      <c r="JP22" s="82"/>
      <c r="JQ22" s="82"/>
      <c r="JR22" s="82"/>
      <c r="JS22" s="188">
        <f>IF(COUNT(JS20,JS16,JS13,JS10,JS4)=0,"",SUM($B$4*IF(COUNT(JS4)=0,0,JS4),$B$10*IF(COUNT(JS10)=0,0,JS10),$B$13*IF(COUNT(JS13)=0,0,JS13),$B$16*IF(COUNT(JS16)=0,0,JS16),$B$20*IF(COUNT(JS20)=0,0,JS20))/SUM($B$4*COUNT(JS4),$B$10*COUNT(JS10),$B$13*COUNT(JS13),$B$16*COUNT(JS16),$B$20*COUNT(JS20)))</f>
        <v>3.4629629629629624</v>
      </c>
      <c r="JT22" s="212">
        <f>IF(JS22="","",JS22*5)</f>
        <v>17.314814814814813</v>
      </c>
      <c r="JU22" s="175"/>
      <c r="JV22" s="175"/>
      <c r="JW22" s="151"/>
      <c r="JX22" s="151"/>
      <c r="JY22" s="151"/>
      <c r="JZ22" s="188">
        <f>IF(COUNT(JZ20,JZ16,JZ13,JZ10,JZ4)=0,"",SUM($B$4*IF(COUNT(JZ4)=0,0,JZ4),$B$10*IF(COUNT(JZ10)=0,0,JZ10),$B$13*IF(COUNT(JZ13)=0,0,JZ13),$B$16*IF(COUNT(JZ16)=0,0,JZ16),$B$20*IF(COUNT(JZ20)=0,0,JZ20))/SUM($B$4*COUNT(JZ4),$B$10*COUNT(JZ10),$B$13*COUNT(JZ13),$B$16*COUNT(JZ16),$B$20*COUNT(JZ20)))</f>
        <v>2.7222222222222219</v>
      </c>
      <c r="KA22" s="189">
        <f>IF(JZ22="","",JZ22*5)</f>
        <v>13.611111111111109</v>
      </c>
      <c r="KB22" s="82"/>
      <c r="KC22" s="82"/>
      <c r="KD22" s="82"/>
      <c r="KE22" s="82"/>
      <c r="KF22" s="188">
        <f>IF(COUNT(KF20,KF16,KF13,KF10,KF4)=0,"",SUM($B$4*IF(COUNT(KF4)=0,0,KF4),$B$10*IF(COUNT(KF10)=0,0,KF10),$B$13*IF(COUNT(KF13)=0,0,KF13),$B$16*IF(COUNT(KF16)=0,0,KF16),$B$20*IF(COUNT(KF20)=0,0,KF20))/SUM($B$4*COUNT(KF4),$B$10*COUNT(KF10),$B$13*COUNT(KF13),$B$16*COUNT(KF16),$B$20*COUNT(KF20)))</f>
        <v>2.8055555555555558</v>
      </c>
      <c r="KG22" s="195">
        <f>IF(KF22="","",KF22*5)</f>
        <v>14.027777777777779</v>
      </c>
      <c r="KH22" s="82"/>
      <c r="KI22" s="82"/>
      <c r="KJ22" s="82"/>
      <c r="KK22" s="82"/>
      <c r="KL22" s="82"/>
      <c r="KM22" s="188">
        <f>IF(COUNT(KM20,KM16,KM13,KM10,KM4)=0,"",SUM($B$4*IF(COUNT(KM4)=0,0,KM4),$B$10*IF(COUNT(KM10)=0,0,KM10),$B$13*IF(COUNT(KM13)=0,0,KM13),$B$16*IF(COUNT(KM16)=0,0,KM16),$B$20*IF(COUNT(KM20)=0,0,KM20))/SUM($B$4*COUNT(KM4),$B$10*COUNT(KM10),$B$13*COUNT(KM13),$B$16*COUNT(KM16),$B$20*COUNT(KM20)))</f>
        <v>3.3425925925925921</v>
      </c>
      <c r="KN22" s="212">
        <f>IF(KM22="","",KM22*5)</f>
        <v>16.712962962962962</v>
      </c>
      <c r="KO22" s="175"/>
      <c r="KP22" s="175"/>
      <c r="KQ22" s="151"/>
      <c r="KR22" s="151"/>
      <c r="KS22" s="151"/>
      <c r="KT22" s="188">
        <f>IF(COUNT(KT20,KT16,KT13,KT10,KT4)=0,"",SUM($B$4*IF(COUNT(KT4)=0,0,KT4),$B$10*IF(COUNT(KT10)=0,0,KT10),$B$13*IF(COUNT(KT13)=0,0,KT13),$B$16*IF(COUNT(KT16)=0,0,KT16),$B$20*IF(COUNT(KT20)=0,0,KT20))/SUM($B$4*COUNT(KT4),$B$10*COUNT(KT10),$B$13*COUNT(KT13),$B$16*COUNT(KT16),$B$20*COUNT(KT20)))</f>
        <v>2.2777777777777781</v>
      </c>
      <c r="KU22" s="189">
        <f>IF(KT22="","",KT22*5)</f>
        <v>11.388888888888891</v>
      </c>
      <c r="KV22" s="82"/>
      <c r="KW22" s="82"/>
      <c r="KX22" s="82"/>
      <c r="KY22" s="82"/>
      <c r="KZ22" s="188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2.4444444444444446</v>
      </c>
      <c r="LA22" s="195">
        <f>IF(KZ22="","",KZ22*5)</f>
        <v>12.222222222222223</v>
      </c>
      <c r="LB22" s="82"/>
      <c r="LC22" s="82"/>
      <c r="LD22" s="82"/>
      <c r="LE22" s="82"/>
      <c r="LF22" s="82"/>
      <c r="LG22" s="188">
        <f>IF(COUNT(LG20,LG16,LG13,LG10,LG4)=0,"",SUM($B$4*IF(COUNT(LG4)=0,0,LG4),$B$10*IF(COUNT(LG10)=0,0,LG10),$B$13*IF(COUNT(LG13)=0,0,LG13),$B$16*IF(COUNT(LG16)=0,0,LG16),$B$20*IF(COUNT(LG20)=0,0,LG20))/SUM($B$4*COUNT(LG4),$B$10*COUNT(LG10),$B$13*COUNT(LG13),$B$16*COUNT(LG16),$B$20*COUNT(LG20)))</f>
        <v>2.6574074074074074</v>
      </c>
      <c r="LH22" s="212">
        <f>IF(LG22="","",LG22*5)</f>
        <v>13.287037037037038</v>
      </c>
      <c r="LI22" s="175"/>
      <c r="LJ22" s="175"/>
      <c r="LK22" s="151"/>
      <c r="LL22" s="151"/>
      <c r="LM22" s="151"/>
      <c r="LN22" s="188" t="str">
        <f>IF(COUNT(LN20,LN16,LN13,LN10,LN4)=0,"",SUM($B$4*IF(COUNT(LN4)=0,0,LN4),$B$10*IF(COUNT(LN10)=0,0,LN10),$B$13*IF(COUNT(LN13)=0,0,LN13),$B$16*IF(COUNT(LN16)=0,0,LN16),$B$20*IF(COUNT(LN20)=0,0,LN20))/SUM($B$4*COUNT(LN4),$B$10*COUNT(LN10),$B$13*COUNT(LN13),$B$16*COUNT(LN16),$B$20*COUNT(LN20)))</f>
        <v/>
      </c>
      <c r="LO22" s="189" t="str">
        <f>IF(LN22="","",LN22*5)</f>
        <v/>
      </c>
      <c r="LP22" s="82"/>
      <c r="LQ22" s="82"/>
      <c r="LR22" s="82"/>
      <c r="LS22" s="82"/>
      <c r="LT22" s="188" t="str">
        <f>IF(COUNT(LT20,LT16,LT13,LT10,LT4)=0,"",SUM($B$4*IF(COUNT(LT4)=0,0,LT4),$B$10*IF(COUNT(LT10)=0,0,LT10),$B$13*IF(COUNT(LT13)=0,0,LT13),$B$16*IF(COUNT(LT16)=0,0,LT16),$B$20*IF(COUNT(LT20)=0,0,LT20))/SUM($B$4*COUNT(LT4),$B$10*COUNT(LT10),$B$13*COUNT(LT13),$B$16*COUNT(LT16),$B$20*COUNT(LT20)))</f>
        <v/>
      </c>
      <c r="LU22" s="195" t="str">
        <f>IF(LT22="","",LT22*5)</f>
        <v/>
      </c>
      <c r="LV22" s="82"/>
      <c r="LW22" s="82"/>
      <c r="LX22" s="82"/>
      <c r="LY22" s="82"/>
      <c r="LZ22" s="82"/>
      <c r="MA22" s="188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12" t="str">
        <f>IF(MA22="","",MA22*5)</f>
        <v/>
      </c>
      <c r="MC22" s="175"/>
      <c r="MD22" s="175"/>
      <c r="ME22" s="151"/>
      <c r="MF22" s="151"/>
      <c r="MG22" s="151"/>
      <c r="MH22" s="188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2.3333333333333335</v>
      </c>
      <c r="MI22" s="189">
        <f>IF(MH22="","",MH22*5)</f>
        <v>11.666666666666668</v>
      </c>
      <c r="MJ22" s="82"/>
      <c r="MK22" s="82"/>
      <c r="ML22" s="82"/>
      <c r="MM22" s="82"/>
      <c r="MN22" s="188">
        <f>IF(COUNT(MN20,MN16,MN13,MN10,MN4)=0,"",SUM($B$4*IF(COUNT(MN4)=0,0,MN4),$B$10*IF(COUNT(MN10)=0,0,MN10),$B$13*IF(COUNT(MN13)=0,0,MN13),$B$16*IF(COUNT(MN16)=0,0,MN16),$B$20*IF(COUNT(MN20)=0,0,MN20))/SUM($B$4*COUNT(MN4),$B$10*COUNT(MN10),$B$13*COUNT(MN13),$B$16*COUNT(MN16),$B$20*COUNT(MN20)))</f>
        <v>2.5833333333333335</v>
      </c>
      <c r="MO22" s="195">
        <f>IF(MN22="","",MN22*5)</f>
        <v>12.916666666666668</v>
      </c>
      <c r="MP22" s="82"/>
      <c r="MQ22" s="82"/>
      <c r="MR22" s="82"/>
      <c r="MS22" s="82"/>
      <c r="MT22" s="82"/>
      <c r="MU22" s="188">
        <f>IF(COUNT(MU20,MU16,MU13,MU10,MU4)=0,"",SUM($B$4*IF(COUNT(MU4)=0,0,MU4),$B$10*IF(COUNT(MU10)=0,0,MU10),$B$13*IF(COUNT(MU13)=0,0,MU13),$B$16*IF(COUNT(MU16)=0,0,MU16),$B$20*IF(COUNT(MU20)=0,0,MU20))/SUM($B$4*COUNT(MU4),$B$10*COUNT(MU10),$B$13*COUNT(MU13),$B$16*COUNT(MU16),$B$20*COUNT(MU20)))</f>
        <v>3.2037037037037037</v>
      </c>
      <c r="MV22" s="212">
        <f>IF(MU22="","",MU22*5)</f>
        <v>16.018518518518519</v>
      </c>
      <c r="MW22" s="175"/>
      <c r="MX22" s="175"/>
      <c r="MY22" s="151"/>
      <c r="MZ22" s="151"/>
      <c r="NA22" s="151"/>
      <c r="NB22" s="188">
        <f>IF(COUNT(NB20,NB16,NB13,NB10,NB4)=0,"",SUM($B$4*IF(COUNT(NB4)=0,0,NB4),$B$10*IF(COUNT(NB10)=0,0,NB10),$B$13*IF(COUNT(NB13)=0,0,NB13),$B$16*IF(COUNT(NB16)=0,0,NB16),$B$20*IF(COUNT(NB20)=0,0,NB20))/SUM($B$4*COUNT(NB4),$B$10*COUNT(NB10),$B$13*COUNT(NB13),$B$16*COUNT(NB16),$B$20*COUNT(NB20)))</f>
        <v>1.1666666666666667</v>
      </c>
      <c r="NC22" s="189">
        <f>IF(NB22="","",NB22*5)</f>
        <v>5.8333333333333339</v>
      </c>
      <c r="ND22" s="82"/>
      <c r="NE22" s="82"/>
      <c r="NF22" s="82"/>
      <c r="NG22" s="82"/>
      <c r="NH22" s="188">
        <f>IF(COUNT(NH20,NH16,NH13,NH10,NH4)=0,"",SUM($B$4*IF(COUNT(NH4)=0,0,NH4),$B$10*IF(COUNT(NH10)=0,0,NH10),$B$13*IF(COUNT(NH13)=0,0,NH13),$B$16*IF(COUNT(NH16)=0,0,NH16),$B$20*IF(COUNT(NH20)=0,0,NH20))/SUM($B$4*COUNT(NH4),$B$10*COUNT(NH10),$B$13*COUNT(NH13),$B$16*COUNT(NH16),$B$20*COUNT(NH20)))</f>
        <v>2.5277777777777781</v>
      </c>
      <c r="NI22" s="195">
        <f>IF(NH22="","",NH22*5)</f>
        <v>12.638888888888891</v>
      </c>
      <c r="NJ22" s="82"/>
      <c r="NK22" s="82"/>
      <c r="NL22" s="82"/>
      <c r="NM22" s="82"/>
      <c r="NN22" s="82"/>
      <c r="NO22" s="188">
        <f>IF(COUNT(NO20,NO16,NO13,NO10,NO4)=0,"",SUM($B$4*IF(COUNT(NO4)=0,0,NO4),$B$10*IF(COUNT(NO10)=0,0,NO10),$B$13*IF(COUNT(NO13)=0,0,NO13),$B$16*IF(COUNT(NO16)=0,0,NO16),$B$20*IF(COUNT(NO20)=0,0,NO20))/SUM($B$4*COUNT(NO4),$B$10*COUNT(NO10),$B$13*COUNT(NO13),$B$16*COUNT(NO16),$B$20*COUNT(NO20)))</f>
        <v>3.0092592592592591</v>
      </c>
      <c r="NP22" s="212">
        <f>IF(NO22="","",NO22*5)</f>
        <v>15.046296296296296</v>
      </c>
      <c r="NQ22" s="175"/>
      <c r="NR22" s="175"/>
      <c r="NS22" s="151"/>
      <c r="NT22" s="151"/>
      <c r="NU22" s="151"/>
      <c r="NV22" s="188">
        <f>IF(COUNT(NV20,NV16,NV13,NV10,NV4)=0,"",SUM($B$4*IF(COUNT(NV4)=0,0,NV4),$B$10*IF(COUNT(NV10)=0,0,NV10),$B$13*IF(COUNT(NV13)=0,0,NV13),$B$16*IF(COUNT(NV16)=0,0,NV16),$B$20*IF(COUNT(NV20)=0,0,NV20))/SUM($B$4*COUNT(NV4),$B$10*COUNT(NV10),$B$13*COUNT(NV13),$B$16*COUNT(NV16),$B$20*COUNT(NV20)))</f>
        <v>2.1666666666666665</v>
      </c>
      <c r="NW22" s="189">
        <f>IF(NV22="","",NV22*5)</f>
        <v>10.833333333333332</v>
      </c>
      <c r="NX22" s="82"/>
      <c r="NY22" s="82"/>
      <c r="NZ22" s="82"/>
      <c r="OA22" s="82"/>
      <c r="OB22" s="188">
        <f>IF(COUNT(OB20,OB16,OB13,OB10,OB4)=0,"",SUM($B$4*IF(COUNT(OB4)=0,0,OB4),$B$10*IF(COUNT(OB10)=0,0,OB10),$B$13*IF(COUNT(OB13)=0,0,OB13),$B$16*IF(COUNT(OB16)=0,0,OB16),$B$20*IF(COUNT(OB20)=0,0,OB20))/SUM($B$4*COUNT(OB4),$B$10*COUNT(OB10),$B$13*COUNT(OB13),$B$16*COUNT(OB16),$B$20*COUNT(OB20)))</f>
        <v>2.6944444444444442</v>
      </c>
      <c r="OC22" s="195">
        <f>IF(OB22="","",OB22*5)</f>
        <v>13.472222222222221</v>
      </c>
      <c r="OD22" s="82"/>
      <c r="OE22" s="82"/>
      <c r="OF22" s="82"/>
      <c r="OG22" s="82"/>
      <c r="OH22" s="82"/>
      <c r="OI22" s="188">
        <f>IF(COUNT(OI20,OI16,OI13,OI10,OI4)=0,"",SUM($B$4*IF(COUNT(OI4)=0,0,OI4),$B$10*IF(COUNT(OI10)=0,0,OI10),$B$13*IF(COUNT(OI13)=0,0,OI13),$B$16*IF(COUNT(OI16)=0,0,OI16),$B$20*IF(COUNT(OI20)=0,0,OI20))/SUM($B$4*COUNT(OI4),$B$10*COUNT(OI10),$B$13*COUNT(OI13),$B$16*COUNT(OI16),$B$20*COUNT(OI20)))</f>
        <v>2.8888888888888893</v>
      </c>
      <c r="OJ22" s="212">
        <f>IF(OI22="","",OI22*5)</f>
        <v>14.444444444444446</v>
      </c>
      <c r="OK22" s="175"/>
      <c r="OL22" s="175"/>
      <c r="OM22" s="151"/>
      <c r="ON22" s="151"/>
      <c r="OO22" s="151"/>
      <c r="OP22" s="188">
        <f>IF(COUNT(OP20,OP16,OP13,OP10,OP4)=0,"",SUM($B$4*IF(COUNT(OP4)=0,0,OP4),$B$10*IF(COUNT(OP10)=0,0,OP10),$B$13*IF(COUNT(OP13)=0,0,OP13),$B$16*IF(COUNT(OP16)=0,0,OP16),$B$20*IF(COUNT(OP20)=0,0,OP20))/SUM($B$4*COUNT(OP4),$B$10*COUNT(OP10),$B$13*COUNT(OP13),$B$16*COUNT(OP16),$B$20*COUNT(OP20)))</f>
        <v>2.3888888888888888</v>
      </c>
      <c r="OQ22" s="189">
        <f>IF(OP22="","",OP22*5)</f>
        <v>11.944444444444445</v>
      </c>
      <c r="OR22" s="82"/>
      <c r="OS22" s="82"/>
      <c r="OT22" s="82"/>
      <c r="OU22" s="82"/>
      <c r="OV22" s="188">
        <f>IF(COUNT(OV20,OV16,OV13,OV10,OV4)=0,"",SUM($B$4*IF(COUNT(OV4)=0,0,OV4),$B$10*IF(COUNT(OV10)=0,0,OV10),$B$13*IF(COUNT(OV13)=0,0,OV13),$B$16*IF(COUNT(OV16)=0,0,OV16),$B$20*IF(COUNT(OV20)=0,0,OV20))/SUM($B$4*COUNT(OV4),$B$10*COUNT(OV10),$B$13*COUNT(OV13),$B$16*COUNT(OV16),$B$20*COUNT(OV20)))</f>
        <v>3.3611111111111112</v>
      </c>
      <c r="OW22" s="195">
        <f>IF(OV22="","",OV22*5)</f>
        <v>16.805555555555557</v>
      </c>
      <c r="OX22" s="82"/>
      <c r="OY22" s="82"/>
      <c r="OZ22" s="82"/>
      <c r="PA22" s="82"/>
      <c r="PB22" s="82"/>
      <c r="PC22" s="188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3.0370370370370376</v>
      </c>
      <c r="PD22" s="212">
        <f>IF(PC22="","",PC22*5)</f>
        <v>15.185185185185189</v>
      </c>
      <c r="PE22" s="175"/>
      <c r="PF22" s="175"/>
      <c r="PG22" s="151"/>
      <c r="PH22" s="151"/>
      <c r="PI22" s="151"/>
      <c r="PJ22" s="188">
        <f>IF(COUNT(PJ20,PJ16,PJ13,PJ10,PJ4)=0,"",SUM($B$4*IF(COUNT(PJ4)=0,0,PJ4),$B$10*IF(COUNT(PJ10)=0,0,PJ10),$B$13*IF(COUNT(PJ13)=0,0,PJ13),$B$16*IF(COUNT(PJ16)=0,0,PJ16),$B$20*IF(COUNT(PJ20)=0,0,PJ20))/SUM($B$4*COUNT(PJ4),$B$10*COUNT(PJ10),$B$13*COUNT(PJ13),$B$16*COUNT(PJ16),$B$20*COUNT(PJ20)))</f>
        <v>3.4</v>
      </c>
      <c r="PK22" s="189">
        <f>IF(PJ22="","",PJ22*5)</f>
        <v>17</v>
      </c>
      <c r="PL22" s="82"/>
      <c r="PM22" s="82"/>
      <c r="PN22" s="82"/>
      <c r="PO22" s="82"/>
      <c r="PP22" s="188">
        <f>IF(COUNT(PP20,PP16,PP13,PP10,PP4)=0,"",SUM($B$4*IF(COUNT(PP4)=0,0,PP4),$B$10*IF(COUNT(PP10)=0,0,PP10),$B$13*IF(COUNT(PP13)=0,0,PP13),$B$16*IF(COUNT(PP16)=0,0,PP16),$B$20*IF(COUNT(PP20)=0,0,PP20))/SUM($B$4*COUNT(PP4),$B$10*COUNT(PP10),$B$13*COUNT(PP13),$B$16*COUNT(PP16),$B$20*COUNT(PP20)))</f>
        <v>3.4444444444444446</v>
      </c>
      <c r="PQ22" s="195">
        <f>IF(PP22="","",PP22*5)</f>
        <v>17.222222222222221</v>
      </c>
      <c r="PR22" s="82"/>
      <c r="PS22" s="82"/>
      <c r="PT22" s="82"/>
      <c r="PU22" s="82"/>
      <c r="PV22" s="82"/>
      <c r="PW22" s="188">
        <f>IF(COUNT(PW20,PW16,PW13,PW10,PW4)=0,"",SUM($B$4*IF(COUNT(PW4)=0,0,PW4),$B$10*IF(COUNT(PW10)=0,0,PW10),$B$13*IF(COUNT(PW13)=0,0,PW13),$B$16*IF(COUNT(PW16)=0,0,PW16),$B$20*IF(COUNT(PW20)=0,0,PW20))/SUM($B$4*COUNT(PW4),$B$10*COUNT(PW10),$B$13*COUNT(PW13),$B$16*COUNT(PW16),$B$20*COUNT(PW20)))</f>
        <v>3.425925925925926</v>
      </c>
      <c r="PX22" s="212">
        <f>IF(PW22="","",PW22*5)</f>
        <v>17.12962962962963</v>
      </c>
      <c r="PY22" s="175"/>
      <c r="PZ22" s="175"/>
      <c r="QA22" s="151"/>
      <c r="QB22" s="151"/>
      <c r="QC22" s="151"/>
      <c r="QD22" s="188">
        <f>IF(COUNT(QD20,QD16,QD13,QD10,QD4)=0,"",SUM($B$4*IF(COUNT(QD4)=0,0,QD4),$B$10*IF(COUNT(QD10)=0,0,QD10),$B$13*IF(COUNT(QD13)=0,0,QD13),$B$16*IF(COUNT(QD16)=0,0,QD16),$B$20*IF(COUNT(QD20)=0,0,QD20))/SUM($B$4*COUNT(QD4),$B$10*COUNT(QD10),$B$13*COUNT(QD13),$B$16*COUNT(QD16),$B$20*COUNT(QD20)))</f>
        <v>3.4444444444444446</v>
      </c>
      <c r="QE22" s="189">
        <f>IF(QD22="","",QD22*5)</f>
        <v>17.222222222222221</v>
      </c>
      <c r="QF22" s="82"/>
      <c r="QG22" s="82"/>
      <c r="QH22" s="82"/>
      <c r="QI22" s="82"/>
      <c r="QJ22" s="188">
        <f>IF(COUNT(QJ20,QJ16,QJ13,QJ10,QJ4)=0,"",SUM($B$4*IF(COUNT(QJ4)=0,0,QJ4),$B$10*IF(COUNT(QJ10)=0,0,QJ10),$B$13*IF(COUNT(QJ13)=0,0,QJ13),$B$16*IF(COUNT(QJ16)=0,0,QJ16),$B$20*IF(COUNT(QJ20)=0,0,QJ20))/SUM($B$4*COUNT(QJ4),$B$10*COUNT(QJ10),$B$13*COUNT(QJ13),$B$16*COUNT(QJ16),$B$20*COUNT(QJ20)))</f>
        <v>3.1666666666666665</v>
      </c>
      <c r="QK22" s="195">
        <f>IF(QJ22="","",QJ22*5)</f>
        <v>15.833333333333332</v>
      </c>
      <c r="QL22" s="82"/>
      <c r="QM22" s="82"/>
      <c r="QN22" s="82"/>
      <c r="QO22" s="82"/>
      <c r="QP22" s="82"/>
      <c r="QQ22" s="188">
        <f>IF(COUNT(QQ20,QQ16,QQ13,QQ10,QQ4)=0,"",SUM($B$4*IF(COUNT(QQ4)=0,0,QQ4),$B$10*IF(COUNT(QQ10)=0,0,QQ10),$B$13*IF(COUNT(QQ13)=0,0,QQ13),$B$16*IF(COUNT(QQ16)=0,0,QQ16),$B$20*IF(COUNT(QQ20)=0,0,QQ20))/SUM($B$4*COUNT(QQ4),$B$10*COUNT(QQ10),$B$13*COUNT(QQ13),$B$16*COUNT(QQ16),$B$20*COUNT(QQ20)))</f>
        <v>3.7222222222222228</v>
      </c>
      <c r="QR22" s="212">
        <f>IF(QQ22="","",QQ22*5)</f>
        <v>18.611111111111114</v>
      </c>
      <c r="QS22" s="175"/>
      <c r="QT22" s="175"/>
      <c r="QU22" s="151"/>
      <c r="QV22" s="151"/>
      <c r="QW22" s="151"/>
      <c r="QX22" s="188">
        <f>IF(COUNT(QX20,QX16,QX13,QX10,QX4)=0,"",SUM($B$4*IF(COUNT(QX4)=0,0,QX4),$B$10*IF(COUNT(QX10)=0,0,QX10),$B$13*IF(COUNT(QX13)=0,0,QX13),$B$16*IF(COUNT(QX16)=0,0,QX16),$B$20*IF(COUNT(QX20)=0,0,QX20))/SUM($B$4*COUNT(QX4),$B$10*COUNT(QX10),$B$13*COUNT(QX13),$B$16*COUNT(QX16),$B$20*COUNT(QX20)))</f>
        <v>2.2777777777777777</v>
      </c>
      <c r="QY22" s="189">
        <f>IF(QX22="","",QX22*5)</f>
        <v>11.388888888888889</v>
      </c>
      <c r="QZ22" s="82"/>
      <c r="RA22" s="82"/>
      <c r="RB22" s="82"/>
      <c r="RC22" s="82"/>
      <c r="RD22" s="188">
        <f>IF(COUNT(RD20,RD16,RD13,RD10,RD4)=0,"",SUM($B$4*IF(COUNT(RD4)=0,0,RD4),$B$10*IF(COUNT(RD10)=0,0,RD10),$B$13*IF(COUNT(RD13)=0,0,RD13),$B$16*IF(COUNT(RD16)=0,0,RD16),$B$20*IF(COUNT(RD20)=0,0,RD20))/SUM($B$4*COUNT(RD4),$B$10*COUNT(RD10),$B$13*COUNT(RD13),$B$16*COUNT(RD16),$B$20*COUNT(RD20)))</f>
        <v>2.8888888888888888</v>
      </c>
      <c r="RE22" s="195">
        <f>IF(RD22="","",RD22*5)</f>
        <v>14.444444444444445</v>
      </c>
      <c r="RF22" s="82"/>
      <c r="RG22" s="82"/>
      <c r="RH22" s="82"/>
      <c r="RI22" s="82"/>
      <c r="RJ22" s="82"/>
      <c r="RK22" s="188">
        <f>IF(COUNT(RK20,RK16,RK13,RK10,RK4)=0,"",SUM($B$4*IF(COUNT(RK4)=0,0,RK4),$B$10*IF(COUNT(RK10)=0,0,RK10),$B$13*IF(COUNT(RK13)=0,0,RK13),$B$16*IF(COUNT(RK16)=0,0,RK16),$B$20*IF(COUNT(RK20)=0,0,RK20))/SUM($B$4*COUNT(RK4),$B$10*COUNT(RK10),$B$13*COUNT(RK13),$B$16*COUNT(RK16),$B$20*COUNT(RK20)))</f>
        <v>2.5648148148148149</v>
      </c>
      <c r="RL22" s="212">
        <f>IF(RK22="","",RK22*5)</f>
        <v>12.824074074074074</v>
      </c>
      <c r="RM22" s="175"/>
      <c r="RN22" s="175"/>
      <c r="RO22" s="151"/>
      <c r="RP22" s="151"/>
      <c r="RQ22" s="151"/>
      <c r="RR22" s="188">
        <f>IF(COUNT(RR20,RR16,RR13,RR10,RR4)=0,"",SUM($B$4*IF(COUNT(RR4)=0,0,RR4),$B$10*IF(COUNT(RR10)=0,0,RR10),$B$13*IF(COUNT(RR13)=0,0,RR13),$B$16*IF(COUNT(RR16)=0,0,RR16),$B$20*IF(COUNT(RR20)=0,0,RR20))/SUM($B$4*COUNT(RR4),$B$10*COUNT(RR10),$B$13*COUNT(RR13),$B$16*COUNT(RR16),$B$20*COUNT(RR20)))</f>
        <v>3</v>
      </c>
      <c r="RS22" s="189">
        <f>IF(RR22="","",RR22*5)</f>
        <v>15</v>
      </c>
      <c r="RT22" s="82"/>
      <c r="RU22" s="82"/>
      <c r="RV22" s="82"/>
      <c r="RW22" s="82"/>
      <c r="RX22" s="188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>2.8888888888888888</v>
      </c>
      <c r="RY22" s="195">
        <f>IF(RX22="","",RX22*5)</f>
        <v>14.444444444444445</v>
      </c>
      <c r="RZ22" s="82"/>
      <c r="SA22" s="82"/>
      <c r="SB22" s="82"/>
      <c r="SC22" s="82"/>
      <c r="SD22" s="82"/>
      <c r="SE22" s="188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>3.1203703703703702</v>
      </c>
      <c r="SF22" s="212">
        <f>IF(SE22="","",SE22*5)</f>
        <v>15.601851851851851</v>
      </c>
      <c r="SG22" s="175"/>
      <c r="SH22" s="175"/>
      <c r="SI22" s="151"/>
      <c r="SJ22" s="151"/>
      <c r="SK22" s="151"/>
      <c r="SL22" s="188">
        <f>IF(COUNT(SL20,SL16,SL13,SL10,SL4)=0,"",SUM($B$4*IF(COUNT(SL4)=0,0,SL4),$B$10*IF(COUNT(SL10)=0,0,SL10),$B$13*IF(COUNT(SL13)=0,0,SL13),$B$16*IF(COUNT(SL16)=0,0,SL16),$B$20*IF(COUNT(SL20)=0,0,SL20))/SUM($B$4*COUNT(SL4),$B$10*COUNT(SL10),$B$13*COUNT(SL13),$B$16*COUNT(SL16),$B$20*COUNT(SL20)))</f>
        <v>1.9444444444444444</v>
      </c>
      <c r="SM22" s="189">
        <f>IF(SL22="","",SL22*5)</f>
        <v>9.7222222222222214</v>
      </c>
      <c r="SN22" s="82"/>
      <c r="SO22" s="82"/>
      <c r="SP22" s="82"/>
      <c r="SQ22" s="82"/>
      <c r="SR22" s="188">
        <f>IF(COUNT(SR20,SR16,SR13,SR10,SR4)=0,"",SUM($B$4*IF(COUNT(SR4)=0,0,SR4),$B$10*IF(COUNT(SR10)=0,0,SR10),$B$13*IF(COUNT(SR13)=0,0,SR13),$B$16*IF(COUNT(SR16)=0,0,SR16),$B$20*IF(COUNT(SR20)=0,0,SR20))/SUM($B$4*COUNT(SR4),$B$10*COUNT(SR10),$B$13*COUNT(SR13),$B$16*COUNT(SR16),$B$20*COUNT(SR20)))</f>
        <v>2.5277777777777781</v>
      </c>
      <c r="SS22" s="195">
        <f>IF(SR22="","",SR22*5)</f>
        <v>12.638888888888891</v>
      </c>
      <c r="ST22" s="82"/>
      <c r="SU22" s="82"/>
      <c r="SV22" s="82"/>
      <c r="SW22" s="82"/>
      <c r="SX22" s="82"/>
      <c r="SY22" s="188">
        <f>IF(COUNT(SY20,SY16,SY13,SY10,SY4)=0,"",SUM($B$4*IF(COUNT(SY4)=0,0,SY4),$B$10*IF(COUNT(SY10)=0,0,SY10),$B$13*IF(COUNT(SY13)=0,0,SY13),$B$16*IF(COUNT(SY16)=0,0,SY16),$B$20*IF(COUNT(SY20)=0,0,SY20))/SUM($B$4*COUNT(SY4),$B$10*COUNT(SY10),$B$13*COUNT(SY13),$B$16*COUNT(SY16),$B$20*COUNT(SY20)))</f>
        <v>2.5648148148148149</v>
      </c>
      <c r="SZ22" s="212">
        <f>IF(SY22="","",SY22*5)</f>
        <v>12.824074074074074</v>
      </c>
      <c r="TA22" s="175"/>
      <c r="TB22" s="175"/>
      <c r="TC22" s="151"/>
      <c r="TD22" s="151"/>
      <c r="TE22" s="151"/>
      <c r="TF22" s="188">
        <f>IF(COUNT(TF20,TF16,TF13,TF10,TF4)=0,"",SUM($B$4*IF(COUNT(TF4)=0,0,TF4),$B$10*IF(COUNT(TF10)=0,0,TF10),$B$13*IF(COUNT(TF13)=0,0,TF13),$B$16*IF(COUNT(TF16)=0,0,TF16),$B$20*IF(COUNT(TF20)=0,0,TF20))/SUM($B$4*COUNT(TF4),$B$10*COUNT(TF10),$B$13*COUNT(TF13),$B$16*COUNT(TF16),$B$20*COUNT(TF20)))</f>
        <v>2.7777777777777781</v>
      </c>
      <c r="TG22" s="189">
        <f>IF(TF22="","",TF22*5)</f>
        <v>13.888888888888891</v>
      </c>
      <c r="TH22" s="82"/>
      <c r="TI22" s="82"/>
      <c r="TJ22" s="82"/>
      <c r="TK22" s="82"/>
      <c r="TL22" s="188">
        <f>IF(COUNT(TL20,TL16,TL13,TL10,TL4)=0,"",SUM($B$4*IF(COUNT(TL4)=0,0,TL4),$B$10*IF(COUNT(TL10)=0,0,TL10),$B$13*IF(COUNT(TL13)=0,0,TL13),$B$16*IF(COUNT(TL16)=0,0,TL16),$B$20*IF(COUNT(TL20)=0,0,TL20))/SUM($B$4*COUNT(TL4),$B$10*COUNT(TL10),$B$13*COUNT(TL13),$B$16*COUNT(TL16),$B$20*COUNT(TL20)))</f>
        <v>2.8</v>
      </c>
      <c r="TM22" s="195">
        <f>IF(TL22="","",TL22*5)</f>
        <v>14</v>
      </c>
      <c r="TN22" s="82"/>
      <c r="TO22" s="82"/>
      <c r="TP22" s="82"/>
      <c r="TQ22" s="82"/>
      <c r="TR22" s="82"/>
      <c r="TS22" s="188">
        <f>IF(COUNT(TS20,TS16,TS13,TS10,TS4)=0,"",SUM($B$4*IF(COUNT(TS4)=0,0,TS4),$B$10*IF(COUNT(TS10)=0,0,TS10),$B$13*IF(COUNT(TS13)=0,0,TS13),$B$16*IF(COUNT(TS16)=0,0,TS16),$B$20*IF(COUNT(TS20)=0,0,TS20))/SUM($B$4*COUNT(TS4),$B$10*COUNT(TS10),$B$13*COUNT(TS13),$B$16*COUNT(TS16),$B$20*COUNT(TS20)))</f>
        <v>3.1</v>
      </c>
      <c r="TT22" s="212">
        <f>IF(TS22="","",TS22*5)</f>
        <v>15.5</v>
      </c>
      <c r="TU22" s="175"/>
      <c r="TV22" s="175"/>
      <c r="TW22" s="151"/>
      <c r="TX22" s="151"/>
      <c r="TY22" s="151"/>
      <c r="TZ22" s="188">
        <f>IF(COUNT(TZ20,TZ16,TZ13,TZ10,TZ4)=0,"",SUM($B$4*IF(COUNT(TZ4)=0,0,TZ4),$B$10*IF(COUNT(TZ10)=0,0,TZ10),$B$13*IF(COUNT(TZ13)=0,0,TZ13),$B$16*IF(COUNT(TZ16)=0,0,TZ16),$B$20*IF(COUNT(TZ20)=0,0,TZ20))/SUM($B$4*COUNT(TZ4),$B$10*COUNT(TZ10),$B$13*COUNT(TZ13),$B$16*COUNT(TZ16),$B$20*COUNT(TZ20)))</f>
        <v>2.8333333333333335</v>
      </c>
      <c r="UA22" s="189">
        <f>IF(TZ22="","",TZ22*5)</f>
        <v>14.166666666666668</v>
      </c>
      <c r="UB22" s="82"/>
      <c r="UC22" s="82"/>
      <c r="UD22" s="82"/>
      <c r="UE22" s="82"/>
      <c r="UF22" s="188">
        <f>IF(COUNT(UF20,UF16,UF13,UF10,UF4)=0,"",SUM($B$4*IF(COUNT(UF4)=0,0,UF4),$B$10*IF(COUNT(UF10)=0,0,UF10),$B$13*IF(COUNT(UF13)=0,0,UF13),$B$16*IF(COUNT(UF16)=0,0,UF16),$B$20*IF(COUNT(UF20)=0,0,UF20))/SUM($B$4*COUNT(UF4),$B$10*COUNT(UF10),$B$13*COUNT(UF13),$B$16*COUNT(UF16),$B$20*COUNT(UF20)))</f>
        <v>2.7777777777777781</v>
      </c>
      <c r="UG22" s="195">
        <f>IF(UF22="","",UF22*5)</f>
        <v>13.888888888888891</v>
      </c>
      <c r="UH22" s="82"/>
      <c r="UI22" s="82"/>
      <c r="UJ22" s="82"/>
      <c r="UK22" s="82"/>
      <c r="UL22" s="82"/>
      <c r="UM22" s="188">
        <f>IF(COUNT(UM20,UM16,UM13,UM10,UM4)=0,"",SUM($B$4*IF(COUNT(UM4)=0,0,UM4),$B$10*IF(COUNT(UM10)=0,0,UM10),$B$13*IF(COUNT(UM13)=0,0,UM13),$B$16*IF(COUNT(UM16)=0,0,UM16),$B$20*IF(COUNT(UM20)=0,0,UM20))/SUM($B$4*COUNT(UM4),$B$10*COUNT(UM10),$B$13*COUNT(UM13),$B$16*COUNT(UM16),$B$20*COUNT(UM20)))</f>
        <v>3.0555555555555554</v>
      </c>
      <c r="UN22" s="212">
        <f>IF(UM22="","",UM22*5)</f>
        <v>15.277777777777777</v>
      </c>
      <c r="UO22" s="175"/>
      <c r="UP22" s="175"/>
      <c r="UQ22" s="151"/>
      <c r="UR22" s="151"/>
      <c r="US22" s="151"/>
      <c r="UT22" s="152" t="str">
        <f>IF(COUNT(UT20,UT16,UT13,UT10,UT4)=0,"",SUM($B$4*IF(COUNT(UT4)=0,0,UT4),$B$10*IF(COUNT(UT10)=0,0,UT10),$B$13*IF(COUNT(UT13)=0,0,UT13),$B$16*IF(COUNT(UT16)=0,0,UT16),$B$20*IF(COUNT(UT20)=0,0,UT20))/SUM($B$4*COUNT(UT4),$B$10*COUNT(UT10),$B$13*COUNT(UT13),$B$16*COUNT(UT16),$B$20*COUNT(UT20)))</f>
        <v/>
      </c>
      <c r="UU22" s="153" t="str">
        <f>IF(UT22="","",UT22*5)</f>
        <v/>
      </c>
      <c r="UV22" s="82"/>
      <c r="UW22" s="82"/>
      <c r="UX22" s="82"/>
      <c r="UY22" s="152" t="str">
        <f>IF(COUNT(UY20,UY16,UY13,UY10,UY4)=0,"",SUM($B$4*IF(COUNT(UY4)=0,0,UY4),$B$10*IF(COUNT(UY10)=0,0,UY10),$B$13*IF(COUNT(UY13)=0,0,UY13),$B$16*IF(COUNT(UY16)=0,0,UY16),$B$20*IF(COUNT(UY20)=0,0,UY20))/SUM($B$4*COUNT(UY4),$B$10*COUNT(UY10),$B$13*COUNT(UY13),$B$16*COUNT(UY16),$B$20*COUNT(UY20)))</f>
        <v/>
      </c>
      <c r="UZ22" s="154" t="str">
        <f>IF(UY22="","",UY22*5)</f>
        <v/>
      </c>
      <c r="VA22" s="82"/>
      <c r="VB22" s="82"/>
      <c r="VC22" s="82"/>
      <c r="VD22" s="152" t="str">
        <f>IF(COUNT(VD20,VD16,VD13,VD10,VD4)=0,"",SUM($B$4*IF(COUNT(VD4)=0,0,VD4),$B$10*IF(COUNT(VD10)=0,0,VD10),$B$13*IF(COUNT(VD13)=0,0,VD13),$B$16*IF(COUNT(VD16)=0,0,VD16),$B$20*IF(COUNT(VD20)=0,0,VD20))/SUM($B$4*COUNT(VD4),$B$10*COUNT(VD10),$B$13*COUNT(VD13),$B$16*COUNT(VD16),$B$20*COUNT(VD20)))</f>
        <v/>
      </c>
      <c r="VE22" s="155" t="str">
        <f>IF(VD22="","",VD22*5)</f>
        <v/>
      </c>
      <c r="VF22" s="81"/>
      <c r="VG22" s="81"/>
      <c r="VH22" s="151"/>
      <c r="VI22" s="151"/>
      <c r="VJ22" s="151"/>
      <c r="VK22" s="152" t="str">
        <f>IF(COUNT(VK20,VK16,VK13,VK10,VK4)=0,"",SUM($B$4*IF(COUNT(VK4)=0,0,VK4),$B$10*IF(COUNT(VK10)=0,0,VK10),$B$13*IF(COUNT(VK13)=0,0,VK13),$B$16*IF(COUNT(VK16)=0,0,VK16),$B$20*IF(COUNT(VK20)=0,0,VK20))/SUM($B$4*COUNT(VK4),$B$10*COUNT(VK10),$B$13*COUNT(VK13),$B$16*COUNT(VK16),$B$20*COUNT(VK20)))</f>
        <v/>
      </c>
      <c r="VL22" s="153" t="str">
        <f>IF(VK22="","",VK22*5)</f>
        <v/>
      </c>
      <c r="VM22" s="82"/>
      <c r="VN22" s="82"/>
      <c r="VO22" s="82"/>
      <c r="VP22" s="152" t="str">
        <f>IF(COUNT(VP20,VP16,VP13,VP10,VP4)=0,"",SUM($B$4*IF(COUNT(VP4)=0,0,VP4),$B$10*IF(COUNT(VP10)=0,0,VP10),$B$13*IF(COUNT(VP13)=0,0,VP13),$B$16*IF(COUNT(VP16)=0,0,VP16),$B$20*IF(COUNT(VP20)=0,0,VP20))/SUM($B$4*COUNT(VP4),$B$10*COUNT(VP10),$B$13*COUNT(VP13),$B$16*COUNT(VP16),$B$20*COUNT(VP20)))</f>
        <v/>
      </c>
      <c r="VQ22" s="154" t="str">
        <f>IF(VP22="","",VP22*5)</f>
        <v/>
      </c>
      <c r="VR22" s="82"/>
      <c r="VS22" s="82"/>
      <c r="VT22" s="82"/>
      <c r="VU22" s="152" t="str">
        <f>IF(COUNT(VU20,VU16,VU13,VU10,VU4)=0,"",SUM($B$4*IF(COUNT(VU4)=0,0,VU4),$B$10*IF(COUNT(VU10)=0,0,VU10),$B$13*IF(COUNT(VU13)=0,0,VU13),$B$16*IF(COUNT(VU16)=0,0,VU16),$B$20*IF(COUNT(VU20)=0,0,VU20))/SUM($B$4*COUNT(VU4),$B$10*COUNT(VU10),$B$13*COUNT(VU13),$B$16*COUNT(VU16),$B$20*COUNT(VU20)))</f>
        <v/>
      </c>
      <c r="VV22" s="155" t="str">
        <f>IF(VU22="","",VU22*5)</f>
        <v/>
      </c>
      <c r="VW22" s="81"/>
      <c r="VX22" s="81"/>
    </row>
    <row r="23" spans="1:596" s="156" customFormat="1" ht="16.5" x14ac:dyDescent="0.75">
      <c r="A23" s="166"/>
      <c r="B23" s="166"/>
      <c r="F23" s="166"/>
      <c r="G23" s="166"/>
      <c r="L23" s="166"/>
      <c r="M23" s="166"/>
      <c r="S23" s="166"/>
      <c r="T23" s="166"/>
      <c r="U23" s="191"/>
      <c r="V23" s="191"/>
      <c r="Z23" s="166"/>
      <c r="AA23" s="166"/>
      <c r="AF23" s="166"/>
      <c r="AG23" s="166"/>
      <c r="AM23" s="166"/>
      <c r="AN23" s="166"/>
      <c r="AO23" s="191"/>
      <c r="AP23" s="191"/>
      <c r="BI23" s="157"/>
      <c r="BJ23" s="157"/>
      <c r="CC23" s="157"/>
      <c r="CD23" s="157"/>
      <c r="CW23" s="157"/>
      <c r="CX23" s="157"/>
      <c r="DQ23" s="157"/>
      <c r="DR23" s="157"/>
      <c r="EK23" s="157"/>
      <c r="EL23" s="157"/>
      <c r="FE23" s="157"/>
      <c r="FF23" s="157"/>
      <c r="FY23" s="157"/>
      <c r="FZ23" s="157"/>
      <c r="GS23" s="157"/>
      <c r="GT23" s="157"/>
      <c r="HM23" s="157"/>
      <c r="HN23" s="157"/>
      <c r="IG23" s="157"/>
      <c r="IH23" s="157"/>
      <c r="JA23" s="157"/>
      <c r="JB23" s="157"/>
      <c r="JU23" s="157"/>
      <c r="JV23" s="157"/>
      <c r="KO23" s="157"/>
      <c r="KP23" s="157"/>
      <c r="LI23" s="157"/>
      <c r="LJ23" s="157"/>
      <c r="MC23" s="157"/>
      <c r="MD23" s="157"/>
      <c r="MW23" s="157"/>
      <c r="MX23" s="157"/>
      <c r="NQ23" s="157"/>
      <c r="NR23" s="157"/>
      <c r="OK23" s="157"/>
      <c r="OL23" s="157"/>
      <c r="PE23" s="157"/>
      <c r="PF23" s="157"/>
      <c r="PY23" s="157"/>
      <c r="PZ23" s="157"/>
      <c r="QS23" s="157"/>
      <c r="QT23" s="157"/>
      <c r="RM23" s="157"/>
      <c r="RN23" s="157"/>
      <c r="SG23" s="157"/>
      <c r="SH23" s="157"/>
      <c r="TA23" s="157"/>
      <c r="TB23" s="157"/>
      <c r="TU23" s="157"/>
      <c r="TV23" s="157"/>
      <c r="UO23" s="157"/>
      <c r="UP23" s="157"/>
      <c r="VF23" s="157"/>
      <c r="VG23" s="157"/>
      <c r="VW23" s="157"/>
      <c r="VX23" s="157"/>
    </row>
    <row r="24" spans="1:596" ht="16.5" x14ac:dyDescent="0.55000000000000004">
      <c r="A24" s="167"/>
      <c r="B24" s="167"/>
      <c r="C24" s="158"/>
      <c r="D24" s="157"/>
      <c r="E24" s="157"/>
      <c r="F24" s="167"/>
      <c r="G24" s="167"/>
      <c r="I24" s="157"/>
      <c r="J24" s="157"/>
      <c r="K24" s="157"/>
      <c r="N24" s="159"/>
      <c r="O24" s="159"/>
      <c r="P24" s="159"/>
      <c r="Q24" s="159"/>
      <c r="R24" s="159"/>
      <c r="S24" s="190"/>
      <c r="U24" s="167"/>
      <c r="V24" s="167"/>
      <c r="W24" s="158"/>
      <c r="X24" s="157"/>
      <c r="Y24" s="157"/>
      <c r="Z24" s="167"/>
      <c r="AA24" s="167"/>
      <c r="AC24" s="157"/>
      <c r="AD24" s="157"/>
      <c r="AE24" s="157"/>
      <c r="AH24" s="159"/>
      <c r="AI24" s="159"/>
      <c r="AJ24" s="159"/>
      <c r="AK24" s="159"/>
      <c r="AL24" s="159"/>
      <c r="AM24" s="190"/>
      <c r="AO24" s="167"/>
      <c r="AP24" s="167"/>
      <c r="AQ24" s="158"/>
      <c r="AR24" s="157"/>
      <c r="AS24" s="157"/>
      <c r="AT24" s="158"/>
      <c r="AU24" s="158"/>
      <c r="AW24" s="157"/>
      <c r="AX24" s="157"/>
      <c r="AY24" s="157"/>
      <c r="BB24" s="159"/>
      <c r="BC24" s="159"/>
      <c r="BD24" s="159"/>
      <c r="BE24" s="159"/>
      <c r="BF24" s="159"/>
      <c r="BG24" s="159"/>
      <c r="BI24" s="158"/>
      <c r="BJ24" s="158"/>
      <c r="BK24" s="158"/>
      <c r="BL24" s="157"/>
      <c r="BM24" s="157"/>
      <c r="BN24" s="158"/>
      <c r="BO24" s="158"/>
      <c r="BQ24" s="157"/>
      <c r="BR24" s="157"/>
      <c r="BS24" s="157"/>
      <c r="BV24" s="159"/>
      <c r="BW24" s="159"/>
      <c r="BX24" s="159"/>
      <c r="BY24" s="159"/>
      <c r="BZ24" s="159"/>
      <c r="CA24" s="159"/>
      <c r="CC24" s="158"/>
      <c r="CD24" s="158"/>
      <c r="CE24" s="158"/>
      <c r="CF24" s="157"/>
      <c r="CG24" s="157"/>
      <c r="CH24" s="158"/>
      <c r="CI24" s="158"/>
      <c r="CK24" s="157"/>
      <c r="CL24" s="157"/>
      <c r="CM24" s="157"/>
      <c r="CP24" s="159"/>
      <c r="CQ24" s="159"/>
      <c r="CR24" s="159"/>
      <c r="CS24" s="159"/>
      <c r="CT24" s="159"/>
      <c r="CU24" s="159"/>
      <c r="CW24" s="158"/>
      <c r="CX24" s="158"/>
      <c r="CY24" s="158"/>
      <c r="CZ24" s="157"/>
      <c r="DA24" s="157"/>
      <c r="DB24" s="158"/>
      <c r="DC24" s="158"/>
      <c r="DE24" s="157"/>
      <c r="DF24" s="157"/>
      <c r="DG24" s="157"/>
      <c r="DJ24" s="159"/>
      <c r="DK24" s="159"/>
      <c r="DL24" s="159"/>
      <c r="DM24" s="159"/>
      <c r="DN24" s="159"/>
      <c r="DO24" s="159"/>
      <c r="DQ24" s="158"/>
      <c r="DR24" s="158"/>
      <c r="DS24" s="158"/>
      <c r="DT24" s="157"/>
      <c r="DU24" s="157"/>
      <c r="DV24" s="158"/>
      <c r="DW24" s="158"/>
      <c r="DY24" s="157"/>
      <c r="DZ24" s="157"/>
      <c r="EA24" s="157"/>
      <c r="ED24" s="159"/>
      <c r="EE24" s="159"/>
      <c r="EF24" s="159"/>
      <c r="EG24" s="159"/>
      <c r="EH24" s="159"/>
      <c r="EI24" s="159"/>
      <c r="EK24" s="158"/>
      <c r="EL24" s="158"/>
      <c r="EM24" s="158"/>
      <c r="EN24" s="157"/>
      <c r="EO24" s="157"/>
      <c r="EP24" s="158"/>
      <c r="EQ24" s="158"/>
      <c r="ES24" s="157"/>
      <c r="ET24" s="157"/>
      <c r="EU24" s="157"/>
      <c r="EX24" s="159"/>
      <c r="EY24" s="159"/>
      <c r="EZ24" s="159"/>
      <c r="FA24" s="159"/>
      <c r="FB24" s="159"/>
      <c r="FC24" s="159"/>
      <c r="FE24" s="158"/>
      <c r="FF24" s="158"/>
      <c r="FG24" s="158"/>
      <c r="FH24" s="157"/>
      <c r="FI24" s="157"/>
      <c r="FJ24" s="158"/>
      <c r="FK24" s="158"/>
      <c r="FM24" s="157"/>
      <c r="FN24" s="157"/>
      <c r="FO24" s="157"/>
      <c r="FR24" s="159"/>
      <c r="FS24" s="159"/>
      <c r="FT24" s="159"/>
      <c r="FU24" s="159"/>
      <c r="FV24" s="159"/>
      <c r="FW24" s="159"/>
      <c r="FY24" s="158"/>
      <c r="FZ24" s="158"/>
      <c r="GA24" s="158"/>
      <c r="GB24" s="157"/>
      <c r="GC24" s="157"/>
      <c r="GD24" s="158"/>
      <c r="GE24" s="158"/>
      <c r="GG24" s="157"/>
      <c r="GH24" s="157"/>
      <c r="GI24" s="157"/>
      <c r="GL24" s="159"/>
      <c r="GM24" s="159"/>
      <c r="GN24" s="159"/>
      <c r="GO24" s="159"/>
      <c r="GP24" s="159"/>
      <c r="GQ24" s="159"/>
      <c r="GS24" s="158"/>
      <c r="GT24" s="158"/>
      <c r="GU24" s="158"/>
      <c r="GV24" s="157"/>
      <c r="GW24" s="157"/>
      <c r="GX24" s="158"/>
      <c r="GY24" s="158"/>
      <c r="HA24" s="157"/>
      <c r="HB24" s="157"/>
      <c r="HC24" s="157"/>
      <c r="HF24" s="159"/>
      <c r="HG24" s="159"/>
      <c r="HH24" s="159"/>
      <c r="HI24" s="159"/>
      <c r="HJ24" s="159"/>
      <c r="HK24" s="159"/>
      <c r="HM24" s="158"/>
      <c r="HN24" s="158"/>
      <c r="HO24" s="158"/>
      <c r="HP24" s="157"/>
      <c r="HQ24" s="157"/>
      <c r="HR24" s="158"/>
      <c r="HS24" s="158"/>
      <c r="HU24" s="157"/>
      <c r="HV24" s="157"/>
      <c r="HW24" s="157"/>
      <c r="HZ24" s="159"/>
      <c r="IA24" s="159"/>
      <c r="IB24" s="159"/>
      <c r="IC24" s="159"/>
      <c r="ID24" s="159"/>
      <c r="IE24" s="159"/>
      <c r="IG24" s="158"/>
      <c r="IH24" s="158"/>
      <c r="II24" s="158"/>
      <c r="IJ24" s="157"/>
      <c r="IK24" s="157"/>
      <c r="IL24" s="158"/>
      <c r="IM24" s="158"/>
      <c r="IO24" s="157"/>
      <c r="IP24" s="157"/>
      <c r="IQ24" s="157"/>
      <c r="IT24" s="159"/>
      <c r="IU24" s="159"/>
      <c r="IV24" s="159"/>
      <c r="IW24" s="159"/>
      <c r="IX24" s="159"/>
      <c r="IY24" s="159"/>
      <c r="JA24" s="158"/>
      <c r="JB24" s="158"/>
      <c r="JC24" s="158"/>
      <c r="JD24" s="157"/>
      <c r="JE24" s="157"/>
      <c r="JF24" s="158"/>
      <c r="JG24" s="158"/>
      <c r="JI24" s="157"/>
      <c r="JJ24" s="157"/>
      <c r="JK24" s="157"/>
      <c r="JN24" s="159"/>
      <c r="JO24" s="159"/>
      <c r="JP24" s="159"/>
      <c r="JQ24" s="159"/>
      <c r="JR24" s="159"/>
      <c r="JS24" s="159"/>
      <c r="JU24" s="158"/>
      <c r="JV24" s="158"/>
      <c r="JW24" s="158"/>
      <c r="JX24" s="157"/>
      <c r="JY24" s="157"/>
      <c r="JZ24" s="158"/>
      <c r="KA24" s="158"/>
      <c r="KC24" s="157"/>
      <c r="KD24" s="157"/>
      <c r="KE24" s="157"/>
      <c r="KH24" s="159"/>
      <c r="KI24" s="159"/>
      <c r="KJ24" s="159"/>
      <c r="KK24" s="159"/>
      <c r="KL24" s="159"/>
      <c r="KM24" s="159"/>
      <c r="KO24" s="158"/>
      <c r="KP24" s="158"/>
      <c r="KQ24" s="158"/>
      <c r="KR24" s="157"/>
      <c r="KS24" s="157"/>
      <c r="KT24" s="158"/>
      <c r="KU24" s="158"/>
      <c r="KW24" s="157"/>
      <c r="KX24" s="157"/>
      <c r="KY24" s="157"/>
      <c r="LB24" s="159"/>
      <c r="LC24" s="159"/>
      <c r="LD24" s="159"/>
      <c r="LE24" s="159"/>
      <c r="LF24" s="159"/>
      <c r="LG24" s="159"/>
      <c r="LI24" s="158"/>
      <c r="LJ24" s="158"/>
      <c r="LK24" s="158"/>
      <c r="LL24" s="157"/>
      <c r="LM24" s="157"/>
      <c r="LN24" s="158"/>
      <c r="LO24" s="158"/>
      <c r="LQ24" s="157"/>
      <c r="LR24" s="157"/>
      <c r="LS24" s="157"/>
      <c r="LV24" s="159"/>
      <c r="LW24" s="159"/>
      <c r="LX24" s="159"/>
      <c r="LY24" s="159"/>
      <c r="LZ24" s="159"/>
      <c r="MA24" s="159"/>
      <c r="MC24" s="158"/>
      <c r="MD24" s="158"/>
      <c r="ME24" s="158"/>
      <c r="MF24" s="157"/>
      <c r="MG24" s="157"/>
      <c r="MH24" s="158"/>
      <c r="MI24" s="158"/>
      <c r="MK24" s="157"/>
      <c r="ML24" s="157"/>
      <c r="MM24" s="157"/>
      <c r="MP24" s="159"/>
      <c r="MQ24" s="159"/>
      <c r="MR24" s="159"/>
      <c r="MS24" s="159"/>
      <c r="MT24" s="159"/>
      <c r="MU24" s="159"/>
      <c r="MW24" s="158"/>
      <c r="MX24" s="158"/>
      <c r="MY24" s="158"/>
      <c r="MZ24" s="157"/>
      <c r="NA24" s="157"/>
      <c r="NB24" s="158"/>
      <c r="NC24" s="158"/>
      <c r="NE24" s="157"/>
      <c r="NF24" s="157"/>
      <c r="NG24" s="157"/>
      <c r="NJ24" s="159"/>
      <c r="NK24" s="159"/>
      <c r="NL24" s="159"/>
      <c r="NM24" s="159"/>
      <c r="NN24" s="159"/>
      <c r="NO24" s="159"/>
      <c r="NQ24" s="158"/>
      <c r="NR24" s="158"/>
      <c r="NS24" s="158"/>
      <c r="NT24" s="157"/>
      <c r="NU24" s="157"/>
      <c r="NV24" s="158"/>
      <c r="NW24" s="158"/>
      <c r="NY24" s="157"/>
      <c r="NZ24" s="157"/>
      <c r="OA24" s="157"/>
      <c r="OD24" s="159"/>
      <c r="OE24" s="159"/>
      <c r="OF24" s="159"/>
      <c r="OG24" s="159"/>
      <c r="OH24" s="159"/>
      <c r="OI24" s="159"/>
      <c r="OK24" s="158"/>
      <c r="OL24" s="158"/>
      <c r="OM24" s="158"/>
      <c r="ON24" s="157"/>
      <c r="OO24" s="157"/>
      <c r="OP24" s="158"/>
      <c r="OQ24" s="158"/>
      <c r="OS24" s="157"/>
      <c r="OT24" s="157"/>
      <c r="OU24" s="157"/>
      <c r="OX24" s="159"/>
      <c r="OY24" s="159"/>
      <c r="OZ24" s="159"/>
      <c r="PA24" s="159"/>
      <c r="PB24" s="159"/>
      <c r="PC24" s="159"/>
      <c r="PE24" s="158"/>
      <c r="PF24" s="158"/>
      <c r="PG24" s="158"/>
      <c r="PH24" s="157"/>
      <c r="PI24" s="157"/>
      <c r="PJ24" s="158"/>
      <c r="PK24" s="158"/>
      <c r="PM24" s="157"/>
      <c r="PN24" s="157"/>
      <c r="PO24" s="157"/>
      <c r="PR24" s="159"/>
      <c r="PS24" s="159"/>
      <c r="PT24" s="159"/>
      <c r="PU24" s="159"/>
      <c r="PV24" s="159"/>
      <c r="PW24" s="159"/>
      <c r="PY24" s="158"/>
      <c r="PZ24" s="158"/>
      <c r="QA24" s="158"/>
      <c r="QB24" s="157"/>
      <c r="QC24" s="157"/>
      <c r="QD24" s="158"/>
      <c r="QE24" s="158"/>
      <c r="QG24" s="157"/>
      <c r="QH24" s="157"/>
      <c r="QI24" s="157"/>
      <c r="QL24" s="159"/>
      <c r="QM24" s="159"/>
      <c r="QN24" s="159"/>
      <c r="QO24" s="159"/>
      <c r="QP24" s="159"/>
      <c r="QQ24" s="159"/>
      <c r="QS24" s="158"/>
      <c r="QT24" s="158"/>
      <c r="QU24" s="158"/>
      <c r="QV24" s="157"/>
      <c r="QW24" s="157"/>
      <c r="QX24" s="158"/>
      <c r="QY24" s="158"/>
      <c r="RA24" s="157"/>
      <c r="RB24" s="157"/>
      <c r="RC24" s="157"/>
      <c r="RF24" s="159"/>
      <c r="RG24" s="159"/>
      <c r="RH24" s="159"/>
      <c r="RI24" s="159"/>
      <c r="RJ24" s="159"/>
      <c r="RK24" s="159"/>
      <c r="RM24" s="158"/>
      <c r="RN24" s="158"/>
      <c r="RO24" s="158"/>
      <c r="RP24" s="157"/>
      <c r="RQ24" s="157"/>
      <c r="RR24" s="158"/>
      <c r="RS24" s="158"/>
      <c r="RU24" s="157"/>
      <c r="RV24" s="157"/>
      <c r="RW24" s="157"/>
      <c r="RZ24" s="159"/>
      <c r="SA24" s="159"/>
      <c r="SB24" s="159"/>
      <c r="SC24" s="159"/>
      <c r="SD24" s="159"/>
      <c r="SE24" s="159"/>
      <c r="SG24" s="158"/>
      <c r="SH24" s="158"/>
      <c r="SI24" s="158"/>
      <c r="SJ24" s="157"/>
      <c r="SK24" s="157"/>
      <c r="SL24" s="158"/>
      <c r="SM24" s="158"/>
      <c r="SO24" s="157"/>
      <c r="SP24" s="157"/>
      <c r="SQ24" s="157"/>
      <c r="ST24" s="159"/>
      <c r="SU24" s="159"/>
      <c r="SV24" s="159"/>
      <c r="SW24" s="159"/>
      <c r="SX24" s="159"/>
      <c r="SY24" s="159"/>
      <c r="TA24" s="158"/>
      <c r="TB24" s="158"/>
      <c r="TC24" s="158"/>
      <c r="TD24" s="157"/>
      <c r="TE24" s="157"/>
      <c r="TF24" s="158"/>
      <c r="TG24" s="158"/>
      <c r="TI24" s="157"/>
      <c r="TJ24" s="157"/>
      <c r="TK24" s="157"/>
      <c r="TN24" s="159"/>
      <c r="TO24" s="159"/>
      <c r="TP24" s="159"/>
      <c r="TQ24" s="159"/>
      <c r="TR24" s="159"/>
      <c r="TS24" s="159"/>
      <c r="TU24" s="158"/>
      <c r="TV24" s="158"/>
      <c r="TW24" s="158"/>
      <c r="TX24" s="157"/>
      <c r="TY24" s="157"/>
      <c r="TZ24" s="158"/>
      <c r="UA24" s="158"/>
      <c r="UC24" s="157"/>
      <c r="UD24" s="157"/>
      <c r="UE24" s="157"/>
      <c r="UH24" s="159"/>
      <c r="UI24" s="159"/>
      <c r="UJ24" s="159"/>
      <c r="UK24" s="159"/>
      <c r="UL24" s="159"/>
      <c r="UM24" s="159"/>
      <c r="UO24" s="158"/>
      <c r="UP24" s="158"/>
      <c r="UQ24" s="158"/>
      <c r="UR24" s="157"/>
      <c r="US24" s="157"/>
      <c r="UT24" s="158"/>
      <c r="UU24" s="158"/>
      <c r="UW24" s="157"/>
      <c r="UX24" s="157"/>
      <c r="VA24" s="159"/>
      <c r="VB24" s="159"/>
      <c r="VC24" s="159"/>
      <c r="VD24" s="159"/>
      <c r="VF24" s="158"/>
      <c r="VG24" s="158"/>
      <c r="VH24" s="158"/>
      <c r="VI24" s="157"/>
      <c r="VJ24" s="157"/>
      <c r="VK24" s="158"/>
      <c r="VL24" s="158"/>
      <c r="VN24" s="157"/>
      <c r="VO24" s="157"/>
      <c r="VR24" s="84"/>
      <c r="VS24" s="84"/>
      <c r="VT24" s="84"/>
      <c r="VU24" s="84"/>
      <c r="VV24" s="84"/>
      <c r="VW24" s="84"/>
      <c r="VX24" s="84"/>
    </row>
  </sheetData>
  <sheetProtection algorithmName="SHA-512" hashValue="KjVpZAVkG75+9ZSF8aTExkJtB1tJTARklo7vT4uHrlwcMqr6H4vDxGv/R7k/I+HCLJjVuwSciwskW8q9xSfkGA==" saltValue="fTx9KN7J+hPABiW2bTUhCQ==" spinCount="100000" sheet="1" insertColumns="0" deleteColumns="0" selectLockedCells="1"/>
  <dataConsolidate/>
  <mergeCells count="15">
    <mergeCell ref="A17:B17"/>
    <mergeCell ref="A18:B18"/>
    <mergeCell ref="A19:B19"/>
    <mergeCell ref="A21:B21"/>
    <mergeCell ref="A22:B22"/>
    <mergeCell ref="A9:B9"/>
    <mergeCell ref="A11:B11"/>
    <mergeCell ref="A12:B12"/>
    <mergeCell ref="A14:B14"/>
    <mergeCell ref="A15:B15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H5:K9 C5:E9 N5:R9 W5:Y9 AB5:AE9 AH5:AL9 C11:E12 H11:K12 N11:R12 W11:Y12 AB11:AE12 AH11:AL12 C14:E15 H14:K15 N14:R15 W14:Y15 AB14:AE15 AH14:AL15 C17:E19 H17:K19 N17:R19 W17:Y19 AB17:AE19 AH17:AL19 C21:E21 H21:K21 N21:R21 W21:Y21 AB21:AE21 AH21:AL21 QU5:QW9 QZ5:RC9 RF5:RJ9 QU11:QW12 QZ11:RC12 RF11:RJ12 QU14:QW15 QZ14:RC15 RF14:RJ15 QU17:QW19 QZ17:RC19 RF17:RJ19 QU21:QW21 QZ21:RC21 RF21:RJ21 RO5:RQ9 RT5:RW9 RZ5:SD9 RO11:RQ12 RT11:RW12 RZ11:SD12 RO14:RQ15 RT14:RW15 RZ14:SD15 RO17:RQ19 RT17:RW19 RZ17:SD19 RO21:RQ21 RT21:RW21 RZ21:SD21 TC5:TE9 TH5:TK9 TN5:TR9 TC11:TE12 TH11:TK12 TN11:TR12 TC14:TE15 TH14:TK15 TN14:TR15 TC17:TE19 TH17:TK19 TN17:TR19 TC21:TE21 TH21:TK21 TN21:TR21 SI5:SK9 SN5:SQ9 ST5:SX9 SI11:SK12 SN11:SQ12 ST11:SX12 SI14:SK15 SN14:SQ15 ST14:SX15 SI17:SK19 SN17:SQ19 ST17:SX19 SI21:SK21 SN21:SQ21 ST21:SX21 TW5:TY9 UB5:UE9 UH5:UL9 TW11:TY12 UB11:UE12 UH11:UL12 TW14:TY15 UB14:UE15 UH14:UL15 TW17:TY19 UB17:UE19 UH17:UL19 TW21:TY21 UB21:UE21 UH21:UL21 UQ5:US9 UV5:UX9 VA5:VC9 UQ11:US12 UV11:UX12 VA11:VC12 UQ14:US15 UV14:UX15 VA14:VC15 UQ17:US19 UV17:UX19 VA17:VC19 UQ21:US21 UV21:UX21 VA21:VC21 AQ5:AS9 AV5:AY9 BB5:BF9 AQ11:AS12 AV11:AY12 BB11:BF12 AQ14:AS15 AV14:AY15 BB14:BF15 AQ17:AS19 AV17:AY19 BB17:BF19 AQ21:AS21 AV21:AY21 BB21:BF21 BK5:BM9 BP5:BS9 BV5:BZ9 BK11:BM12 BP11:BS12 BV11:BZ12 BK14:BM15 BP14:BS15 BV14:BZ15 BK17:BM19 BP17:BS19 BV17:BZ19 BK21:BM21 BP21:BS21 BV21:BZ21 CE5:CG9 CJ5:CM9 CP5:CT9 CE11:CG12 CJ11:CM12 CP11:CT12 CE14:CG15 CJ14:CM15 CP14:CT15 CE17:CG19 CJ17:CM19 CP17:CT19 CE21:CG21 CJ21:CM21 CP21:CT21 CY5:DA9 DD5:DG9 DJ5:DN9 CY11:DA12 DD11:DG12 DJ11:DN12 CY14:DA15 DD14:DG15 DJ14:DN15 CY17:DA19 DD17:DG19 DJ17:DN19 CY21:DA21 DD21:DG21 DJ21:DN21 DS5:DU9 DX5:EA9 ED5:EH9 DS11:DU12 DX11:EA12 ED11:EH12 DS14:DU15 DX14:EA15 ED14:EH15 DS17:DU19 DX17:EA19 ED17:EH19 DS21:DU21 DX21:EA21 ED21:EH21 EM5:EO9 ER5:EU9 EX5:FB9 EM11:EO12 ER11:EU12 EX11:FB12 EM14:EO15 ER14:EU15 EX14:FB15 EM17:EO19 ER17:EU19 EX17:FB19 EM21:EO21 ER21:EU21 EX21:FB21 FG5:FI9 FL5:FO9 FR5:FV9 FG11:FI12 FL11:FO12 FR11:FV12 FG14:FI15 FL14:FO15 FR14:FV15 FG17:FI19 FL17:FO19 FR17:FV19 FG21:FI21 FL21:FO21 FR21:FV21 GA5:GC9 GF5:GI9 GL5:GP9 GA11:GC12 GF11:GI12 GL11:GP12 GA14:GC15 GF14:GI15 GL14:GP15 GA17:GC19 GF17:GI19 GL17:GP19 GA21:GC21 GF21:GI21 GL21:GP21 GU5:GW9 GZ5:HC9 HF5:HJ9 GU11:GW12 GZ11:HC12 HF11:HJ12 GU14:GW15 GZ14:HC15 HF14:HJ15 GU17:GW19 GZ17:HC19 HF17:HJ19 GU21:GW21 GZ21:HC21 HF21:HJ21 HO5:HQ9 HT5:HW9 HZ5:ID9 HO11:HQ12 HT11:HW12 HZ11:ID12 HO14:HQ15 HT14:HW15 HZ14:ID15 HO17:HQ19 HT17:HW19 HZ17:ID19 HO21:HQ21 HT21:HW21 HZ21:ID21 II5:IK9 IN5:IQ9 IT5:IX9 II11:IK12 IN11:IQ12 IT11:IX12 II14:IK15 IN14:IQ15 IT14:IX15 II17:IK19 IN17:IQ19 IT17:IX19 II21:IK21 IN21:IQ21 IT21:IX21 JC5:JE9 JH5:JK9 JN5:JR9 JC11:JE12 JH11:JK12 JN11:JR12 JC14:JE15 JH14:JK15 JN14:JR15 JC17:JE19 JH17:JK19 JN17:JR19 JC21:JE21 JH21:JK21 JN21:JR21 JW5:JY9 KB5:KE9 KH5:KL9 JW11:JY12 KB11:KE12 KH11:KL12 JW14:JY15 KB14:KE15 KH14:KL15 JW17:JY19 KB17:KE19 KH17:KL19 JW21:JY21 KB21:KE21 KH21:KL21 KQ5:KS9 KV5:KY9 LB5:LF9 KQ11:KS12 KV11:KY12 LB11:LF12 KQ14:KS15 KV14:KY15 LB14:LF15 KQ17:KS19 KV17:KY19 LB17:LF19 KQ21:KS21 KV21:KY21 LB21:LF21 LK5:LM9 LP5:LS9 LV5:LZ9 LK11:LM12 LP11:LS12 LV11:LZ12 LK14:LM15 LP14:LS15 LV14:LZ15 LK17:LM19 LP17:LS19 LV17:LZ19 LK21:LM21 LP21:LS21 LV21:LZ21 ME5:MG9 MJ5:MM9 MP5:MT9 ME11:MG12 MJ11:MM12 MP11:MT12 ME14:MG15 MJ14:MM15 MP14:MT15 ME17:MG19 MJ17:MM19 MP17:MT19 ME21:MG21 MJ21:MM21 MP21:MT21 MY5:NA9 ND5:NG9 NJ5:NN9 MY11:NA12 ND11:NG12 NJ11:NN12 MY14:NA15 ND14:NG15 NJ14:NN15 MY17:NA19 ND17:NG19 NJ17:NN19 MY21:NA21 ND21:NG21 NJ21:NN21 NS5:NU9 NX5:OA9 OD5:OH9 NS11:NU12 NX11:OA12 OD11:OH12 NS14:NU15 NX14:OA15 OD14:OH15 NS17:NU19 NX17:OA19 OD17:OH19 NS21:NU21 NX21:OA21 OD21:OH21 OM5:OO9 OR5:OU9 OX5:PB9 OM11:OO12 OR11:OU12 OX11:PB12 OM14:OO15 OR14:OU15 OX14:PB15 OM17:OO19 OR17:OU19 OX17:PB19 OM21:OO21 OR21:OU21 OX21:PB21 PG5:PI9 PL5:PO9 PR5:PV9 PG11:PI12 PL11:PO12 PR11:PV12 PG14:PI15 PL14:PO15 PR14:PV15 PG17:PI19 PL17:PO19 PR17:PV19 PG21:PI21 PL21:PO21 PR21:PV21 QA5:QC9 QF5:QI9 QL5:QP9 QA11:QC12 QF11:QI12 QL11:QP12 QA14:QC15 QF14:QI15 QL14:QP15 QA17:QC19 QF17:QI19 QL17:QP19 QA21:QC21 QF21:QI21 QL21:QP21 VH5:VJ9 VM5:VO9 VR5:VT9 VH11:VJ12 VM11:VO12 VR11:VT12 VH14:VJ15 VM14:VO15 VR14:VT15 VH17:VJ19 VM17:VO19 VR17:VT19 VH21:VJ21 VM21:VO21 VR21:VT21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I29"/>
  <sheetViews>
    <sheetView workbookViewId="0">
      <selection activeCell="G12" sqref="G12"/>
    </sheetView>
  </sheetViews>
  <sheetFormatPr baseColWidth="10" defaultColWidth="11.41796875" defaultRowHeight="14.4" x14ac:dyDescent="0.55000000000000004"/>
  <cols>
    <col min="1" max="1" width="33.68359375" style="15" customWidth="1"/>
    <col min="2" max="2" width="4.68359375" style="15" customWidth="1"/>
    <col min="3" max="3" width="33.68359375" style="15" customWidth="1"/>
    <col min="4" max="4" width="4.68359375" style="15" customWidth="1"/>
    <col min="5" max="5" width="33.68359375" style="15" customWidth="1"/>
    <col min="6" max="6" width="4.68359375" style="15" customWidth="1"/>
    <col min="7" max="7" width="33.68359375" style="15" customWidth="1"/>
    <col min="8" max="8" width="4.68359375" style="15" customWidth="1"/>
    <col min="9" max="9" width="33.68359375" style="15" customWidth="1"/>
    <col min="10" max="10" width="11" style="15" customWidth="1"/>
    <col min="11" max="16384" width="11.41796875" style="15"/>
  </cols>
  <sheetData>
    <row r="1" spans="1:9" s="66" customFormat="1" ht="14.7" thickBot="1" x14ac:dyDescent="0.6">
      <c r="A1" s="65" t="s">
        <v>189</v>
      </c>
      <c r="C1" s="65" t="s">
        <v>190</v>
      </c>
      <c r="E1" s="65" t="s">
        <v>191</v>
      </c>
      <c r="G1" s="65" t="s">
        <v>192</v>
      </c>
      <c r="I1" s="65" t="s">
        <v>193</v>
      </c>
    </row>
    <row r="2" spans="1:9" x14ac:dyDescent="0.55000000000000004">
      <c r="A2" s="67" t="s">
        <v>51</v>
      </c>
      <c r="C2" s="68" t="s">
        <v>79</v>
      </c>
      <c r="E2" s="67" t="s">
        <v>106</v>
      </c>
      <c r="G2" s="67" t="s">
        <v>133</v>
      </c>
      <c r="I2" s="68" t="s">
        <v>161</v>
      </c>
    </row>
    <row r="3" spans="1:9" x14ac:dyDescent="0.55000000000000004">
      <c r="A3" s="69" t="s">
        <v>52</v>
      </c>
      <c r="C3" s="70" t="s">
        <v>80</v>
      </c>
      <c r="E3" s="69" t="s">
        <v>107</v>
      </c>
      <c r="G3" s="69" t="s">
        <v>134</v>
      </c>
      <c r="I3" s="70" t="s">
        <v>162</v>
      </c>
    </row>
    <row r="4" spans="1:9" x14ac:dyDescent="0.55000000000000004">
      <c r="A4" s="69" t="s">
        <v>53</v>
      </c>
      <c r="C4" s="70" t="s">
        <v>81</v>
      </c>
      <c r="E4" s="69" t="s">
        <v>108</v>
      </c>
      <c r="G4" s="69" t="s">
        <v>135</v>
      </c>
      <c r="I4" s="70" t="s">
        <v>163</v>
      </c>
    </row>
    <row r="5" spans="1:9" x14ac:dyDescent="0.55000000000000004">
      <c r="A5" s="69" t="s">
        <v>54</v>
      </c>
      <c r="C5" s="70" t="s">
        <v>82</v>
      </c>
      <c r="E5" s="69" t="s">
        <v>109</v>
      </c>
      <c r="G5" s="69" t="s">
        <v>136</v>
      </c>
      <c r="I5" s="70" t="s">
        <v>164</v>
      </c>
    </row>
    <row r="6" spans="1:9" x14ac:dyDescent="0.55000000000000004">
      <c r="A6" s="69" t="s">
        <v>55</v>
      </c>
      <c r="C6" s="70" t="s">
        <v>83</v>
      </c>
      <c r="E6" s="69" t="s">
        <v>110</v>
      </c>
      <c r="G6" s="69" t="s">
        <v>137</v>
      </c>
      <c r="I6" s="70" t="s">
        <v>165</v>
      </c>
    </row>
    <row r="7" spans="1:9" x14ac:dyDescent="0.55000000000000004">
      <c r="A7" s="69" t="s">
        <v>56</v>
      </c>
      <c r="C7" s="70" t="s">
        <v>84</v>
      </c>
      <c r="E7" s="69" t="s">
        <v>111</v>
      </c>
      <c r="G7" s="69" t="s">
        <v>138</v>
      </c>
      <c r="I7" s="70" t="s">
        <v>166</v>
      </c>
    </row>
    <row r="8" spans="1:9" x14ac:dyDescent="0.55000000000000004">
      <c r="A8" s="69" t="s">
        <v>57</v>
      </c>
      <c r="C8" s="70" t="s">
        <v>85</v>
      </c>
      <c r="E8" s="69" t="s">
        <v>112</v>
      </c>
      <c r="G8" s="69" t="s">
        <v>139</v>
      </c>
      <c r="I8" s="70" t="s">
        <v>167</v>
      </c>
    </row>
    <row r="9" spans="1:9" x14ac:dyDescent="0.55000000000000004">
      <c r="A9" s="69" t="s">
        <v>58</v>
      </c>
      <c r="C9" s="70" t="s">
        <v>86</v>
      </c>
      <c r="E9" s="69" t="s">
        <v>113</v>
      </c>
      <c r="G9" s="69" t="s">
        <v>140</v>
      </c>
      <c r="I9" s="70" t="s">
        <v>168</v>
      </c>
    </row>
    <row r="10" spans="1:9" x14ac:dyDescent="0.55000000000000004">
      <c r="A10" s="69" t="s">
        <v>59</v>
      </c>
      <c r="C10" s="70" t="s">
        <v>87</v>
      </c>
      <c r="E10" s="69" t="s">
        <v>114</v>
      </c>
      <c r="G10" s="69" t="s">
        <v>141</v>
      </c>
      <c r="I10" s="70" t="s">
        <v>169</v>
      </c>
    </row>
    <row r="11" spans="1:9" x14ac:dyDescent="0.55000000000000004">
      <c r="A11" s="69" t="s">
        <v>60</v>
      </c>
      <c r="C11" s="70" t="s">
        <v>88</v>
      </c>
      <c r="E11" s="69" t="s">
        <v>115</v>
      </c>
      <c r="G11" s="69" t="s">
        <v>142</v>
      </c>
      <c r="I11" s="70" t="s">
        <v>170</v>
      </c>
    </row>
    <row r="12" spans="1:9" x14ac:dyDescent="0.55000000000000004">
      <c r="A12" s="69" t="s">
        <v>61</v>
      </c>
      <c r="C12" s="70" t="s">
        <v>89</v>
      </c>
      <c r="E12" s="71" t="s">
        <v>116</v>
      </c>
      <c r="G12" s="69" t="s">
        <v>143</v>
      </c>
      <c r="I12" s="70" t="s">
        <v>171</v>
      </c>
    </row>
    <row r="13" spans="1:9" x14ac:dyDescent="0.55000000000000004">
      <c r="A13" s="69" t="s">
        <v>62</v>
      </c>
      <c r="C13" s="70" t="s">
        <v>90</v>
      </c>
      <c r="E13" s="69" t="s">
        <v>117</v>
      </c>
      <c r="G13" s="69" t="s">
        <v>144</v>
      </c>
      <c r="I13" s="70" t="s">
        <v>172</v>
      </c>
    </row>
    <row r="14" spans="1:9" x14ac:dyDescent="0.55000000000000004">
      <c r="A14" s="69" t="s">
        <v>63</v>
      </c>
      <c r="C14" s="70" t="s">
        <v>91</v>
      </c>
      <c r="E14" s="69" t="s">
        <v>118</v>
      </c>
      <c r="G14" s="69" t="s">
        <v>145</v>
      </c>
      <c r="I14" s="70" t="s">
        <v>173</v>
      </c>
    </row>
    <row r="15" spans="1:9" x14ac:dyDescent="0.55000000000000004">
      <c r="A15" s="69" t="s">
        <v>64</v>
      </c>
      <c r="C15" s="70" t="s">
        <v>92</v>
      </c>
      <c r="E15" s="69" t="s">
        <v>119</v>
      </c>
      <c r="G15" s="69" t="s">
        <v>146</v>
      </c>
      <c r="I15" s="70" t="s">
        <v>174</v>
      </c>
    </row>
    <row r="16" spans="1:9" x14ac:dyDescent="0.55000000000000004">
      <c r="A16" s="69" t="s">
        <v>65</v>
      </c>
      <c r="C16" s="70" t="s">
        <v>93</v>
      </c>
      <c r="E16" s="71" t="s">
        <v>120</v>
      </c>
      <c r="G16" s="69" t="s">
        <v>147</v>
      </c>
      <c r="I16" s="70" t="s">
        <v>175</v>
      </c>
    </row>
    <row r="17" spans="1:9" x14ac:dyDescent="0.55000000000000004">
      <c r="A17" s="69" t="s">
        <v>66</v>
      </c>
      <c r="C17" s="70" t="s">
        <v>94</v>
      </c>
      <c r="E17" s="69" t="s">
        <v>121</v>
      </c>
      <c r="G17" s="69" t="s">
        <v>148</v>
      </c>
      <c r="I17" s="70" t="s">
        <v>176</v>
      </c>
    </row>
    <row r="18" spans="1:9" x14ac:dyDescent="0.55000000000000004">
      <c r="A18" s="69" t="s">
        <v>67</v>
      </c>
      <c r="C18" s="70" t="s">
        <v>95</v>
      </c>
      <c r="E18" s="69" t="s">
        <v>122</v>
      </c>
      <c r="G18" s="69" t="s">
        <v>149</v>
      </c>
      <c r="I18" s="70" t="s">
        <v>177</v>
      </c>
    </row>
    <row r="19" spans="1:9" x14ac:dyDescent="0.55000000000000004">
      <c r="A19" s="69" t="s">
        <v>68</v>
      </c>
      <c r="C19" s="70" t="s">
        <v>96</v>
      </c>
      <c r="E19" s="69" t="s">
        <v>123</v>
      </c>
      <c r="G19" s="69" t="s">
        <v>150</v>
      </c>
      <c r="I19" s="70" t="s">
        <v>178</v>
      </c>
    </row>
    <row r="20" spans="1:9" x14ac:dyDescent="0.55000000000000004">
      <c r="A20" s="69" t="s">
        <v>69</v>
      </c>
      <c r="C20" s="70" t="s">
        <v>97</v>
      </c>
      <c r="E20" s="69" t="s">
        <v>124</v>
      </c>
      <c r="G20" s="69" t="s">
        <v>151</v>
      </c>
      <c r="I20" s="70" t="s">
        <v>179</v>
      </c>
    </row>
    <row r="21" spans="1:9" x14ac:dyDescent="0.55000000000000004">
      <c r="A21" s="69" t="s">
        <v>70</v>
      </c>
      <c r="C21" s="70" t="s">
        <v>98</v>
      </c>
      <c r="E21" s="69" t="s">
        <v>125</v>
      </c>
      <c r="G21" s="69" t="s">
        <v>152</v>
      </c>
      <c r="I21" s="70" t="s">
        <v>180</v>
      </c>
    </row>
    <row r="22" spans="1:9" x14ac:dyDescent="0.55000000000000004">
      <c r="A22" s="69" t="s">
        <v>71</v>
      </c>
      <c r="C22" s="70" t="s">
        <v>99</v>
      </c>
      <c r="E22" s="69" t="s">
        <v>126</v>
      </c>
      <c r="G22" s="69" t="s">
        <v>153</v>
      </c>
      <c r="I22" s="70" t="s">
        <v>181</v>
      </c>
    </row>
    <row r="23" spans="1:9" x14ac:dyDescent="0.55000000000000004">
      <c r="A23" s="69" t="s">
        <v>72</v>
      </c>
      <c r="C23" s="70" t="s">
        <v>100</v>
      </c>
      <c r="E23" s="69" t="s">
        <v>127</v>
      </c>
      <c r="G23" s="69" t="s">
        <v>154</v>
      </c>
      <c r="I23" s="70" t="s">
        <v>182</v>
      </c>
    </row>
    <row r="24" spans="1:9" x14ac:dyDescent="0.55000000000000004">
      <c r="A24" s="69" t="s">
        <v>73</v>
      </c>
      <c r="C24" s="70" t="s">
        <v>101</v>
      </c>
      <c r="E24" s="69" t="s">
        <v>128</v>
      </c>
      <c r="G24" s="69" t="s">
        <v>155</v>
      </c>
      <c r="I24" s="70" t="s">
        <v>183</v>
      </c>
    </row>
    <row r="25" spans="1:9" x14ac:dyDescent="0.55000000000000004">
      <c r="A25" s="69" t="s">
        <v>74</v>
      </c>
      <c r="C25" s="70" t="s">
        <v>102</v>
      </c>
      <c r="E25" s="69" t="s">
        <v>129</v>
      </c>
      <c r="G25" s="69" t="s">
        <v>156</v>
      </c>
      <c r="I25" s="70" t="s">
        <v>184</v>
      </c>
    </row>
    <row r="26" spans="1:9" x14ac:dyDescent="0.55000000000000004">
      <c r="A26" s="69" t="s">
        <v>75</v>
      </c>
      <c r="C26" s="70" t="s">
        <v>103</v>
      </c>
      <c r="E26" s="69" t="s">
        <v>130</v>
      </c>
      <c r="G26" s="69" t="s">
        <v>157</v>
      </c>
      <c r="I26" s="70" t="s">
        <v>185</v>
      </c>
    </row>
    <row r="27" spans="1:9" ht="14.7" thickBot="1" x14ac:dyDescent="0.6">
      <c r="A27" s="72" t="s">
        <v>76</v>
      </c>
      <c r="C27" s="70" t="s">
        <v>104</v>
      </c>
      <c r="E27" s="69" t="s">
        <v>131</v>
      </c>
      <c r="G27" s="72" t="s">
        <v>158</v>
      </c>
      <c r="I27" s="70" t="s">
        <v>186</v>
      </c>
    </row>
    <row r="28" spans="1:9" ht="14.7" thickBot="1" x14ac:dyDescent="0.6">
      <c r="C28" s="73" t="s">
        <v>105</v>
      </c>
      <c r="E28" s="72" t="s">
        <v>132</v>
      </c>
      <c r="I28" s="70" t="s">
        <v>187</v>
      </c>
    </row>
    <row r="29" spans="1:9" ht="14.7" thickBot="1" x14ac:dyDescent="0.6">
      <c r="I29" s="73" t="s">
        <v>188</v>
      </c>
    </row>
  </sheetData>
  <sheetProtection algorithmName="SHA-512" hashValue="xBr+TKFR6qFfGZgLkB+WhLSz0OP1fO6WOx7qczqKxduo8EytAGUQLaN2wdR9Ucea5NkvddATk1HkuYJMsHxzvA==" saltValue="33R1vBLX8xKFaYZkL/Zs1w==" spinCount="100000" sheet="1" objects="1" scenarios="1"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P35"/>
  <sheetViews>
    <sheetView workbookViewId="0">
      <selection activeCell="K3" sqref="K3"/>
    </sheetView>
  </sheetViews>
  <sheetFormatPr baseColWidth="10" defaultRowHeight="14.4" x14ac:dyDescent="0.55000000000000004"/>
  <cols>
    <col min="1" max="1" width="4.68359375" customWidth="1"/>
    <col min="2" max="2" width="12.68359375" customWidth="1"/>
    <col min="3" max="3" width="4.68359375" customWidth="1"/>
    <col min="4" max="8" width="12.68359375" customWidth="1"/>
    <col min="9" max="9" width="4.68359375" customWidth="1"/>
    <col min="10" max="11" width="12.68359375" customWidth="1"/>
    <col min="12" max="12" width="4.68359375" customWidth="1"/>
    <col min="13" max="14" width="12.68359375" customWidth="1"/>
    <col min="15" max="15" width="4.68359375" customWidth="1"/>
    <col min="16" max="16" width="12.68359375" customWidth="1"/>
  </cols>
  <sheetData>
    <row r="1" spans="1:16" ht="15" customHeight="1" thickBot="1" x14ac:dyDescent="0.6">
      <c r="A1" s="24"/>
      <c r="B1" s="24"/>
      <c r="C1" s="24"/>
      <c r="D1" s="1"/>
      <c r="E1" s="1"/>
      <c r="F1" s="1"/>
      <c r="G1" s="1"/>
      <c r="H1" s="1"/>
      <c r="I1" s="1"/>
      <c r="J1" s="1"/>
      <c r="K1" s="1"/>
    </row>
    <row r="2" spans="1:16" ht="25" customHeight="1" thickBot="1" x14ac:dyDescent="0.6">
      <c r="A2" s="24"/>
      <c r="B2" s="31" t="s">
        <v>42</v>
      </c>
      <c r="C2" s="1"/>
      <c r="D2" s="32" t="s">
        <v>37</v>
      </c>
      <c r="E2" s="33" t="s">
        <v>33</v>
      </c>
      <c r="F2" s="33" t="s">
        <v>34</v>
      </c>
      <c r="G2" s="33" t="s">
        <v>35</v>
      </c>
      <c r="H2" s="34" t="s">
        <v>10</v>
      </c>
      <c r="I2" s="1"/>
      <c r="J2" s="256" t="s">
        <v>45</v>
      </c>
      <c r="K2" s="257"/>
      <c r="M2" s="76" t="s">
        <v>200</v>
      </c>
      <c r="N2" s="77"/>
      <c r="P2" s="79" t="s">
        <v>47</v>
      </c>
    </row>
    <row r="3" spans="1:16" ht="15" customHeight="1" thickBot="1" x14ac:dyDescent="0.6">
      <c r="A3" s="24"/>
      <c r="B3" s="29" t="s">
        <v>29</v>
      </c>
      <c r="C3" s="1"/>
      <c r="D3" s="16">
        <v>1</v>
      </c>
      <c r="E3" s="17">
        <f>N3+4</f>
        <v>7</v>
      </c>
      <c r="F3" s="17">
        <f>E3+N4+2</f>
        <v>13</v>
      </c>
      <c r="G3" s="17">
        <f>F3+N5+2</f>
        <v>20</v>
      </c>
      <c r="H3" s="18">
        <f>G3+2</f>
        <v>22</v>
      </c>
      <c r="I3" s="1"/>
      <c r="J3" s="74" t="s">
        <v>2</v>
      </c>
      <c r="K3" s="75">
        <v>4</v>
      </c>
      <c r="M3" s="74" t="s">
        <v>201</v>
      </c>
      <c r="N3" s="221">
        <v>3</v>
      </c>
      <c r="P3" s="78">
        <f>N3+N4+N5+8</f>
        <v>20</v>
      </c>
    </row>
    <row r="4" spans="1:16" ht="15" customHeight="1" x14ac:dyDescent="0.55000000000000004">
      <c r="A4" s="24"/>
      <c r="B4" s="29" t="s">
        <v>30</v>
      </c>
      <c r="C4" s="1"/>
      <c r="D4" s="19">
        <v>2</v>
      </c>
      <c r="E4" s="20">
        <f t="shared" ref="E4:E34" si="0">E3+ $P$3</f>
        <v>27</v>
      </c>
      <c r="F4" s="20">
        <f t="shared" ref="F4:F34" si="1">F3+ $P$3</f>
        <v>33</v>
      </c>
      <c r="G4" s="20">
        <f t="shared" ref="G4:G34" si="2">G3+ $P$3</f>
        <v>40</v>
      </c>
      <c r="H4" s="21">
        <f t="shared" ref="H4:H34" si="3">H3+ $P$3</f>
        <v>42</v>
      </c>
      <c r="I4" s="1"/>
      <c r="J4" s="25" t="s">
        <v>3</v>
      </c>
      <c r="K4" s="26">
        <v>10</v>
      </c>
      <c r="M4" s="25" t="s">
        <v>34</v>
      </c>
      <c r="N4" s="222">
        <v>4</v>
      </c>
    </row>
    <row r="5" spans="1:16" ht="15" customHeight="1" thickBot="1" x14ac:dyDescent="0.6">
      <c r="A5" s="24"/>
      <c r="B5" s="29" t="s">
        <v>31</v>
      </c>
      <c r="C5" s="1"/>
      <c r="D5" s="19">
        <v>3</v>
      </c>
      <c r="E5" s="20">
        <f t="shared" si="0"/>
        <v>47</v>
      </c>
      <c r="F5" s="20">
        <f t="shared" si="1"/>
        <v>53</v>
      </c>
      <c r="G5" s="20">
        <f t="shared" si="2"/>
        <v>60</v>
      </c>
      <c r="H5" s="21">
        <f t="shared" si="3"/>
        <v>62</v>
      </c>
      <c r="I5" s="1"/>
      <c r="J5" s="25" t="s">
        <v>4</v>
      </c>
      <c r="K5" s="26">
        <v>13</v>
      </c>
      <c r="M5" s="27" t="s">
        <v>35</v>
      </c>
      <c r="N5" s="223">
        <v>5</v>
      </c>
    </row>
    <row r="6" spans="1:16" ht="15" customHeight="1" thickBot="1" x14ac:dyDescent="0.6">
      <c r="A6" s="24"/>
      <c r="B6" s="30" t="s">
        <v>32</v>
      </c>
      <c r="C6" s="1"/>
      <c r="D6" s="19">
        <v>4</v>
      </c>
      <c r="E6" s="20">
        <f t="shared" si="0"/>
        <v>67</v>
      </c>
      <c r="F6" s="20">
        <f t="shared" si="1"/>
        <v>73</v>
      </c>
      <c r="G6" s="20">
        <f t="shared" si="2"/>
        <v>80</v>
      </c>
      <c r="H6" s="21">
        <f t="shared" si="3"/>
        <v>82</v>
      </c>
      <c r="I6" s="1"/>
      <c r="J6" s="25" t="s">
        <v>5</v>
      </c>
      <c r="K6" s="26">
        <v>16</v>
      </c>
    </row>
    <row r="7" spans="1:16" ht="15" customHeight="1" x14ac:dyDescent="0.55000000000000004">
      <c r="A7" s="24"/>
      <c r="B7" s="1"/>
      <c r="C7" s="1"/>
      <c r="D7" s="19">
        <v>5</v>
      </c>
      <c r="E7" s="20">
        <f t="shared" si="0"/>
        <v>87</v>
      </c>
      <c r="F7" s="20">
        <f t="shared" si="1"/>
        <v>93</v>
      </c>
      <c r="G7" s="20">
        <f t="shared" si="2"/>
        <v>100</v>
      </c>
      <c r="H7" s="21">
        <f t="shared" si="3"/>
        <v>102</v>
      </c>
      <c r="I7" s="1"/>
      <c r="J7" s="25" t="s">
        <v>6</v>
      </c>
      <c r="K7" s="26">
        <v>20</v>
      </c>
    </row>
    <row r="8" spans="1:16" ht="15" customHeight="1" x14ac:dyDescent="0.55000000000000004">
      <c r="A8" s="24"/>
      <c r="B8" s="1"/>
      <c r="C8" s="1"/>
      <c r="D8" s="19">
        <v>6</v>
      </c>
      <c r="E8" s="20">
        <f t="shared" si="0"/>
        <v>107</v>
      </c>
      <c r="F8" s="20">
        <f t="shared" si="1"/>
        <v>113</v>
      </c>
      <c r="G8" s="20">
        <f t="shared" si="2"/>
        <v>120</v>
      </c>
      <c r="H8" s="21">
        <f t="shared" si="3"/>
        <v>122</v>
      </c>
      <c r="I8" s="1"/>
      <c r="J8" s="25" t="s">
        <v>41</v>
      </c>
      <c r="K8" s="26">
        <v>22</v>
      </c>
    </row>
    <row r="9" spans="1:16" ht="15" customHeight="1" x14ac:dyDescent="0.55000000000000004">
      <c r="A9" s="24"/>
      <c r="B9" s="1"/>
      <c r="C9" s="1"/>
      <c r="D9" s="19">
        <v>7</v>
      </c>
      <c r="E9" s="20">
        <f t="shared" si="0"/>
        <v>127</v>
      </c>
      <c r="F9" s="20">
        <f t="shared" si="1"/>
        <v>133</v>
      </c>
      <c r="G9" s="20">
        <f t="shared" si="2"/>
        <v>140</v>
      </c>
      <c r="H9" s="21">
        <f t="shared" si="3"/>
        <v>142</v>
      </c>
      <c r="I9" s="1"/>
      <c r="J9" s="25" t="s">
        <v>46</v>
      </c>
      <c r="K9" s="26">
        <v>11</v>
      </c>
    </row>
    <row r="10" spans="1:16" ht="15" customHeight="1" x14ac:dyDescent="0.55000000000000004">
      <c r="A10" s="24"/>
      <c r="B10" s="1"/>
      <c r="C10" s="1"/>
      <c r="D10" s="19">
        <v>8</v>
      </c>
      <c r="E10" s="20">
        <f t="shared" si="0"/>
        <v>147</v>
      </c>
      <c r="F10" s="20">
        <f t="shared" si="1"/>
        <v>153</v>
      </c>
      <c r="G10" s="20">
        <f t="shared" si="2"/>
        <v>160</v>
      </c>
      <c r="H10" s="21">
        <f t="shared" si="3"/>
        <v>162</v>
      </c>
      <c r="I10" s="1"/>
      <c r="J10" s="25" t="s">
        <v>48</v>
      </c>
      <c r="K10" s="26">
        <v>12</v>
      </c>
    </row>
    <row r="11" spans="1:16" ht="15" customHeight="1" thickBot="1" x14ac:dyDescent="0.6">
      <c r="A11" s="24"/>
      <c r="B11" s="1"/>
      <c r="C11" s="1"/>
      <c r="D11" s="19">
        <v>9</v>
      </c>
      <c r="E11" s="20">
        <f t="shared" si="0"/>
        <v>167</v>
      </c>
      <c r="F11" s="20">
        <f t="shared" si="1"/>
        <v>173</v>
      </c>
      <c r="G11" s="20">
        <f t="shared" si="2"/>
        <v>180</v>
      </c>
      <c r="H11" s="21">
        <f t="shared" si="3"/>
        <v>182</v>
      </c>
      <c r="I11" s="1"/>
      <c r="J11" s="27" t="s">
        <v>21</v>
      </c>
      <c r="K11" s="28">
        <v>15</v>
      </c>
    </row>
    <row r="12" spans="1:16" ht="15" customHeight="1" x14ac:dyDescent="0.55000000000000004">
      <c r="A12" s="24"/>
      <c r="B12" s="1"/>
      <c r="C12" s="1"/>
      <c r="D12" s="19">
        <v>10</v>
      </c>
      <c r="E12" s="20">
        <f t="shared" si="0"/>
        <v>187</v>
      </c>
      <c r="F12" s="20">
        <f t="shared" si="1"/>
        <v>193</v>
      </c>
      <c r="G12" s="20">
        <f t="shared" si="2"/>
        <v>200</v>
      </c>
      <c r="H12" s="21">
        <f t="shared" si="3"/>
        <v>202</v>
      </c>
      <c r="I12" s="1"/>
      <c r="J12" s="1"/>
      <c r="K12" s="1"/>
    </row>
    <row r="13" spans="1:16" ht="15" customHeight="1" x14ac:dyDescent="0.55000000000000004">
      <c r="A13" s="24"/>
      <c r="B13" s="1"/>
      <c r="C13" s="1"/>
      <c r="D13" s="19">
        <v>11</v>
      </c>
      <c r="E13" s="20">
        <f t="shared" si="0"/>
        <v>207</v>
      </c>
      <c r="F13" s="20">
        <f t="shared" si="1"/>
        <v>213</v>
      </c>
      <c r="G13" s="20">
        <f t="shared" si="2"/>
        <v>220</v>
      </c>
      <c r="H13" s="21">
        <f t="shared" si="3"/>
        <v>222</v>
      </c>
      <c r="I13" s="1"/>
      <c r="J13" s="1"/>
      <c r="K13" s="1"/>
    </row>
    <row r="14" spans="1:16" ht="15" customHeight="1" x14ac:dyDescent="0.55000000000000004">
      <c r="A14" s="24"/>
      <c r="B14" s="1"/>
      <c r="C14" s="1"/>
      <c r="D14" s="19">
        <v>12</v>
      </c>
      <c r="E14" s="20">
        <f t="shared" si="0"/>
        <v>227</v>
      </c>
      <c r="F14" s="20">
        <f t="shared" si="1"/>
        <v>233</v>
      </c>
      <c r="G14" s="20">
        <f t="shared" si="2"/>
        <v>240</v>
      </c>
      <c r="H14" s="21">
        <f t="shared" si="3"/>
        <v>242</v>
      </c>
      <c r="I14" s="1"/>
      <c r="J14" s="1"/>
      <c r="K14" s="1"/>
    </row>
    <row r="15" spans="1:16" ht="15" customHeight="1" x14ac:dyDescent="0.55000000000000004">
      <c r="A15" s="24"/>
      <c r="B15" s="1"/>
      <c r="C15" s="1"/>
      <c r="D15" s="19">
        <v>13</v>
      </c>
      <c r="E15" s="20">
        <f t="shared" si="0"/>
        <v>247</v>
      </c>
      <c r="F15" s="20">
        <f t="shared" si="1"/>
        <v>253</v>
      </c>
      <c r="G15" s="20">
        <f t="shared" si="2"/>
        <v>260</v>
      </c>
      <c r="H15" s="21">
        <f t="shared" si="3"/>
        <v>262</v>
      </c>
      <c r="I15" s="1"/>
      <c r="J15" s="1"/>
      <c r="K15" s="1"/>
    </row>
    <row r="16" spans="1:16" ht="15" customHeight="1" x14ac:dyDescent="0.55000000000000004">
      <c r="A16" s="24"/>
      <c r="B16" s="1"/>
      <c r="C16" s="1"/>
      <c r="D16" s="19">
        <v>14</v>
      </c>
      <c r="E16" s="20">
        <f t="shared" si="0"/>
        <v>267</v>
      </c>
      <c r="F16" s="20">
        <f t="shared" si="1"/>
        <v>273</v>
      </c>
      <c r="G16" s="20">
        <f t="shared" si="2"/>
        <v>280</v>
      </c>
      <c r="H16" s="21">
        <f t="shared" si="3"/>
        <v>282</v>
      </c>
      <c r="I16" s="1"/>
      <c r="J16" s="1"/>
      <c r="K16" s="1"/>
    </row>
    <row r="17" spans="1:11" ht="15" customHeight="1" x14ac:dyDescent="0.55000000000000004">
      <c r="A17" s="24"/>
      <c r="B17" s="1"/>
      <c r="C17" s="1"/>
      <c r="D17" s="19">
        <v>15</v>
      </c>
      <c r="E17" s="20">
        <f t="shared" si="0"/>
        <v>287</v>
      </c>
      <c r="F17" s="20">
        <f t="shared" si="1"/>
        <v>293</v>
      </c>
      <c r="G17" s="20">
        <f t="shared" si="2"/>
        <v>300</v>
      </c>
      <c r="H17" s="21">
        <f t="shared" si="3"/>
        <v>302</v>
      </c>
      <c r="I17" s="1"/>
      <c r="J17" s="1"/>
      <c r="K17" s="1"/>
    </row>
    <row r="18" spans="1:11" ht="15" customHeight="1" x14ac:dyDescent="0.55000000000000004">
      <c r="A18" s="24"/>
      <c r="B18" s="1"/>
      <c r="C18" s="1"/>
      <c r="D18" s="19">
        <v>16</v>
      </c>
      <c r="E18" s="20">
        <f t="shared" si="0"/>
        <v>307</v>
      </c>
      <c r="F18" s="20">
        <f t="shared" si="1"/>
        <v>313</v>
      </c>
      <c r="G18" s="20">
        <f t="shared" si="2"/>
        <v>320</v>
      </c>
      <c r="H18" s="21">
        <f t="shared" si="3"/>
        <v>322</v>
      </c>
      <c r="I18" s="1"/>
      <c r="J18" s="1"/>
      <c r="K18" s="1"/>
    </row>
    <row r="19" spans="1:11" ht="15" customHeight="1" x14ac:dyDescent="0.55000000000000004">
      <c r="A19" s="24"/>
      <c r="B19" s="1"/>
      <c r="C19" s="1"/>
      <c r="D19" s="19">
        <v>17</v>
      </c>
      <c r="E19" s="20">
        <f t="shared" si="0"/>
        <v>327</v>
      </c>
      <c r="F19" s="20">
        <f t="shared" si="1"/>
        <v>333</v>
      </c>
      <c r="G19" s="20">
        <f t="shared" si="2"/>
        <v>340</v>
      </c>
      <c r="H19" s="21">
        <f t="shared" si="3"/>
        <v>342</v>
      </c>
      <c r="I19" s="1"/>
      <c r="J19" s="1"/>
      <c r="K19" s="1"/>
    </row>
    <row r="20" spans="1:11" ht="15" customHeight="1" x14ac:dyDescent="0.55000000000000004">
      <c r="A20" s="24"/>
      <c r="B20" s="1"/>
      <c r="C20" s="1"/>
      <c r="D20" s="19">
        <v>18</v>
      </c>
      <c r="E20" s="20">
        <f t="shared" si="0"/>
        <v>347</v>
      </c>
      <c r="F20" s="20">
        <f t="shared" si="1"/>
        <v>353</v>
      </c>
      <c r="G20" s="20">
        <f t="shared" si="2"/>
        <v>360</v>
      </c>
      <c r="H20" s="21">
        <f t="shared" si="3"/>
        <v>362</v>
      </c>
      <c r="I20" s="1"/>
      <c r="J20" s="1"/>
      <c r="K20" s="1"/>
    </row>
    <row r="21" spans="1:11" ht="15" customHeight="1" x14ac:dyDescent="0.55000000000000004">
      <c r="A21" s="24"/>
      <c r="B21" s="1"/>
      <c r="C21" s="1"/>
      <c r="D21" s="19">
        <v>19</v>
      </c>
      <c r="E21" s="20">
        <f t="shared" si="0"/>
        <v>367</v>
      </c>
      <c r="F21" s="20">
        <f t="shared" si="1"/>
        <v>373</v>
      </c>
      <c r="G21" s="20">
        <f t="shared" si="2"/>
        <v>380</v>
      </c>
      <c r="H21" s="21">
        <f t="shared" si="3"/>
        <v>382</v>
      </c>
      <c r="I21" s="1"/>
      <c r="J21" s="1"/>
      <c r="K21" s="1"/>
    </row>
    <row r="22" spans="1:11" ht="15" customHeight="1" x14ac:dyDescent="0.55000000000000004">
      <c r="A22" s="24"/>
      <c r="B22" s="1"/>
      <c r="C22" s="1"/>
      <c r="D22" s="19">
        <v>20</v>
      </c>
      <c r="E22" s="20">
        <f t="shared" si="0"/>
        <v>387</v>
      </c>
      <c r="F22" s="20">
        <f t="shared" si="1"/>
        <v>393</v>
      </c>
      <c r="G22" s="20">
        <f t="shared" si="2"/>
        <v>400</v>
      </c>
      <c r="H22" s="21">
        <f t="shared" si="3"/>
        <v>402</v>
      </c>
      <c r="I22" s="1"/>
      <c r="J22" s="1"/>
      <c r="K22" s="1"/>
    </row>
    <row r="23" spans="1:11" ht="15" customHeight="1" x14ac:dyDescent="0.55000000000000004">
      <c r="A23" s="24"/>
      <c r="B23" s="1"/>
      <c r="C23" s="1"/>
      <c r="D23" s="19">
        <v>21</v>
      </c>
      <c r="E23" s="20">
        <f t="shared" si="0"/>
        <v>407</v>
      </c>
      <c r="F23" s="20">
        <f t="shared" si="1"/>
        <v>413</v>
      </c>
      <c r="G23" s="20">
        <f t="shared" si="2"/>
        <v>420</v>
      </c>
      <c r="H23" s="21">
        <f t="shared" si="3"/>
        <v>422</v>
      </c>
      <c r="I23" s="1"/>
      <c r="J23" s="1"/>
      <c r="K23" s="1"/>
    </row>
    <row r="24" spans="1:11" ht="15" customHeight="1" x14ac:dyDescent="0.55000000000000004">
      <c r="A24" s="24"/>
      <c r="B24" s="1"/>
      <c r="C24" s="1"/>
      <c r="D24" s="19">
        <v>22</v>
      </c>
      <c r="E24" s="20">
        <f t="shared" si="0"/>
        <v>427</v>
      </c>
      <c r="F24" s="20">
        <f t="shared" si="1"/>
        <v>433</v>
      </c>
      <c r="G24" s="20">
        <f t="shared" si="2"/>
        <v>440</v>
      </c>
      <c r="H24" s="21">
        <f t="shared" si="3"/>
        <v>442</v>
      </c>
      <c r="I24" s="1"/>
      <c r="J24" s="1"/>
      <c r="K24" s="1"/>
    </row>
    <row r="25" spans="1:11" ht="15" customHeight="1" x14ac:dyDescent="0.55000000000000004">
      <c r="A25" s="24"/>
      <c r="B25" s="1"/>
      <c r="C25" s="1"/>
      <c r="D25" s="19">
        <v>23</v>
      </c>
      <c r="E25" s="20">
        <f t="shared" si="0"/>
        <v>447</v>
      </c>
      <c r="F25" s="20">
        <f t="shared" si="1"/>
        <v>453</v>
      </c>
      <c r="G25" s="20">
        <f t="shared" si="2"/>
        <v>460</v>
      </c>
      <c r="H25" s="21">
        <f t="shared" si="3"/>
        <v>462</v>
      </c>
      <c r="I25" s="1"/>
      <c r="J25" s="1"/>
      <c r="K25" s="1"/>
    </row>
    <row r="26" spans="1:11" ht="15" customHeight="1" x14ac:dyDescent="0.55000000000000004">
      <c r="A26" s="24"/>
      <c r="B26" s="1"/>
      <c r="C26" s="1"/>
      <c r="D26" s="19">
        <v>24</v>
      </c>
      <c r="E26" s="20">
        <f t="shared" si="0"/>
        <v>467</v>
      </c>
      <c r="F26" s="20">
        <f t="shared" si="1"/>
        <v>473</v>
      </c>
      <c r="G26" s="20">
        <f t="shared" si="2"/>
        <v>480</v>
      </c>
      <c r="H26" s="21">
        <f t="shared" si="3"/>
        <v>482</v>
      </c>
      <c r="I26" s="1"/>
      <c r="J26" s="1"/>
      <c r="K26" s="1"/>
    </row>
    <row r="27" spans="1:11" ht="15" customHeight="1" x14ac:dyDescent="0.55000000000000004">
      <c r="A27" s="24"/>
      <c r="B27" s="1"/>
      <c r="C27" s="1"/>
      <c r="D27" s="19">
        <v>25</v>
      </c>
      <c r="E27" s="20">
        <f t="shared" si="0"/>
        <v>487</v>
      </c>
      <c r="F27" s="20">
        <f t="shared" si="1"/>
        <v>493</v>
      </c>
      <c r="G27" s="20">
        <f t="shared" si="2"/>
        <v>500</v>
      </c>
      <c r="H27" s="21">
        <f t="shared" si="3"/>
        <v>502</v>
      </c>
      <c r="I27" s="1"/>
      <c r="J27" s="1"/>
      <c r="K27" s="1"/>
    </row>
    <row r="28" spans="1:11" ht="15" customHeight="1" x14ac:dyDescent="0.55000000000000004">
      <c r="A28" s="24"/>
      <c r="B28" s="1"/>
      <c r="C28" s="1"/>
      <c r="D28" s="19">
        <v>26</v>
      </c>
      <c r="E28" s="20">
        <f t="shared" si="0"/>
        <v>507</v>
      </c>
      <c r="F28" s="20">
        <f t="shared" si="1"/>
        <v>513</v>
      </c>
      <c r="G28" s="20">
        <f t="shared" si="2"/>
        <v>520</v>
      </c>
      <c r="H28" s="21">
        <f t="shared" si="3"/>
        <v>522</v>
      </c>
      <c r="I28" s="1"/>
      <c r="J28" s="1"/>
      <c r="K28" s="1"/>
    </row>
    <row r="29" spans="1:11" ht="15" customHeight="1" x14ac:dyDescent="0.55000000000000004">
      <c r="A29" s="24"/>
      <c r="B29" s="1"/>
      <c r="C29" s="1"/>
      <c r="D29" s="19">
        <v>27</v>
      </c>
      <c r="E29" s="20">
        <f t="shared" si="0"/>
        <v>527</v>
      </c>
      <c r="F29" s="20">
        <f t="shared" si="1"/>
        <v>533</v>
      </c>
      <c r="G29" s="20">
        <f t="shared" si="2"/>
        <v>540</v>
      </c>
      <c r="H29" s="21">
        <f t="shared" si="3"/>
        <v>542</v>
      </c>
      <c r="I29" s="1"/>
      <c r="J29" s="1"/>
      <c r="K29" s="1"/>
    </row>
    <row r="30" spans="1:11" ht="15" customHeight="1" x14ac:dyDescent="0.55000000000000004">
      <c r="A30" s="24"/>
      <c r="B30" s="1"/>
      <c r="C30" s="1"/>
      <c r="D30" s="19">
        <v>28</v>
      </c>
      <c r="E30" s="20">
        <f t="shared" si="0"/>
        <v>547</v>
      </c>
      <c r="F30" s="20">
        <f t="shared" si="1"/>
        <v>553</v>
      </c>
      <c r="G30" s="20">
        <f t="shared" si="2"/>
        <v>560</v>
      </c>
      <c r="H30" s="21">
        <f t="shared" si="3"/>
        <v>562</v>
      </c>
      <c r="I30" s="1"/>
      <c r="J30" s="1"/>
      <c r="K30" s="1"/>
    </row>
    <row r="31" spans="1:11" ht="15" customHeight="1" x14ac:dyDescent="0.55000000000000004">
      <c r="A31" s="24"/>
      <c r="B31" s="1"/>
      <c r="C31" s="1"/>
      <c r="D31" s="19">
        <v>29</v>
      </c>
      <c r="E31" s="20">
        <f t="shared" si="0"/>
        <v>567</v>
      </c>
      <c r="F31" s="20">
        <f t="shared" si="1"/>
        <v>573</v>
      </c>
      <c r="G31" s="20">
        <f t="shared" si="2"/>
        <v>580</v>
      </c>
      <c r="H31" s="21">
        <f t="shared" si="3"/>
        <v>582</v>
      </c>
      <c r="I31" s="1"/>
      <c r="J31" s="1"/>
      <c r="K31" s="1"/>
    </row>
    <row r="32" spans="1:11" ht="15" customHeight="1" x14ac:dyDescent="0.55000000000000004">
      <c r="A32" s="24"/>
      <c r="B32" s="1"/>
      <c r="C32" s="1"/>
      <c r="D32" s="19">
        <v>30</v>
      </c>
      <c r="E32" s="20">
        <f t="shared" si="0"/>
        <v>587</v>
      </c>
      <c r="F32" s="20">
        <f t="shared" si="1"/>
        <v>593</v>
      </c>
      <c r="G32" s="20">
        <f t="shared" si="2"/>
        <v>600</v>
      </c>
      <c r="H32" s="21">
        <f t="shared" si="3"/>
        <v>602</v>
      </c>
      <c r="I32" s="1"/>
      <c r="J32" s="1"/>
      <c r="K32" s="1"/>
    </row>
    <row r="33" spans="1:11" ht="15" customHeight="1" x14ac:dyDescent="0.55000000000000004">
      <c r="A33" s="24"/>
      <c r="B33" s="1"/>
      <c r="C33" s="1"/>
      <c r="D33" s="19">
        <v>31</v>
      </c>
      <c r="E33" s="20">
        <f t="shared" si="0"/>
        <v>607</v>
      </c>
      <c r="F33" s="20">
        <f t="shared" si="1"/>
        <v>613</v>
      </c>
      <c r="G33" s="20">
        <f t="shared" si="2"/>
        <v>620</v>
      </c>
      <c r="H33" s="21">
        <f t="shared" si="3"/>
        <v>622</v>
      </c>
      <c r="I33" s="1"/>
      <c r="J33" s="1"/>
      <c r="K33" s="1"/>
    </row>
    <row r="34" spans="1:11" ht="15" customHeight="1" thickBot="1" x14ac:dyDescent="0.6">
      <c r="A34" s="24"/>
      <c r="B34" s="1"/>
      <c r="C34" s="1"/>
      <c r="D34" s="22">
        <v>32</v>
      </c>
      <c r="E34" s="20">
        <f t="shared" si="0"/>
        <v>627</v>
      </c>
      <c r="F34" s="20">
        <f t="shared" si="1"/>
        <v>633</v>
      </c>
      <c r="G34" s="20">
        <f t="shared" si="2"/>
        <v>640</v>
      </c>
      <c r="H34" s="21">
        <f t="shared" si="3"/>
        <v>642</v>
      </c>
      <c r="I34" s="1"/>
      <c r="J34" s="1"/>
      <c r="K34" s="1"/>
    </row>
    <row r="35" spans="1:11" x14ac:dyDescent="0.55000000000000004">
      <c r="A35" s="24"/>
      <c r="B35" s="24"/>
      <c r="C35" s="24"/>
      <c r="D35" s="24"/>
      <c r="E35" s="24"/>
      <c r="F35" s="24"/>
      <c r="G35" s="24"/>
      <c r="H35" s="1"/>
      <c r="I35" s="1"/>
      <c r="J35" s="1"/>
      <c r="K35" s="1"/>
    </row>
  </sheetData>
  <sheetProtection algorithmName="SHA-512" hashValue="deN70VKApT2J+UlngcwMXp8kPwVyTZQRK8l8/WyuF0kp17LrmkprD56W/EaHNBse+vAjPOlZRXXxOH1ReasRbw==" saltValue="IMA8AObZMOeB8oAjwiPbjA==" spinCount="100000" sheet="1" objects="1" scenarios="1" selectLockedCells="1" selectUnlockedCells="1"/>
  <mergeCells count="1">
    <mergeCell ref="J2:K2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Classe (4ème2)</vt:lpstr>
      <vt:lpstr>Elève (4ème2)</vt:lpstr>
      <vt:lpstr>Classe (4ème5)</vt:lpstr>
      <vt:lpstr>Elève (4ème5)</vt:lpstr>
      <vt:lpstr>Liste 4ème</vt:lpstr>
      <vt:lpstr>ref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Julie Barrault</cp:lastModifiedBy>
  <dcterms:created xsi:type="dcterms:W3CDTF">2017-10-30T16:06:34Z</dcterms:created>
  <dcterms:modified xsi:type="dcterms:W3CDTF">2018-06-14T13:42:31Z</dcterms:modified>
</cp:coreProperties>
</file>